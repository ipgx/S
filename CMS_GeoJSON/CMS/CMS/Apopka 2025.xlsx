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T:\Resource Library\TIA Automation Tool\v1.3\"/>
    </mc:Choice>
  </mc:AlternateContent>
  <xr:revisionPtr revIDLastSave="0" documentId="13_ncr:1_{03EC98F4-039D-49DE-8A9B-75FC6B2BD1BE}" xr6:coauthVersionLast="47" xr6:coauthVersionMax="47" xr10:uidLastSave="{00000000-0000-0000-0000-000000000000}"/>
  <workbookProtection workbookAlgorithmName="SHA-512" workbookHashValue="qH5B5J60r2r7yHWPE92Zxb2BxZ/ABfsnaIU98/cIAiIq93RUCyIfANAGasYuNWveh10lw47wMdna2hKaIcaaBA==" workbookSaltValue="k20+dAtOpiVVU9snPwmexQ==" workbookSpinCount="100000" lockStructure="1"/>
  <bookViews>
    <workbookView xWindow="-108" yWindow="-108" windowWidth="23256" windowHeight="12456" activeTab="1" xr2:uid="{456DDE9E-B660-45B8-9A0C-2F3ED6CB0DE2}"/>
  </bookViews>
  <sheets>
    <sheet name="2025MasterFile-Stat" sheetId="1" r:id="rId1"/>
    <sheet name="Input" sheetId="6" r:id="rId2"/>
    <sheet name="Cap" sheetId="2" r:id="rId3"/>
    <sheet name="LOS" sheetId="3" r:id="rId4"/>
    <sheet name="Historical ADT" sheetId="4" r:id="rId5"/>
    <sheet name="Trend" sheetId="5" r:id="rId6"/>
  </sheets>
  <definedNames>
    <definedName name="_xlnm._FilterDatabase" localSheetId="1" hidden="1">Input!$A$4:$AM$27</definedName>
    <definedName name="_xlnm.Print_Area" localSheetId="0">'2025MasterFile-Stat'!$A$1:$K$197</definedName>
    <definedName name="_xlnm.Print_Area" localSheetId="2">Cap!$A$1:$S$197</definedName>
    <definedName name="_xlnm.Print_Area" localSheetId="4">'Historical ADT'!$A$1:$AM$198</definedName>
    <definedName name="_xlnm.Print_Area" localSheetId="3">LOS!$A$1:$W$197</definedName>
    <definedName name="_xlnm.Print_Area" localSheetId="5">Trend!$A$1:$O$197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0" i="6" l="1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I33" i="6"/>
  <c r="AI34" i="6"/>
  <c r="AI35" i="6"/>
  <c r="AI36" i="6"/>
  <c r="AI37" i="6"/>
  <c r="AI38" i="6"/>
  <c r="AI39" i="6"/>
  <c r="AI40" i="6"/>
  <c r="AI41" i="6"/>
  <c r="AI42" i="6"/>
  <c r="AI43" i="6"/>
  <c r="AI44" i="6"/>
  <c r="AI45" i="6"/>
  <c r="AI46" i="6"/>
  <c r="AI47" i="6"/>
  <c r="AI48" i="6"/>
  <c r="AI49" i="6"/>
  <c r="AI50" i="6"/>
  <c r="AI51" i="6"/>
  <c r="AI52" i="6"/>
  <c r="AI53" i="6"/>
  <c r="AI54" i="6"/>
  <c r="AI55" i="6"/>
  <c r="AI56" i="6"/>
  <c r="AI57" i="6"/>
  <c r="AI58" i="6"/>
  <c r="AI59" i="6"/>
  <c r="AI60" i="6"/>
  <c r="AI61" i="6"/>
  <c r="AI62" i="6"/>
  <c r="AI63" i="6"/>
  <c r="AI64" i="6"/>
  <c r="AI65" i="6"/>
  <c r="AI66" i="6"/>
  <c r="AI67" i="6"/>
  <c r="AI68" i="6"/>
  <c r="AI69" i="6"/>
  <c r="AI70" i="6"/>
  <c r="AI71" i="6"/>
  <c r="AI72" i="6"/>
  <c r="AI73" i="6"/>
  <c r="AI74" i="6"/>
  <c r="AI75" i="6"/>
  <c r="AI76" i="6"/>
  <c r="AI77" i="6"/>
  <c r="AI78" i="6"/>
  <c r="AI79" i="6"/>
  <c r="AI80" i="6"/>
  <c r="AI81" i="6"/>
  <c r="AI82" i="6"/>
  <c r="AI83" i="6"/>
  <c r="AI84" i="6"/>
  <c r="AI85" i="6"/>
  <c r="AI86" i="6"/>
  <c r="AI87" i="6"/>
  <c r="AI88" i="6"/>
  <c r="AI89" i="6"/>
  <c r="AI90" i="6"/>
  <c r="AI91" i="6"/>
  <c r="AI92" i="6"/>
  <c r="AI93" i="6"/>
  <c r="AI94" i="6"/>
  <c r="AI95" i="6"/>
  <c r="AI96" i="6"/>
  <c r="AI97" i="6"/>
  <c r="AI98" i="6"/>
  <c r="AI99" i="6"/>
  <c r="AI100" i="6"/>
  <c r="AI101" i="6"/>
  <c r="AI102" i="6"/>
  <c r="AI103" i="6"/>
  <c r="AI104" i="6"/>
  <c r="AI105" i="6"/>
  <c r="AI106" i="6"/>
  <c r="AI107" i="6"/>
  <c r="AI108" i="6"/>
  <c r="AI109" i="6"/>
  <c r="AI110" i="6"/>
  <c r="AI111" i="6"/>
  <c r="AI112" i="6"/>
  <c r="AI113" i="6"/>
  <c r="AI114" i="6"/>
  <c r="AI115" i="6"/>
  <c r="AI116" i="6"/>
  <c r="AI117" i="6"/>
  <c r="AI118" i="6"/>
  <c r="AI119" i="6"/>
  <c r="AI120" i="6"/>
  <c r="AI121" i="6"/>
  <c r="AI122" i="6"/>
  <c r="AI123" i="6"/>
  <c r="AI124" i="6"/>
  <c r="AI125" i="6"/>
  <c r="AI126" i="6"/>
  <c r="AI127" i="6"/>
  <c r="AI128" i="6"/>
  <c r="AI129" i="6"/>
  <c r="AI130" i="6"/>
  <c r="AI131" i="6"/>
  <c r="AI132" i="6"/>
  <c r="AI133" i="6"/>
  <c r="AI134" i="6"/>
  <c r="AI135" i="6"/>
  <c r="AI136" i="6"/>
  <c r="AI137" i="6"/>
  <c r="AI138" i="6"/>
  <c r="AI139" i="6"/>
  <c r="AI140" i="6"/>
  <c r="AI141" i="6"/>
  <c r="AI142" i="6"/>
  <c r="AI143" i="6"/>
  <c r="AI144" i="6"/>
  <c r="AI145" i="6"/>
  <c r="AI146" i="6"/>
  <c r="AI147" i="6"/>
  <c r="AI148" i="6"/>
  <c r="AI149" i="6"/>
  <c r="AI150" i="6"/>
  <c r="AI151" i="6"/>
  <c r="AI152" i="6"/>
  <c r="AI153" i="6"/>
  <c r="AI154" i="6"/>
  <c r="AI155" i="6"/>
  <c r="AI156" i="6"/>
  <c r="AI157" i="6"/>
  <c r="AI158" i="6"/>
  <c r="AI159" i="6"/>
  <c r="AI160" i="6"/>
  <c r="AI161" i="6"/>
  <c r="AI162" i="6"/>
  <c r="AI163" i="6"/>
  <c r="AI164" i="6"/>
  <c r="AI165" i="6"/>
  <c r="AI166" i="6"/>
  <c r="AI167" i="6"/>
  <c r="AI168" i="6"/>
  <c r="AI169" i="6"/>
  <c r="AI170" i="6"/>
  <c r="AI171" i="6"/>
  <c r="AI172" i="6"/>
  <c r="AI173" i="6"/>
  <c r="AI174" i="6"/>
  <c r="AI175" i="6"/>
  <c r="AI176" i="6"/>
  <c r="AI177" i="6"/>
  <c r="AI178" i="6"/>
  <c r="AI179" i="6"/>
  <c r="AI180" i="6"/>
  <c r="AI181" i="6"/>
  <c r="AI182" i="6"/>
  <c r="AI183" i="6"/>
  <c r="AI184" i="6"/>
  <c r="AI185" i="6"/>
  <c r="AI186" i="6"/>
  <c r="AI187" i="6"/>
  <c r="AI188" i="6"/>
  <c r="AI189" i="6"/>
  <c r="AI190" i="6"/>
  <c r="AI191" i="6"/>
  <c r="AI192" i="6"/>
  <c r="AI193" i="6"/>
  <c r="AI194" i="6"/>
  <c r="AI195" i="6"/>
  <c r="AI196" i="6"/>
  <c r="AI197" i="6"/>
  <c r="AI198" i="6"/>
  <c r="AI199" i="6"/>
  <c r="AI200" i="6"/>
  <c r="AI201" i="6"/>
  <c r="AI9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10" i="6"/>
  <c r="N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9" i="6"/>
  <c r="C10" i="6"/>
  <c r="D10" i="6"/>
  <c r="E10" i="6"/>
  <c r="F10" i="6"/>
  <c r="H10" i="6"/>
  <c r="I10" i="6"/>
  <c r="R10" i="6"/>
  <c r="T10" i="6"/>
  <c r="AA10" i="6"/>
  <c r="AB10" i="6"/>
  <c r="AD10" i="6"/>
  <c r="AE10" i="6"/>
  <c r="AF10" i="6"/>
  <c r="AH10" i="6"/>
  <c r="AJ10" i="6"/>
  <c r="AK10" i="6"/>
  <c r="AL10" i="6"/>
  <c r="AM10" i="6"/>
  <c r="C11" i="6"/>
  <c r="D11" i="6"/>
  <c r="E11" i="6"/>
  <c r="F11" i="6"/>
  <c r="H11" i="6"/>
  <c r="I11" i="6"/>
  <c r="R11" i="6"/>
  <c r="T11" i="6"/>
  <c r="AA11" i="6"/>
  <c r="AB11" i="6"/>
  <c r="AD11" i="6"/>
  <c r="AE11" i="6"/>
  <c r="AF11" i="6"/>
  <c r="AH11" i="6"/>
  <c r="AJ11" i="6"/>
  <c r="AK11" i="6"/>
  <c r="AL11" i="6"/>
  <c r="AM11" i="6"/>
  <c r="C12" i="6"/>
  <c r="D12" i="6"/>
  <c r="E12" i="6"/>
  <c r="F12" i="6"/>
  <c r="H12" i="6"/>
  <c r="I12" i="6"/>
  <c r="R12" i="6"/>
  <c r="T12" i="6"/>
  <c r="AA12" i="6"/>
  <c r="AB12" i="6"/>
  <c r="AD12" i="6"/>
  <c r="AE12" i="6"/>
  <c r="AF12" i="6"/>
  <c r="AH12" i="6"/>
  <c r="AJ12" i="6"/>
  <c r="AK12" i="6"/>
  <c r="AL12" i="6"/>
  <c r="AM12" i="6"/>
  <c r="C13" i="6"/>
  <c r="D13" i="6"/>
  <c r="E13" i="6"/>
  <c r="F13" i="6"/>
  <c r="H13" i="6"/>
  <c r="I13" i="6"/>
  <c r="R13" i="6"/>
  <c r="T13" i="6"/>
  <c r="AA13" i="6"/>
  <c r="AB13" i="6"/>
  <c r="AD13" i="6"/>
  <c r="AE13" i="6"/>
  <c r="AF13" i="6"/>
  <c r="AH13" i="6"/>
  <c r="AJ13" i="6"/>
  <c r="AK13" i="6"/>
  <c r="AL13" i="6"/>
  <c r="AM13" i="6"/>
  <c r="C14" i="6"/>
  <c r="D14" i="6"/>
  <c r="E14" i="6"/>
  <c r="F14" i="6"/>
  <c r="H14" i="6"/>
  <c r="I14" i="6"/>
  <c r="R14" i="6"/>
  <c r="T14" i="6"/>
  <c r="AA14" i="6"/>
  <c r="AB14" i="6"/>
  <c r="AD14" i="6"/>
  <c r="AE14" i="6"/>
  <c r="AF14" i="6"/>
  <c r="AH14" i="6"/>
  <c r="AJ14" i="6"/>
  <c r="AK14" i="6"/>
  <c r="AL14" i="6"/>
  <c r="AM14" i="6"/>
  <c r="C15" i="6"/>
  <c r="D15" i="6"/>
  <c r="E15" i="6"/>
  <c r="F15" i="6"/>
  <c r="H15" i="6"/>
  <c r="I15" i="6"/>
  <c r="R15" i="6"/>
  <c r="T15" i="6"/>
  <c r="AA15" i="6"/>
  <c r="AB15" i="6"/>
  <c r="AD15" i="6"/>
  <c r="AE15" i="6"/>
  <c r="AF15" i="6"/>
  <c r="AH15" i="6"/>
  <c r="AJ15" i="6"/>
  <c r="AK15" i="6"/>
  <c r="AL15" i="6"/>
  <c r="AM15" i="6"/>
  <c r="C16" i="6"/>
  <c r="D16" i="6"/>
  <c r="E16" i="6"/>
  <c r="F16" i="6"/>
  <c r="H16" i="6"/>
  <c r="I16" i="6"/>
  <c r="R16" i="6"/>
  <c r="T16" i="6"/>
  <c r="AA16" i="6"/>
  <c r="AB16" i="6"/>
  <c r="AD16" i="6"/>
  <c r="AE16" i="6"/>
  <c r="AF16" i="6"/>
  <c r="AH16" i="6"/>
  <c r="AJ16" i="6"/>
  <c r="AK16" i="6"/>
  <c r="AL16" i="6"/>
  <c r="AM16" i="6"/>
  <c r="C17" i="6"/>
  <c r="D17" i="6"/>
  <c r="E17" i="6"/>
  <c r="F17" i="6"/>
  <c r="H17" i="6"/>
  <c r="I17" i="6"/>
  <c r="R17" i="6"/>
  <c r="T17" i="6"/>
  <c r="AA17" i="6"/>
  <c r="AB17" i="6"/>
  <c r="AD17" i="6"/>
  <c r="AE17" i="6"/>
  <c r="AF17" i="6"/>
  <c r="AH17" i="6"/>
  <c r="AJ17" i="6"/>
  <c r="AK17" i="6"/>
  <c r="AL17" i="6"/>
  <c r="AM17" i="6"/>
  <c r="C18" i="6"/>
  <c r="D18" i="6"/>
  <c r="E18" i="6"/>
  <c r="F18" i="6"/>
  <c r="H18" i="6"/>
  <c r="I18" i="6"/>
  <c r="R18" i="6"/>
  <c r="T18" i="6"/>
  <c r="AA18" i="6"/>
  <c r="AB18" i="6"/>
  <c r="AD18" i="6"/>
  <c r="AE18" i="6"/>
  <c r="AF18" i="6"/>
  <c r="AH18" i="6"/>
  <c r="AJ18" i="6"/>
  <c r="AK18" i="6"/>
  <c r="AL18" i="6"/>
  <c r="AM18" i="6"/>
  <c r="C19" i="6"/>
  <c r="D19" i="6"/>
  <c r="E19" i="6"/>
  <c r="F19" i="6"/>
  <c r="H19" i="6"/>
  <c r="I19" i="6"/>
  <c r="R19" i="6"/>
  <c r="T19" i="6"/>
  <c r="AA19" i="6"/>
  <c r="AB19" i="6"/>
  <c r="AD19" i="6"/>
  <c r="AE19" i="6"/>
  <c r="AF19" i="6"/>
  <c r="AH19" i="6"/>
  <c r="AJ19" i="6"/>
  <c r="AK19" i="6"/>
  <c r="AL19" i="6"/>
  <c r="AM19" i="6"/>
  <c r="C20" i="6"/>
  <c r="D20" i="6"/>
  <c r="E20" i="6"/>
  <c r="F20" i="6"/>
  <c r="H20" i="6"/>
  <c r="I20" i="6"/>
  <c r="R20" i="6"/>
  <c r="T20" i="6"/>
  <c r="AA20" i="6"/>
  <c r="AB20" i="6"/>
  <c r="AD20" i="6"/>
  <c r="AE20" i="6"/>
  <c r="AF20" i="6"/>
  <c r="AH20" i="6"/>
  <c r="AJ20" i="6"/>
  <c r="AK20" i="6"/>
  <c r="AL20" i="6"/>
  <c r="AM20" i="6"/>
  <c r="C21" i="6"/>
  <c r="D21" i="6"/>
  <c r="E21" i="6"/>
  <c r="F21" i="6"/>
  <c r="H21" i="6"/>
  <c r="I21" i="6"/>
  <c r="R21" i="6"/>
  <c r="T21" i="6"/>
  <c r="AA21" i="6"/>
  <c r="AB21" i="6"/>
  <c r="AD21" i="6"/>
  <c r="AE21" i="6"/>
  <c r="AF21" i="6"/>
  <c r="AH21" i="6"/>
  <c r="AJ21" i="6"/>
  <c r="AK21" i="6"/>
  <c r="AL21" i="6"/>
  <c r="AM21" i="6"/>
  <c r="C22" i="6"/>
  <c r="D22" i="6"/>
  <c r="E22" i="6"/>
  <c r="F22" i="6"/>
  <c r="H22" i="6"/>
  <c r="I22" i="6"/>
  <c r="R22" i="6"/>
  <c r="T22" i="6"/>
  <c r="AA22" i="6"/>
  <c r="AB22" i="6"/>
  <c r="AD22" i="6"/>
  <c r="AE22" i="6"/>
  <c r="AF22" i="6"/>
  <c r="AH22" i="6"/>
  <c r="AJ22" i="6"/>
  <c r="AK22" i="6"/>
  <c r="AL22" i="6"/>
  <c r="AM22" i="6"/>
  <c r="C23" i="6"/>
  <c r="D23" i="6"/>
  <c r="E23" i="6"/>
  <c r="F23" i="6"/>
  <c r="H23" i="6"/>
  <c r="I23" i="6"/>
  <c r="R23" i="6"/>
  <c r="T23" i="6"/>
  <c r="AA23" i="6"/>
  <c r="AB23" i="6"/>
  <c r="AD23" i="6"/>
  <c r="AE23" i="6"/>
  <c r="AF23" i="6"/>
  <c r="AH23" i="6"/>
  <c r="AJ23" i="6"/>
  <c r="AK23" i="6"/>
  <c r="AL23" i="6"/>
  <c r="AM23" i="6"/>
  <c r="C24" i="6"/>
  <c r="D24" i="6"/>
  <c r="E24" i="6"/>
  <c r="F24" i="6"/>
  <c r="H24" i="6"/>
  <c r="I24" i="6"/>
  <c r="R24" i="6"/>
  <c r="T24" i="6"/>
  <c r="AA24" i="6"/>
  <c r="AB24" i="6"/>
  <c r="AD24" i="6"/>
  <c r="AE24" i="6"/>
  <c r="AF24" i="6"/>
  <c r="AH24" i="6"/>
  <c r="AJ24" i="6"/>
  <c r="AK24" i="6"/>
  <c r="AL24" i="6"/>
  <c r="AM24" i="6"/>
  <c r="C25" i="6"/>
  <c r="D25" i="6"/>
  <c r="E25" i="6"/>
  <c r="F25" i="6"/>
  <c r="H25" i="6"/>
  <c r="I25" i="6"/>
  <c r="R25" i="6"/>
  <c r="T25" i="6"/>
  <c r="AA25" i="6"/>
  <c r="AB25" i="6"/>
  <c r="AD25" i="6"/>
  <c r="AE25" i="6"/>
  <c r="AF25" i="6"/>
  <c r="AH25" i="6"/>
  <c r="AJ25" i="6"/>
  <c r="AK25" i="6"/>
  <c r="AL25" i="6"/>
  <c r="AM25" i="6"/>
  <c r="C26" i="6"/>
  <c r="D26" i="6"/>
  <c r="E26" i="6"/>
  <c r="F26" i="6"/>
  <c r="H26" i="6"/>
  <c r="I26" i="6"/>
  <c r="R26" i="6"/>
  <c r="T26" i="6"/>
  <c r="AA26" i="6"/>
  <c r="AB26" i="6"/>
  <c r="AD26" i="6"/>
  <c r="AE26" i="6"/>
  <c r="AF26" i="6"/>
  <c r="AH26" i="6"/>
  <c r="AJ26" i="6"/>
  <c r="AK26" i="6"/>
  <c r="AL26" i="6"/>
  <c r="AM26" i="6"/>
  <c r="C27" i="6"/>
  <c r="D27" i="6"/>
  <c r="E27" i="6"/>
  <c r="F27" i="6"/>
  <c r="H27" i="6"/>
  <c r="I27" i="6"/>
  <c r="R27" i="6"/>
  <c r="T27" i="6"/>
  <c r="AA27" i="6"/>
  <c r="AB27" i="6"/>
  <c r="AD27" i="6"/>
  <c r="AE27" i="6"/>
  <c r="AF27" i="6"/>
  <c r="AH27" i="6"/>
  <c r="AJ27" i="6"/>
  <c r="AK27" i="6"/>
  <c r="AL27" i="6"/>
  <c r="AM27" i="6"/>
  <c r="C28" i="6"/>
  <c r="D28" i="6"/>
  <c r="E28" i="6"/>
  <c r="F28" i="6"/>
  <c r="H28" i="6"/>
  <c r="I28" i="6"/>
  <c r="R28" i="6"/>
  <c r="T28" i="6"/>
  <c r="AA28" i="6"/>
  <c r="AB28" i="6"/>
  <c r="AD28" i="6"/>
  <c r="AE28" i="6"/>
  <c r="AF28" i="6"/>
  <c r="AH28" i="6"/>
  <c r="AJ28" i="6"/>
  <c r="AK28" i="6"/>
  <c r="AL28" i="6"/>
  <c r="AM28" i="6"/>
  <c r="C29" i="6"/>
  <c r="D29" i="6"/>
  <c r="E29" i="6"/>
  <c r="F29" i="6"/>
  <c r="H29" i="6"/>
  <c r="I29" i="6"/>
  <c r="R29" i="6"/>
  <c r="T29" i="6"/>
  <c r="AA29" i="6"/>
  <c r="AB29" i="6"/>
  <c r="AD29" i="6"/>
  <c r="AE29" i="6"/>
  <c r="AF29" i="6"/>
  <c r="AH29" i="6"/>
  <c r="AJ29" i="6"/>
  <c r="AK29" i="6"/>
  <c r="AL29" i="6"/>
  <c r="AM29" i="6"/>
  <c r="C30" i="6"/>
  <c r="D30" i="6"/>
  <c r="E30" i="6"/>
  <c r="F30" i="6"/>
  <c r="H30" i="6"/>
  <c r="I30" i="6"/>
  <c r="R30" i="6"/>
  <c r="T30" i="6"/>
  <c r="AA30" i="6"/>
  <c r="AB30" i="6"/>
  <c r="AD30" i="6"/>
  <c r="AE30" i="6"/>
  <c r="AF30" i="6"/>
  <c r="AH30" i="6"/>
  <c r="AJ30" i="6"/>
  <c r="AK30" i="6"/>
  <c r="AL30" i="6"/>
  <c r="AM30" i="6"/>
  <c r="C31" i="6"/>
  <c r="D31" i="6"/>
  <c r="E31" i="6"/>
  <c r="F31" i="6"/>
  <c r="H31" i="6"/>
  <c r="I31" i="6"/>
  <c r="R31" i="6"/>
  <c r="T31" i="6"/>
  <c r="AA31" i="6"/>
  <c r="AB31" i="6"/>
  <c r="AD31" i="6"/>
  <c r="AE31" i="6"/>
  <c r="AF31" i="6"/>
  <c r="AH31" i="6"/>
  <c r="AJ31" i="6"/>
  <c r="AK31" i="6"/>
  <c r="AL31" i="6"/>
  <c r="AM31" i="6"/>
  <c r="C32" i="6"/>
  <c r="D32" i="6"/>
  <c r="E32" i="6"/>
  <c r="F32" i="6"/>
  <c r="H32" i="6"/>
  <c r="I32" i="6"/>
  <c r="R32" i="6"/>
  <c r="T32" i="6"/>
  <c r="AA32" i="6"/>
  <c r="AB32" i="6"/>
  <c r="AD32" i="6"/>
  <c r="AE32" i="6"/>
  <c r="AF32" i="6"/>
  <c r="AH32" i="6"/>
  <c r="AJ32" i="6"/>
  <c r="AK32" i="6"/>
  <c r="AL32" i="6"/>
  <c r="AM32" i="6"/>
  <c r="C33" i="6"/>
  <c r="D33" i="6"/>
  <c r="E33" i="6"/>
  <c r="F33" i="6"/>
  <c r="H33" i="6"/>
  <c r="I33" i="6"/>
  <c r="R33" i="6"/>
  <c r="T33" i="6"/>
  <c r="AA33" i="6"/>
  <c r="AB33" i="6"/>
  <c r="AD33" i="6"/>
  <c r="AE33" i="6"/>
  <c r="AF33" i="6"/>
  <c r="AH33" i="6"/>
  <c r="AJ33" i="6"/>
  <c r="AK33" i="6"/>
  <c r="AL33" i="6"/>
  <c r="AM33" i="6"/>
  <c r="C34" i="6"/>
  <c r="D34" i="6"/>
  <c r="E34" i="6"/>
  <c r="F34" i="6"/>
  <c r="H34" i="6"/>
  <c r="I34" i="6"/>
  <c r="R34" i="6"/>
  <c r="T34" i="6"/>
  <c r="AA34" i="6"/>
  <c r="AB34" i="6"/>
  <c r="AD34" i="6"/>
  <c r="AE34" i="6"/>
  <c r="AF34" i="6"/>
  <c r="AH34" i="6"/>
  <c r="AJ34" i="6"/>
  <c r="AK34" i="6"/>
  <c r="AL34" i="6"/>
  <c r="AM34" i="6"/>
  <c r="C35" i="6"/>
  <c r="D35" i="6"/>
  <c r="E35" i="6"/>
  <c r="F35" i="6"/>
  <c r="H35" i="6"/>
  <c r="I35" i="6"/>
  <c r="R35" i="6"/>
  <c r="T35" i="6"/>
  <c r="AA35" i="6"/>
  <c r="AB35" i="6"/>
  <c r="AD35" i="6"/>
  <c r="AE35" i="6"/>
  <c r="AF35" i="6"/>
  <c r="AH35" i="6"/>
  <c r="AJ35" i="6"/>
  <c r="AK35" i="6"/>
  <c r="AL35" i="6"/>
  <c r="AM35" i="6"/>
  <c r="C36" i="6"/>
  <c r="D36" i="6"/>
  <c r="E36" i="6"/>
  <c r="F36" i="6"/>
  <c r="H36" i="6"/>
  <c r="I36" i="6"/>
  <c r="R36" i="6"/>
  <c r="T36" i="6"/>
  <c r="AA36" i="6"/>
  <c r="AB36" i="6"/>
  <c r="AD36" i="6"/>
  <c r="AE36" i="6"/>
  <c r="AF36" i="6"/>
  <c r="AH36" i="6"/>
  <c r="AJ36" i="6"/>
  <c r="AK36" i="6"/>
  <c r="AL36" i="6"/>
  <c r="AM36" i="6"/>
  <c r="C37" i="6"/>
  <c r="D37" i="6"/>
  <c r="E37" i="6"/>
  <c r="F37" i="6"/>
  <c r="H37" i="6"/>
  <c r="I37" i="6"/>
  <c r="R37" i="6"/>
  <c r="T37" i="6"/>
  <c r="AA37" i="6"/>
  <c r="AB37" i="6"/>
  <c r="AD37" i="6"/>
  <c r="AE37" i="6"/>
  <c r="AF37" i="6"/>
  <c r="AH37" i="6"/>
  <c r="AJ37" i="6"/>
  <c r="AK37" i="6"/>
  <c r="AL37" i="6"/>
  <c r="AM37" i="6"/>
  <c r="C38" i="6"/>
  <c r="D38" i="6"/>
  <c r="E38" i="6"/>
  <c r="F38" i="6"/>
  <c r="H38" i="6"/>
  <c r="I38" i="6"/>
  <c r="R38" i="6"/>
  <c r="T38" i="6"/>
  <c r="AA38" i="6"/>
  <c r="AB38" i="6"/>
  <c r="AD38" i="6"/>
  <c r="AE38" i="6"/>
  <c r="AF38" i="6"/>
  <c r="AH38" i="6"/>
  <c r="AJ38" i="6"/>
  <c r="AK38" i="6"/>
  <c r="AL38" i="6"/>
  <c r="AM38" i="6"/>
  <c r="C39" i="6"/>
  <c r="D39" i="6"/>
  <c r="E39" i="6"/>
  <c r="F39" i="6"/>
  <c r="H39" i="6"/>
  <c r="I39" i="6"/>
  <c r="R39" i="6"/>
  <c r="T39" i="6"/>
  <c r="AA39" i="6"/>
  <c r="AB39" i="6"/>
  <c r="AD39" i="6"/>
  <c r="AE39" i="6"/>
  <c r="AF39" i="6"/>
  <c r="AH39" i="6"/>
  <c r="AJ39" i="6"/>
  <c r="AK39" i="6"/>
  <c r="AL39" i="6"/>
  <c r="AM39" i="6"/>
  <c r="C40" i="6"/>
  <c r="D40" i="6"/>
  <c r="E40" i="6"/>
  <c r="F40" i="6"/>
  <c r="H40" i="6"/>
  <c r="I40" i="6"/>
  <c r="R40" i="6"/>
  <c r="T40" i="6"/>
  <c r="AA40" i="6"/>
  <c r="AB40" i="6"/>
  <c r="AD40" i="6"/>
  <c r="AE40" i="6"/>
  <c r="AF40" i="6"/>
  <c r="AH40" i="6"/>
  <c r="AJ40" i="6"/>
  <c r="AK40" i="6"/>
  <c r="AL40" i="6"/>
  <c r="AM40" i="6"/>
  <c r="C41" i="6"/>
  <c r="D41" i="6"/>
  <c r="E41" i="6"/>
  <c r="F41" i="6"/>
  <c r="H41" i="6"/>
  <c r="I41" i="6"/>
  <c r="R41" i="6"/>
  <c r="T41" i="6"/>
  <c r="AA41" i="6"/>
  <c r="AB41" i="6"/>
  <c r="AD41" i="6"/>
  <c r="AE41" i="6"/>
  <c r="AF41" i="6"/>
  <c r="AH41" i="6"/>
  <c r="AJ41" i="6"/>
  <c r="AK41" i="6"/>
  <c r="AL41" i="6"/>
  <c r="AM41" i="6"/>
  <c r="C42" i="6"/>
  <c r="D42" i="6"/>
  <c r="E42" i="6"/>
  <c r="F42" i="6"/>
  <c r="H42" i="6"/>
  <c r="I42" i="6"/>
  <c r="R42" i="6"/>
  <c r="T42" i="6"/>
  <c r="AA42" i="6"/>
  <c r="AB42" i="6"/>
  <c r="AD42" i="6"/>
  <c r="AE42" i="6"/>
  <c r="AF42" i="6"/>
  <c r="AH42" i="6"/>
  <c r="AJ42" i="6"/>
  <c r="AK42" i="6"/>
  <c r="AL42" i="6"/>
  <c r="AM42" i="6"/>
  <c r="C43" i="6"/>
  <c r="D43" i="6"/>
  <c r="E43" i="6"/>
  <c r="F43" i="6"/>
  <c r="H43" i="6"/>
  <c r="I43" i="6"/>
  <c r="R43" i="6"/>
  <c r="T43" i="6"/>
  <c r="AA43" i="6"/>
  <c r="AB43" i="6"/>
  <c r="AD43" i="6"/>
  <c r="AE43" i="6"/>
  <c r="AF43" i="6"/>
  <c r="AH43" i="6"/>
  <c r="AJ43" i="6"/>
  <c r="AK43" i="6"/>
  <c r="AL43" i="6"/>
  <c r="AM43" i="6"/>
  <c r="C44" i="6"/>
  <c r="D44" i="6"/>
  <c r="E44" i="6"/>
  <c r="F44" i="6"/>
  <c r="H44" i="6"/>
  <c r="I44" i="6"/>
  <c r="R44" i="6"/>
  <c r="T44" i="6"/>
  <c r="AA44" i="6"/>
  <c r="AB44" i="6"/>
  <c r="AD44" i="6"/>
  <c r="AE44" i="6"/>
  <c r="AF44" i="6"/>
  <c r="AH44" i="6"/>
  <c r="AJ44" i="6"/>
  <c r="AK44" i="6"/>
  <c r="AL44" i="6"/>
  <c r="AM44" i="6"/>
  <c r="C45" i="6"/>
  <c r="D45" i="6"/>
  <c r="E45" i="6"/>
  <c r="F45" i="6"/>
  <c r="H45" i="6"/>
  <c r="I45" i="6"/>
  <c r="R45" i="6"/>
  <c r="T45" i="6"/>
  <c r="AA45" i="6"/>
  <c r="AB45" i="6"/>
  <c r="AD45" i="6"/>
  <c r="AE45" i="6"/>
  <c r="AF45" i="6"/>
  <c r="AH45" i="6"/>
  <c r="AJ45" i="6"/>
  <c r="AK45" i="6"/>
  <c r="AL45" i="6"/>
  <c r="AM45" i="6"/>
  <c r="C46" i="6"/>
  <c r="D46" i="6"/>
  <c r="E46" i="6"/>
  <c r="F46" i="6"/>
  <c r="H46" i="6"/>
  <c r="I46" i="6"/>
  <c r="R46" i="6"/>
  <c r="T46" i="6"/>
  <c r="AA46" i="6"/>
  <c r="AB46" i="6"/>
  <c r="AD46" i="6"/>
  <c r="AE46" i="6"/>
  <c r="AF46" i="6"/>
  <c r="AH46" i="6"/>
  <c r="AJ46" i="6"/>
  <c r="AK46" i="6"/>
  <c r="AL46" i="6"/>
  <c r="AM46" i="6"/>
  <c r="C47" i="6"/>
  <c r="D47" i="6"/>
  <c r="E47" i="6"/>
  <c r="F47" i="6"/>
  <c r="H47" i="6"/>
  <c r="I47" i="6"/>
  <c r="R47" i="6"/>
  <c r="T47" i="6"/>
  <c r="AA47" i="6"/>
  <c r="AB47" i="6"/>
  <c r="AD47" i="6"/>
  <c r="AE47" i="6"/>
  <c r="AF47" i="6"/>
  <c r="AH47" i="6"/>
  <c r="AJ47" i="6"/>
  <c r="AK47" i="6"/>
  <c r="AL47" i="6"/>
  <c r="AM47" i="6"/>
  <c r="C48" i="6"/>
  <c r="D48" i="6"/>
  <c r="E48" i="6"/>
  <c r="F48" i="6"/>
  <c r="H48" i="6"/>
  <c r="I48" i="6"/>
  <c r="R48" i="6"/>
  <c r="T48" i="6"/>
  <c r="AA48" i="6"/>
  <c r="AB48" i="6"/>
  <c r="AD48" i="6"/>
  <c r="AE48" i="6"/>
  <c r="AF48" i="6"/>
  <c r="AH48" i="6"/>
  <c r="AJ48" i="6"/>
  <c r="AK48" i="6"/>
  <c r="AL48" i="6"/>
  <c r="AM48" i="6"/>
  <c r="C49" i="6"/>
  <c r="D49" i="6"/>
  <c r="E49" i="6"/>
  <c r="F49" i="6"/>
  <c r="H49" i="6"/>
  <c r="I49" i="6"/>
  <c r="R49" i="6"/>
  <c r="T49" i="6"/>
  <c r="AA49" i="6"/>
  <c r="AB49" i="6"/>
  <c r="AD49" i="6"/>
  <c r="AE49" i="6"/>
  <c r="AF49" i="6"/>
  <c r="AH49" i="6"/>
  <c r="AJ49" i="6"/>
  <c r="AK49" i="6"/>
  <c r="AL49" i="6"/>
  <c r="AM49" i="6"/>
  <c r="C50" i="6"/>
  <c r="D50" i="6"/>
  <c r="E50" i="6"/>
  <c r="F50" i="6"/>
  <c r="H50" i="6"/>
  <c r="I50" i="6"/>
  <c r="R50" i="6"/>
  <c r="T50" i="6"/>
  <c r="AA50" i="6"/>
  <c r="AB50" i="6"/>
  <c r="AD50" i="6"/>
  <c r="AE50" i="6"/>
  <c r="AF50" i="6"/>
  <c r="AH50" i="6"/>
  <c r="AJ50" i="6"/>
  <c r="AK50" i="6"/>
  <c r="AL50" i="6"/>
  <c r="AM50" i="6"/>
  <c r="C51" i="6"/>
  <c r="D51" i="6"/>
  <c r="E51" i="6"/>
  <c r="F51" i="6"/>
  <c r="H51" i="6"/>
  <c r="I51" i="6"/>
  <c r="R51" i="6"/>
  <c r="T51" i="6"/>
  <c r="AA51" i="6"/>
  <c r="AB51" i="6"/>
  <c r="AD51" i="6"/>
  <c r="AE51" i="6"/>
  <c r="AF51" i="6"/>
  <c r="AH51" i="6"/>
  <c r="AJ51" i="6"/>
  <c r="AK51" i="6"/>
  <c r="AL51" i="6"/>
  <c r="AM51" i="6"/>
  <c r="C52" i="6"/>
  <c r="D52" i="6"/>
  <c r="E52" i="6"/>
  <c r="F52" i="6"/>
  <c r="H52" i="6"/>
  <c r="I52" i="6"/>
  <c r="R52" i="6"/>
  <c r="T52" i="6"/>
  <c r="AA52" i="6"/>
  <c r="AB52" i="6"/>
  <c r="AD52" i="6"/>
  <c r="AE52" i="6"/>
  <c r="AF52" i="6"/>
  <c r="AH52" i="6"/>
  <c r="AJ52" i="6"/>
  <c r="AK52" i="6"/>
  <c r="AL52" i="6"/>
  <c r="AM52" i="6"/>
  <c r="C53" i="6"/>
  <c r="D53" i="6"/>
  <c r="E53" i="6"/>
  <c r="F53" i="6"/>
  <c r="H53" i="6"/>
  <c r="I53" i="6"/>
  <c r="R53" i="6"/>
  <c r="T53" i="6"/>
  <c r="AA53" i="6"/>
  <c r="AB53" i="6"/>
  <c r="AD53" i="6"/>
  <c r="AE53" i="6"/>
  <c r="AF53" i="6"/>
  <c r="AH53" i="6"/>
  <c r="AJ53" i="6"/>
  <c r="AK53" i="6"/>
  <c r="AL53" i="6"/>
  <c r="AM53" i="6"/>
  <c r="C54" i="6"/>
  <c r="D54" i="6"/>
  <c r="E54" i="6"/>
  <c r="F54" i="6"/>
  <c r="H54" i="6"/>
  <c r="I54" i="6"/>
  <c r="R54" i="6"/>
  <c r="T54" i="6"/>
  <c r="AA54" i="6"/>
  <c r="AB54" i="6"/>
  <c r="AD54" i="6"/>
  <c r="AE54" i="6"/>
  <c r="AF54" i="6"/>
  <c r="AH54" i="6"/>
  <c r="AJ54" i="6"/>
  <c r="AK54" i="6"/>
  <c r="AL54" i="6"/>
  <c r="AM54" i="6"/>
  <c r="C55" i="6"/>
  <c r="D55" i="6"/>
  <c r="E55" i="6"/>
  <c r="F55" i="6"/>
  <c r="H55" i="6"/>
  <c r="I55" i="6"/>
  <c r="R55" i="6"/>
  <c r="T55" i="6"/>
  <c r="AA55" i="6"/>
  <c r="AB55" i="6"/>
  <c r="AD55" i="6"/>
  <c r="AE55" i="6"/>
  <c r="AF55" i="6"/>
  <c r="AH55" i="6"/>
  <c r="AJ55" i="6"/>
  <c r="AK55" i="6"/>
  <c r="AL55" i="6"/>
  <c r="AM55" i="6"/>
  <c r="C56" i="6"/>
  <c r="D56" i="6"/>
  <c r="E56" i="6"/>
  <c r="F56" i="6"/>
  <c r="H56" i="6"/>
  <c r="I56" i="6"/>
  <c r="R56" i="6"/>
  <c r="T56" i="6"/>
  <c r="AA56" i="6"/>
  <c r="AB56" i="6"/>
  <c r="AD56" i="6"/>
  <c r="AE56" i="6"/>
  <c r="AF56" i="6"/>
  <c r="AH56" i="6"/>
  <c r="AJ56" i="6"/>
  <c r="AK56" i="6"/>
  <c r="AL56" i="6"/>
  <c r="AM56" i="6"/>
  <c r="C57" i="6"/>
  <c r="D57" i="6"/>
  <c r="E57" i="6"/>
  <c r="F57" i="6"/>
  <c r="H57" i="6"/>
  <c r="I57" i="6"/>
  <c r="R57" i="6"/>
  <c r="T57" i="6"/>
  <c r="AA57" i="6"/>
  <c r="AB57" i="6"/>
  <c r="AD57" i="6"/>
  <c r="AE57" i="6"/>
  <c r="AF57" i="6"/>
  <c r="AH57" i="6"/>
  <c r="AJ57" i="6"/>
  <c r="AK57" i="6"/>
  <c r="AL57" i="6"/>
  <c r="AM57" i="6"/>
  <c r="C58" i="6"/>
  <c r="D58" i="6"/>
  <c r="E58" i="6"/>
  <c r="F58" i="6"/>
  <c r="H58" i="6"/>
  <c r="I58" i="6"/>
  <c r="R58" i="6"/>
  <c r="T58" i="6"/>
  <c r="AA58" i="6"/>
  <c r="AB58" i="6"/>
  <c r="AD58" i="6"/>
  <c r="AE58" i="6"/>
  <c r="AF58" i="6"/>
  <c r="AH58" i="6"/>
  <c r="AJ58" i="6"/>
  <c r="AK58" i="6"/>
  <c r="AL58" i="6"/>
  <c r="AM58" i="6"/>
  <c r="C59" i="6"/>
  <c r="D59" i="6"/>
  <c r="E59" i="6"/>
  <c r="F59" i="6"/>
  <c r="H59" i="6"/>
  <c r="I59" i="6"/>
  <c r="R59" i="6"/>
  <c r="T59" i="6"/>
  <c r="AA59" i="6"/>
  <c r="AB59" i="6"/>
  <c r="AD59" i="6"/>
  <c r="AE59" i="6"/>
  <c r="AF59" i="6"/>
  <c r="AH59" i="6"/>
  <c r="AJ59" i="6"/>
  <c r="AK59" i="6"/>
  <c r="AL59" i="6"/>
  <c r="AM59" i="6"/>
  <c r="C60" i="6"/>
  <c r="D60" i="6"/>
  <c r="E60" i="6"/>
  <c r="F60" i="6"/>
  <c r="H60" i="6"/>
  <c r="I60" i="6"/>
  <c r="R60" i="6"/>
  <c r="T60" i="6"/>
  <c r="AA60" i="6"/>
  <c r="AB60" i="6"/>
  <c r="AD60" i="6"/>
  <c r="AE60" i="6"/>
  <c r="AF60" i="6"/>
  <c r="AH60" i="6"/>
  <c r="AJ60" i="6"/>
  <c r="AK60" i="6"/>
  <c r="AL60" i="6"/>
  <c r="AM60" i="6"/>
  <c r="C61" i="6"/>
  <c r="D61" i="6"/>
  <c r="E61" i="6"/>
  <c r="F61" i="6"/>
  <c r="H61" i="6"/>
  <c r="I61" i="6"/>
  <c r="R61" i="6"/>
  <c r="T61" i="6"/>
  <c r="AA61" i="6"/>
  <c r="AB61" i="6"/>
  <c r="AD61" i="6"/>
  <c r="AE61" i="6"/>
  <c r="AF61" i="6"/>
  <c r="AH61" i="6"/>
  <c r="AJ61" i="6"/>
  <c r="AK61" i="6"/>
  <c r="AL61" i="6"/>
  <c r="AM61" i="6"/>
  <c r="C62" i="6"/>
  <c r="D62" i="6"/>
  <c r="E62" i="6"/>
  <c r="F62" i="6"/>
  <c r="H62" i="6"/>
  <c r="I62" i="6"/>
  <c r="R62" i="6"/>
  <c r="T62" i="6"/>
  <c r="AA62" i="6"/>
  <c r="AB62" i="6"/>
  <c r="AD62" i="6"/>
  <c r="AE62" i="6"/>
  <c r="AF62" i="6"/>
  <c r="AH62" i="6"/>
  <c r="AJ62" i="6"/>
  <c r="AK62" i="6"/>
  <c r="AL62" i="6"/>
  <c r="AM62" i="6"/>
  <c r="C63" i="6"/>
  <c r="D63" i="6"/>
  <c r="E63" i="6"/>
  <c r="F63" i="6"/>
  <c r="H63" i="6"/>
  <c r="I63" i="6"/>
  <c r="R63" i="6"/>
  <c r="T63" i="6"/>
  <c r="AA63" i="6"/>
  <c r="AB63" i="6"/>
  <c r="AD63" i="6"/>
  <c r="AE63" i="6"/>
  <c r="AF63" i="6"/>
  <c r="AH63" i="6"/>
  <c r="AJ63" i="6"/>
  <c r="AK63" i="6"/>
  <c r="AL63" i="6"/>
  <c r="AM63" i="6"/>
  <c r="C64" i="6"/>
  <c r="D64" i="6"/>
  <c r="E64" i="6"/>
  <c r="F64" i="6"/>
  <c r="H64" i="6"/>
  <c r="I64" i="6"/>
  <c r="R64" i="6"/>
  <c r="T64" i="6"/>
  <c r="AA64" i="6"/>
  <c r="AB64" i="6"/>
  <c r="AD64" i="6"/>
  <c r="AE64" i="6"/>
  <c r="AF64" i="6"/>
  <c r="AH64" i="6"/>
  <c r="AJ64" i="6"/>
  <c r="AK64" i="6"/>
  <c r="AL64" i="6"/>
  <c r="AM64" i="6"/>
  <c r="C65" i="6"/>
  <c r="D65" i="6"/>
  <c r="E65" i="6"/>
  <c r="F65" i="6"/>
  <c r="H65" i="6"/>
  <c r="I65" i="6"/>
  <c r="R65" i="6"/>
  <c r="T65" i="6"/>
  <c r="AA65" i="6"/>
  <c r="AB65" i="6"/>
  <c r="AD65" i="6"/>
  <c r="AE65" i="6"/>
  <c r="AF65" i="6"/>
  <c r="AH65" i="6"/>
  <c r="AJ65" i="6"/>
  <c r="AK65" i="6"/>
  <c r="AL65" i="6"/>
  <c r="AM65" i="6"/>
  <c r="C66" i="6"/>
  <c r="D66" i="6"/>
  <c r="E66" i="6"/>
  <c r="F66" i="6"/>
  <c r="H66" i="6"/>
  <c r="I66" i="6"/>
  <c r="R66" i="6"/>
  <c r="T66" i="6"/>
  <c r="AA66" i="6"/>
  <c r="AB66" i="6"/>
  <c r="AD66" i="6"/>
  <c r="AE66" i="6"/>
  <c r="AF66" i="6"/>
  <c r="AH66" i="6"/>
  <c r="AJ66" i="6"/>
  <c r="AK66" i="6"/>
  <c r="AL66" i="6"/>
  <c r="AM66" i="6"/>
  <c r="C67" i="6"/>
  <c r="D67" i="6"/>
  <c r="E67" i="6"/>
  <c r="F67" i="6"/>
  <c r="H67" i="6"/>
  <c r="I67" i="6"/>
  <c r="R67" i="6"/>
  <c r="T67" i="6"/>
  <c r="AA67" i="6"/>
  <c r="AB67" i="6"/>
  <c r="AD67" i="6"/>
  <c r="AE67" i="6"/>
  <c r="AF67" i="6"/>
  <c r="AH67" i="6"/>
  <c r="AJ67" i="6"/>
  <c r="AK67" i="6"/>
  <c r="AL67" i="6"/>
  <c r="AM67" i="6"/>
  <c r="C68" i="6"/>
  <c r="D68" i="6"/>
  <c r="E68" i="6"/>
  <c r="F68" i="6"/>
  <c r="H68" i="6"/>
  <c r="I68" i="6"/>
  <c r="R68" i="6"/>
  <c r="T68" i="6"/>
  <c r="AA68" i="6"/>
  <c r="AB68" i="6"/>
  <c r="AD68" i="6"/>
  <c r="AE68" i="6"/>
  <c r="AF68" i="6"/>
  <c r="AH68" i="6"/>
  <c r="AJ68" i="6"/>
  <c r="AK68" i="6"/>
  <c r="AL68" i="6"/>
  <c r="AM68" i="6"/>
  <c r="C69" i="6"/>
  <c r="D69" i="6"/>
  <c r="E69" i="6"/>
  <c r="F69" i="6"/>
  <c r="H69" i="6"/>
  <c r="I69" i="6"/>
  <c r="R69" i="6"/>
  <c r="T69" i="6"/>
  <c r="AA69" i="6"/>
  <c r="AB69" i="6"/>
  <c r="AD69" i="6"/>
  <c r="AE69" i="6"/>
  <c r="AF69" i="6"/>
  <c r="AH69" i="6"/>
  <c r="AJ69" i="6"/>
  <c r="AK69" i="6"/>
  <c r="AL69" i="6"/>
  <c r="AM69" i="6"/>
  <c r="C70" i="6"/>
  <c r="D70" i="6"/>
  <c r="E70" i="6"/>
  <c r="F70" i="6"/>
  <c r="H70" i="6"/>
  <c r="I70" i="6"/>
  <c r="R70" i="6"/>
  <c r="T70" i="6"/>
  <c r="AA70" i="6"/>
  <c r="AB70" i="6"/>
  <c r="AD70" i="6"/>
  <c r="AE70" i="6"/>
  <c r="AF70" i="6"/>
  <c r="AH70" i="6"/>
  <c r="AJ70" i="6"/>
  <c r="AK70" i="6"/>
  <c r="AL70" i="6"/>
  <c r="AM70" i="6"/>
  <c r="C71" i="6"/>
  <c r="D71" i="6"/>
  <c r="E71" i="6"/>
  <c r="F71" i="6"/>
  <c r="H71" i="6"/>
  <c r="I71" i="6"/>
  <c r="R71" i="6"/>
  <c r="T71" i="6"/>
  <c r="AA71" i="6"/>
  <c r="AB71" i="6"/>
  <c r="AD71" i="6"/>
  <c r="AE71" i="6"/>
  <c r="AF71" i="6"/>
  <c r="AH71" i="6"/>
  <c r="AJ71" i="6"/>
  <c r="AK71" i="6"/>
  <c r="AL71" i="6"/>
  <c r="AM71" i="6"/>
  <c r="C72" i="6"/>
  <c r="D72" i="6"/>
  <c r="E72" i="6"/>
  <c r="F72" i="6"/>
  <c r="H72" i="6"/>
  <c r="I72" i="6"/>
  <c r="R72" i="6"/>
  <c r="T72" i="6"/>
  <c r="AA72" i="6"/>
  <c r="AB72" i="6"/>
  <c r="AD72" i="6"/>
  <c r="AE72" i="6"/>
  <c r="AF72" i="6"/>
  <c r="AH72" i="6"/>
  <c r="AJ72" i="6"/>
  <c r="AK72" i="6"/>
  <c r="AL72" i="6"/>
  <c r="AM72" i="6"/>
  <c r="C73" i="6"/>
  <c r="D73" i="6"/>
  <c r="E73" i="6"/>
  <c r="F73" i="6"/>
  <c r="H73" i="6"/>
  <c r="I73" i="6"/>
  <c r="R73" i="6"/>
  <c r="T73" i="6"/>
  <c r="AA73" i="6"/>
  <c r="AB73" i="6"/>
  <c r="AD73" i="6"/>
  <c r="AE73" i="6"/>
  <c r="AF73" i="6"/>
  <c r="AH73" i="6"/>
  <c r="AJ73" i="6"/>
  <c r="AK73" i="6"/>
  <c r="AL73" i="6"/>
  <c r="AM73" i="6"/>
  <c r="C74" i="6"/>
  <c r="D74" i="6"/>
  <c r="E74" i="6"/>
  <c r="F74" i="6"/>
  <c r="H74" i="6"/>
  <c r="I74" i="6"/>
  <c r="R74" i="6"/>
  <c r="T74" i="6"/>
  <c r="AA74" i="6"/>
  <c r="AB74" i="6"/>
  <c r="AD74" i="6"/>
  <c r="AE74" i="6"/>
  <c r="AF74" i="6"/>
  <c r="AH74" i="6"/>
  <c r="AJ74" i="6"/>
  <c r="AK74" i="6"/>
  <c r="AL74" i="6"/>
  <c r="AM74" i="6"/>
  <c r="C75" i="6"/>
  <c r="D75" i="6"/>
  <c r="E75" i="6"/>
  <c r="F75" i="6"/>
  <c r="H75" i="6"/>
  <c r="I75" i="6"/>
  <c r="R75" i="6"/>
  <c r="T75" i="6"/>
  <c r="AA75" i="6"/>
  <c r="AB75" i="6"/>
  <c r="AD75" i="6"/>
  <c r="AE75" i="6"/>
  <c r="AF75" i="6"/>
  <c r="AH75" i="6"/>
  <c r="AJ75" i="6"/>
  <c r="AK75" i="6"/>
  <c r="AL75" i="6"/>
  <c r="AM75" i="6"/>
  <c r="C76" i="6"/>
  <c r="D76" i="6"/>
  <c r="E76" i="6"/>
  <c r="F76" i="6"/>
  <c r="H76" i="6"/>
  <c r="I76" i="6"/>
  <c r="R76" i="6"/>
  <c r="T76" i="6"/>
  <c r="AA76" i="6"/>
  <c r="AB76" i="6"/>
  <c r="AD76" i="6"/>
  <c r="AE76" i="6"/>
  <c r="AF76" i="6"/>
  <c r="AH76" i="6"/>
  <c r="AJ76" i="6"/>
  <c r="AK76" i="6"/>
  <c r="AL76" i="6"/>
  <c r="AM76" i="6"/>
  <c r="C77" i="6"/>
  <c r="D77" i="6"/>
  <c r="E77" i="6"/>
  <c r="F77" i="6"/>
  <c r="H77" i="6"/>
  <c r="I77" i="6"/>
  <c r="R77" i="6"/>
  <c r="T77" i="6"/>
  <c r="AA77" i="6"/>
  <c r="AB77" i="6"/>
  <c r="AD77" i="6"/>
  <c r="AE77" i="6"/>
  <c r="AF77" i="6"/>
  <c r="AH77" i="6"/>
  <c r="AJ77" i="6"/>
  <c r="AK77" i="6"/>
  <c r="AL77" i="6"/>
  <c r="AM77" i="6"/>
  <c r="C78" i="6"/>
  <c r="D78" i="6"/>
  <c r="E78" i="6"/>
  <c r="F78" i="6"/>
  <c r="H78" i="6"/>
  <c r="I78" i="6"/>
  <c r="R78" i="6"/>
  <c r="T78" i="6"/>
  <c r="AA78" i="6"/>
  <c r="AB78" i="6"/>
  <c r="AD78" i="6"/>
  <c r="AE78" i="6"/>
  <c r="AF78" i="6"/>
  <c r="AH78" i="6"/>
  <c r="AJ78" i="6"/>
  <c r="AK78" i="6"/>
  <c r="AL78" i="6"/>
  <c r="AM78" i="6"/>
  <c r="C79" i="6"/>
  <c r="D79" i="6"/>
  <c r="E79" i="6"/>
  <c r="F79" i="6"/>
  <c r="H79" i="6"/>
  <c r="I79" i="6"/>
  <c r="R79" i="6"/>
  <c r="T79" i="6"/>
  <c r="AA79" i="6"/>
  <c r="AB79" i="6"/>
  <c r="AD79" i="6"/>
  <c r="AE79" i="6"/>
  <c r="AF79" i="6"/>
  <c r="AH79" i="6"/>
  <c r="AJ79" i="6"/>
  <c r="AK79" i="6"/>
  <c r="AL79" i="6"/>
  <c r="AM79" i="6"/>
  <c r="C80" i="6"/>
  <c r="D80" i="6"/>
  <c r="E80" i="6"/>
  <c r="F80" i="6"/>
  <c r="H80" i="6"/>
  <c r="I80" i="6"/>
  <c r="R80" i="6"/>
  <c r="T80" i="6"/>
  <c r="AA80" i="6"/>
  <c r="AB80" i="6"/>
  <c r="AD80" i="6"/>
  <c r="AE80" i="6"/>
  <c r="AF80" i="6"/>
  <c r="AH80" i="6"/>
  <c r="AJ80" i="6"/>
  <c r="AK80" i="6"/>
  <c r="AL80" i="6"/>
  <c r="AM80" i="6"/>
  <c r="C81" i="6"/>
  <c r="D81" i="6"/>
  <c r="E81" i="6"/>
  <c r="F81" i="6"/>
  <c r="H81" i="6"/>
  <c r="I81" i="6"/>
  <c r="R81" i="6"/>
  <c r="T81" i="6"/>
  <c r="AA81" i="6"/>
  <c r="AB81" i="6"/>
  <c r="AD81" i="6"/>
  <c r="AE81" i="6"/>
  <c r="AF81" i="6"/>
  <c r="AH81" i="6"/>
  <c r="AJ81" i="6"/>
  <c r="AK81" i="6"/>
  <c r="AL81" i="6"/>
  <c r="AM81" i="6"/>
  <c r="C82" i="6"/>
  <c r="D82" i="6"/>
  <c r="E82" i="6"/>
  <c r="F82" i="6"/>
  <c r="H82" i="6"/>
  <c r="I82" i="6"/>
  <c r="R82" i="6"/>
  <c r="T82" i="6"/>
  <c r="AA82" i="6"/>
  <c r="AB82" i="6"/>
  <c r="AD82" i="6"/>
  <c r="AE82" i="6"/>
  <c r="AF82" i="6"/>
  <c r="AH82" i="6"/>
  <c r="AJ82" i="6"/>
  <c r="AK82" i="6"/>
  <c r="AL82" i="6"/>
  <c r="AM82" i="6"/>
  <c r="C83" i="6"/>
  <c r="D83" i="6"/>
  <c r="E83" i="6"/>
  <c r="F83" i="6"/>
  <c r="H83" i="6"/>
  <c r="I83" i="6"/>
  <c r="R83" i="6"/>
  <c r="T83" i="6"/>
  <c r="AA83" i="6"/>
  <c r="AB83" i="6"/>
  <c r="AD83" i="6"/>
  <c r="AE83" i="6"/>
  <c r="AF83" i="6"/>
  <c r="AH83" i="6"/>
  <c r="AJ83" i="6"/>
  <c r="AK83" i="6"/>
  <c r="AL83" i="6"/>
  <c r="AM83" i="6"/>
  <c r="C84" i="6"/>
  <c r="D84" i="6"/>
  <c r="E84" i="6"/>
  <c r="F84" i="6"/>
  <c r="H84" i="6"/>
  <c r="I84" i="6"/>
  <c r="R84" i="6"/>
  <c r="T84" i="6"/>
  <c r="AA84" i="6"/>
  <c r="AB84" i="6"/>
  <c r="AD84" i="6"/>
  <c r="AE84" i="6"/>
  <c r="AF84" i="6"/>
  <c r="AH84" i="6"/>
  <c r="AJ84" i="6"/>
  <c r="AK84" i="6"/>
  <c r="AL84" i="6"/>
  <c r="AM84" i="6"/>
  <c r="C85" i="6"/>
  <c r="D85" i="6"/>
  <c r="E85" i="6"/>
  <c r="F85" i="6"/>
  <c r="H85" i="6"/>
  <c r="I85" i="6"/>
  <c r="R85" i="6"/>
  <c r="T85" i="6"/>
  <c r="AA85" i="6"/>
  <c r="AB85" i="6"/>
  <c r="AD85" i="6"/>
  <c r="AE85" i="6"/>
  <c r="AF85" i="6"/>
  <c r="AH85" i="6"/>
  <c r="AJ85" i="6"/>
  <c r="AK85" i="6"/>
  <c r="AL85" i="6"/>
  <c r="AM85" i="6"/>
  <c r="C86" i="6"/>
  <c r="D86" i="6"/>
  <c r="E86" i="6"/>
  <c r="F86" i="6"/>
  <c r="H86" i="6"/>
  <c r="I86" i="6"/>
  <c r="R86" i="6"/>
  <c r="T86" i="6"/>
  <c r="AA86" i="6"/>
  <c r="AB86" i="6"/>
  <c r="AD86" i="6"/>
  <c r="AE86" i="6"/>
  <c r="AF86" i="6"/>
  <c r="AH86" i="6"/>
  <c r="AJ86" i="6"/>
  <c r="AK86" i="6"/>
  <c r="AL86" i="6"/>
  <c r="AM86" i="6"/>
  <c r="C87" i="6"/>
  <c r="D87" i="6"/>
  <c r="E87" i="6"/>
  <c r="F87" i="6"/>
  <c r="H87" i="6"/>
  <c r="I87" i="6"/>
  <c r="R87" i="6"/>
  <c r="T87" i="6"/>
  <c r="AA87" i="6"/>
  <c r="AB87" i="6"/>
  <c r="AD87" i="6"/>
  <c r="AE87" i="6"/>
  <c r="AF87" i="6"/>
  <c r="AH87" i="6"/>
  <c r="AJ87" i="6"/>
  <c r="AK87" i="6"/>
  <c r="AL87" i="6"/>
  <c r="AM87" i="6"/>
  <c r="C88" i="6"/>
  <c r="D88" i="6"/>
  <c r="E88" i="6"/>
  <c r="F88" i="6"/>
  <c r="H88" i="6"/>
  <c r="I88" i="6"/>
  <c r="R88" i="6"/>
  <c r="T88" i="6"/>
  <c r="AA88" i="6"/>
  <c r="AB88" i="6"/>
  <c r="AD88" i="6"/>
  <c r="AE88" i="6"/>
  <c r="AF88" i="6"/>
  <c r="AH88" i="6"/>
  <c r="AJ88" i="6"/>
  <c r="AK88" i="6"/>
  <c r="AL88" i="6"/>
  <c r="AM88" i="6"/>
  <c r="C89" i="6"/>
  <c r="D89" i="6"/>
  <c r="E89" i="6"/>
  <c r="F89" i="6"/>
  <c r="H89" i="6"/>
  <c r="I89" i="6"/>
  <c r="R89" i="6"/>
  <c r="T89" i="6"/>
  <c r="AA89" i="6"/>
  <c r="AB89" i="6"/>
  <c r="AD89" i="6"/>
  <c r="AE89" i="6"/>
  <c r="AF89" i="6"/>
  <c r="AH89" i="6"/>
  <c r="AJ89" i="6"/>
  <c r="AK89" i="6"/>
  <c r="AL89" i="6"/>
  <c r="AM89" i="6"/>
  <c r="C90" i="6"/>
  <c r="D90" i="6"/>
  <c r="E90" i="6"/>
  <c r="F90" i="6"/>
  <c r="H90" i="6"/>
  <c r="I90" i="6"/>
  <c r="R90" i="6"/>
  <c r="T90" i="6"/>
  <c r="AA90" i="6"/>
  <c r="AB90" i="6"/>
  <c r="AD90" i="6"/>
  <c r="AE90" i="6"/>
  <c r="AF90" i="6"/>
  <c r="AH90" i="6"/>
  <c r="AJ90" i="6"/>
  <c r="AK90" i="6"/>
  <c r="AL90" i="6"/>
  <c r="AM90" i="6"/>
  <c r="C91" i="6"/>
  <c r="D91" i="6"/>
  <c r="E91" i="6"/>
  <c r="F91" i="6"/>
  <c r="H91" i="6"/>
  <c r="I91" i="6"/>
  <c r="R91" i="6"/>
  <c r="T91" i="6"/>
  <c r="AA91" i="6"/>
  <c r="AB91" i="6"/>
  <c r="AD91" i="6"/>
  <c r="AE91" i="6"/>
  <c r="AF91" i="6"/>
  <c r="AH91" i="6"/>
  <c r="AJ91" i="6"/>
  <c r="AK91" i="6"/>
  <c r="AL91" i="6"/>
  <c r="AM91" i="6"/>
  <c r="C92" i="6"/>
  <c r="D92" i="6"/>
  <c r="E92" i="6"/>
  <c r="F92" i="6"/>
  <c r="H92" i="6"/>
  <c r="I92" i="6"/>
  <c r="R92" i="6"/>
  <c r="T92" i="6"/>
  <c r="AA92" i="6"/>
  <c r="AB92" i="6"/>
  <c r="AD92" i="6"/>
  <c r="AE92" i="6"/>
  <c r="AF92" i="6"/>
  <c r="AH92" i="6"/>
  <c r="AJ92" i="6"/>
  <c r="AK92" i="6"/>
  <c r="AL92" i="6"/>
  <c r="AM92" i="6"/>
  <c r="C93" i="6"/>
  <c r="D93" i="6"/>
  <c r="E93" i="6"/>
  <c r="F93" i="6"/>
  <c r="H93" i="6"/>
  <c r="I93" i="6"/>
  <c r="R93" i="6"/>
  <c r="T93" i="6"/>
  <c r="AA93" i="6"/>
  <c r="AB93" i="6"/>
  <c r="AD93" i="6"/>
  <c r="AE93" i="6"/>
  <c r="AF93" i="6"/>
  <c r="AH93" i="6"/>
  <c r="AJ93" i="6"/>
  <c r="AK93" i="6"/>
  <c r="AL93" i="6"/>
  <c r="AM93" i="6"/>
  <c r="C94" i="6"/>
  <c r="D94" i="6"/>
  <c r="E94" i="6"/>
  <c r="F94" i="6"/>
  <c r="H94" i="6"/>
  <c r="I94" i="6"/>
  <c r="R94" i="6"/>
  <c r="T94" i="6"/>
  <c r="AA94" i="6"/>
  <c r="AB94" i="6"/>
  <c r="AD94" i="6"/>
  <c r="AE94" i="6"/>
  <c r="AF94" i="6"/>
  <c r="AH94" i="6"/>
  <c r="AJ94" i="6"/>
  <c r="AK94" i="6"/>
  <c r="AL94" i="6"/>
  <c r="AM94" i="6"/>
  <c r="C95" i="6"/>
  <c r="D95" i="6"/>
  <c r="E95" i="6"/>
  <c r="F95" i="6"/>
  <c r="H95" i="6"/>
  <c r="I95" i="6"/>
  <c r="R95" i="6"/>
  <c r="T95" i="6"/>
  <c r="AA95" i="6"/>
  <c r="AB95" i="6"/>
  <c r="AD95" i="6"/>
  <c r="AE95" i="6"/>
  <c r="AF95" i="6"/>
  <c r="AH95" i="6"/>
  <c r="AJ95" i="6"/>
  <c r="AK95" i="6"/>
  <c r="AL95" i="6"/>
  <c r="AM95" i="6"/>
  <c r="C96" i="6"/>
  <c r="D96" i="6"/>
  <c r="E96" i="6"/>
  <c r="F96" i="6"/>
  <c r="H96" i="6"/>
  <c r="I96" i="6"/>
  <c r="R96" i="6"/>
  <c r="T96" i="6"/>
  <c r="AA96" i="6"/>
  <c r="AB96" i="6"/>
  <c r="AD96" i="6"/>
  <c r="AE96" i="6"/>
  <c r="AF96" i="6"/>
  <c r="AH96" i="6"/>
  <c r="AJ96" i="6"/>
  <c r="AK96" i="6"/>
  <c r="AL96" i="6"/>
  <c r="AM96" i="6"/>
  <c r="C97" i="6"/>
  <c r="D97" i="6"/>
  <c r="E97" i="6"/>
  <c r="F97" i="6"/>
  <c r="H97" i="6"/>
  <c r="I97" i="6"/>
  <c r="R97" i="6"/>
  <c r="T97" i="6"/>
  <c r="AA97" i="6"/>
  <c r="AB97" i="6"/>
  <c r="AD97" i="6"/>
  <c r="AE97" i="6"/>
  <c r="AF97" i="6"/>
  <c r="AH97" i="6"/>
  <c r="AJ97" i="6"/>
  <c r="AK97" i="6"/>
  <c r="AL97" i="6"/>
  <c r="AM97" i="6"/>
  <c r="C98" i="6"/>
  <c r="D98" i="6"/>
  <c r="E98" i="6"/>
  <c r="F98" i="6"/>
  <c r="H98" i="6"/>
  <c r="I98" i="6"/>
  <c r="R98" i="6"/>
  <c r="T98" i="6"/>
  <c r="AA98" i="6"/>
  <c r="AB98" i="6"/>
  <c r="AD98" i="6"/>
  <c r="AE98" i="6"/>
  <c r="AF98" i="6"/>
  <c r="AH98" i="6"/>
  <c r="AJ98" i="6"/>
  <c r="AK98" i="6"/>
  <c r="AL98" i="6"/>
  <c r="AM98" i="6"/>
  <c r="C99" i="6"/>
  <c r="D99" i="6"/>
  <c r="E99" i="6"/>
  <c r="F99" i="6"/>
  <c r="H99" i="6"/>
  <c r="I99" i="6"/>
  <c r="R99" i="6"/>
  <c r="T99" i="6"/>
  <c r="AA99" i="6"/>
  <c r="AB99" i="6"/>
  <c r="AD99" i="6"/>
  <c r="AE99" i="6"/>
  <c r="AF99" i="6"/>
  <c r="AH99" i="6"/>
  <c r="AJ99" i="6"/>
  <c r="AK99" i="6"/>
  <c r="AL99" i="6"/>
  <c r="AM99" i="6"/>
  <c r="C100" i="6"/>
  <c r="D100" i="6"/>
  <c r="E100" i="6"/>
  <c r="F100" i="6"/>
  <c r="H100" i="6"/>
  <c r="I100" i="6"/>
  <c r="R100" i="6"/>
  <c r="T100" i="6"/>
  <c r="AA100" i="6"/>
  <c r="AB100" i="6"/>
  <c r="AD100" i="6"/>
  <c r="AE100" i="6"/>
  <c r="AF100" i="6"/>
  <c r="AH100" i="6"/>
  <c r="AJ100" i="6"/>
  <c r="AK100" i="6"/>
  <c r="AL100" i="6"/>
  <c r="AM100" i="6"/>
  <c r="C101" i="6"/>
  <c r="D101" i="6"/>
  <c r="E101" i="6"/>
  <c r="F101" i="6"/>
  <c r="H101" i="6"/>
  <c r="I101" i="6"/>
  <c r="R101" i="6"/>
  <c r="T101" i="6"/>
  <c r="AA101" i="6"/>
  <c r="AB101" i="6"/>
  <c r="AD101" i="6"/>
  <c r="AE101" i="6"/>
  <c r="AF101" i="6"/>
  <c r="AH101" i="6"/>
  <c r="AJ101" i="6"/>
  <c r="AK101" i="6"/>
  <c r="AL101" i="6"/>
  <c r="AM101" i="6"/>
  <c r="C102" i="6"/>
  <c r="D102" i="6"/>
  <c r="E102" i="6"/>
  <c r="F102" i="6"/>
  <c r="H102" i="6"/>
  <c r="I102" i="6"/>
  <c r="R102" i="6"/>
  <c r="T102" i="6"/>
  <c r="AA102" i="6"/>
  <c r="AB102" i="6"/>
  <c r="AD102" i="6"/>
  <c r="AE102" i="6"/>
  <c r="AF102" i="6"/>
  <c r="AH102" i="6"/>
  <c r="AJ102" i="6"/>
  <c r="AK102" i="6"/>
  <c r="AL102" i="6"/>
  <c r="AM102" i="6"/>
  <c r="C103" i="6"/>
  <c r="D103" i="6"/>
  <c r="E103" i="6"/>
  <c r="F103" i="6"/>
  <c r="H103" i="6"/>
  <c r="I103" i="6"/>
  <c r="R103" i="6"/>
  <c r="T103" i="6"/>
  <c r="AA103" i="6"/>
  <c r="AB103" i="6"/>
  <c r="AD103" i="6"/>
  <c r="AE103" i="6"/>
  <c r="AF103" i="6"/>
  <c r="AH103" i="6"/>
  <c r="AJ103" i="6"/>
  <c r="AK103" i="6"/>
  <c r="AL103" i="6"/>
  <c r="AM103" i="6"/>
  <c r="C104" i="6"/>
  <c r="D104" i="6"/>
  <c r="E104" i="6"/>
  <c r="F104" i="6"/>
  <c r="H104" i="6"/>
  <c r="I104" i="6"/>
  <c r="R104" i="6"/>
  <c r="T104" i="6"/>
  <c r="AA104" i="6"/>
  <c r="AB104" i="6"/>
  <c r="AD104" i="6"/>
  <c r="AE104" i="6"/>
  <c r="AF104" i="6"/>
  <c r="AH104" i="6"/>
  <c r="AJ104" i="6"/>
  <c r="AK104" i="6"/>
  <c r="AL104" i="6"/>
  <c r="AM104" i="6"/>
  <c r="C105" i="6"/>
  <c r="D105" i="6"/>
  <c r="E105" i="6"/>
  <c r="F105" i="6"/>
  <c r="H105" i="6"/>
  <c r="I105" i="6"/>
  <c r="R105" i="6"/>
  <c r="T105" i="6"/>
  <c r="AA105" i="6"/>
  <c r="AB105" i="6"/>
  <c r="AD105" i="6"/>
  <c r="AE105" i="6"/>
  <c r="AF105" i="6"/>
  <c r="AH105" i="6"/>
  <c r="AJ105" i="6"/>
  <c r="AK105" i="6"/>
  <c r="AL105" i="6"/>
  <c r="AM105" i="6"/>
  <c r="C106" i="6"/>
  <c r="D106" i="6"/>
  <c r="E106" i="6"/>
  <c r="F106" i="6"/>
  <c r="H106" i="6"/>
  <c r="I106" i="6"/>
  <c r="R106" i="6"/>
  <c r="T106" i="6"/>
  <c r="AA106" i="6"/>
  <c r="AB106" i="6"/>
  <c r="AD106" i="6"/>
  <c r="AE106" i="6"/>
  <c r="AF106" i="6"/>
  <c r="AH106" i="6"/>
  <c r="AJ106" i="6"/>
  <c r="AK106" i="6"/>
  <c r="AL106" i="6"/>
  <c r="AM106" i="6"/>
  <c r="C107" i="6"/>
  <c r="D107" i="6"/>
  <c r="E107" i="6"/>
  <c r="F107" i="6"/>
  <c r="H107" i="6"/>
  <c r="I107" i="6"/>
  <c r="R107" i="6"/>
  <c r="T107" i="6"/>
  <c r="AA107" i="6"/>
  <c r="AB107" i="6"/>
  <c r="AD107" i="6"/>
  <c r="AE107" i="6"/>
  <c r="AF107" i="6"/>
  <c r="AH107" i="6"/>
  <c r="AJ107" i="6"/>
  <c r="AK107" i="6"/>
  <c r="AL107" i="6"/>
  <c r="AM107" i="6"/>
  <c r="C108" i="6"/>
  <c r="D108" i="6"/>
  <c r="E108" i="6"/>
  <c r="F108" i="6"/>
  <c r="H108" i="6"/>
  <c r="I108" i="6"/>
  <c r="R108" i="6"/>
  <c r="T108" i="6"/>
  <c r="AA108" i="6"/>
  <c r="AB108" i="6"/>
  <c r="AD108" i="6"/>
  <c r="AE108" i="6"/>
  <c r="AF108" i="6"/>
  <c r="AH108" i="6"/>
  <c r="AJ108" i="6"/>
  <c r="AK108" i="6"/>
  <c r="AL108" i="6"/>
  <c r="AM108" i="6"/>
  <c r="C109" i="6"/>
  <c r="D109" i="6"/>
  <c r="E109" i="6"/>
  <c r="F109" i="6"/>
  <c r="H109" i="6"/>
  <c r="I109" i="6"/>
  <c r="R109" i="6"/>
  <c r="T109" i="6"/>
  <c r="AA109" i="6"/>
  <c r="AB109" i="6"/>
  <c r="AD109" i="6"/>
  <c r="AE109" i="6"/>
  <c r="AF109" i="6"/>
  <c r="AH109" i="6"/>
  <c r="AJ109" i="6"/>
  <c r="AK109" i="6"/>
  <c r="AL109" i="6"/>
  <c r="AM109" i="6"/>
  <c r="C110" i="6"/>
  <c r="D110" i="6"/>
  <c r="E110" i="6"/>
  <c r="F110" i="6"/>
  <c r="H110" i="6"/>
  <c r="I110" i="6"/>
  <c r="R110" i="6"/>
  <c r="T110" i="6"/>
  <c r="AA110" i="6"/>
  <c r="AB110" i="6"/>
  <c r="AD110" i="6"/>
  <c r="AE110" i="6"/>
  <c r="AF110" i="6"/>
  <c r="AH110" i="6"/>
  <c r="AJ110" i="6"/>
  <c r="AK110" i="6"/>
  <c r="AL110" i="6"/>
  <c r="AM110" i="6"/>
  <c r="C111" i="6"/>
  <c r="D111" i="6"/>
  <c r="E111" i="6"/>
  <c r="F111" i="6"/>
  <c r="H111" i="6"/>
  <c r="I111" i="6"/>
  <c r="R111" i="6"/>
  <c r="T111" i="6"/>
  <c r="AA111" i="6"/>
  <c r="AB111" i="6"/>
  <c r="AD111" i="6"/>
  <c r="AE111" i="6"/>
  <c r="AF111" i="6"/>
  <c r="AH111" i="6"/>
  <c r="AJ111" i="6"/>
  <c r="AK111" i="6"/>
  <c r="AL111" i="6"/>
  <c r="AM111" i="6"/>
  <c r="C112" i="6"/>
  <c r="D112" i="6"/>
  <c r="E112" i="6"/>
  <c r="F112" i="6"/>
  <c r="H112" i="6"/>
  <c r="I112" i="6"/>
  <c r="R112" i="6"/>
  <c r="T112" i="6"/>
  <c r="AA112" i="6"/>
  <c r="AB112" i="6"/>
  <c r="AD112" i="6"/>
  <c r="AE112" i="6"/>
  <c r="AF112" i="6"/>
  <c r="AH112" i="6"/>
  <c r="AJ112" i="6"/>
  <c r="AK112" i="6"/>
  <c r="AL112" i="6"/>
  <c r="AM112" i="6"/>
  <c r="C113" i="6"/>
  <c r="D113" i="6"/>
  <c r="E113" i="6"/>
  <c r="F113" i="6"/>
  <c r="H113" i="6"/>
  <c r="I113" i="6"/>
  <c r="R113" i="6"/>
  <c r="T113" i="6"/>
  <c r="AA113" i="6"/>
  <c r="AB113" i="6"/>
  <c r="AD113" i="6"/>
  <c r="AE113" i="6"/>
  <c r="AF113" i="6"/>
  <c r="AH113" i="6"/>
  <c r="AJ113" i="6"/>
  <c r="AK113" i="6"/>
  <c r="AL113" i="6"/>
  <c r="AM113" i="6"/>
  <c r="C114" i="6"/>
  <c r="D114" i="6"/>
  <c r="E114" i="6"/>
  <c r="F114" i="6"/>
  <c r="H114" i="6"/>
  <c r="I114" i="6"/>
  <c r="R114" i="6"/>
  <c r="T114" i="6"/>
  <c r="AA114" i="6"/>
  <c r="AB114" i="6"/>
  <c r="AD114" i="6"/>
  <c r="AE114" i="6"/>
  <c r="AF114" i="6"/>
  <c r="AH114" i="6"/>
  <c r="AJ114" i="6"/>
  <c r="AK114" i="6"/>
  <c r="AL114" i="6"/>
  <c r="AM114" i="6"/>
  <c r="C115" i="6"/>
  <c r="D115" i="6"/>
  <c r="E115" i="6"/>
  <c r="F115" i="6"/>
  <c r="H115" i="6"/>
  <c r="I115" i="6"/>
  <c r="R115" i="6"/>
  <c r="T115" i="6"/>
  <c r="AA115" i="6"/>
  <c r="AB115" i="6"/>
  <c r="AD115" i="6"/>
  <c r="AE115" i="6"/>
  <c r="AF115" i="6"/>
  <c r="AH115" i="6"/>
  <c r="AJ115" i="6"/>
  <c r="AK115" i="6"/>
  <c r="AL115" i="6"/>
  <c r="AM115" i="6"/>
  <c r="C116" i="6"/>
  <c r="D116" i="6"/>
  <c r="E116" i="6"/>
  <c r="F116" i="6"/>
  <c r="H116" i="6"/>
  <c r="I116" i="6"/>
  <c r="R116" i="6"/>
  <c r="T116" i="6"/>
  <c r="AA116" i="6"/>
  <c r="AB116" i="6"/>
  <c r="AD116" i="6"/>
  <c r="AE116" i="6"/>
  <c r="AF116" i="6"/>
  <c r="AH116" i="6"/>
  <c r="AJ116" i="6"/>
  <c r="AK116" i="6"/>
  <c r="AL116" i="6"/>
  <c r="AM116" i="6"/>
  <c r="C117" i="6"/>
  <c r="D117" i="6"/>
  <c r="E117" i="6"/>
  <c r="F117" i="6"/>
  <c r="H117" i="6"/>
  <c r="I117" i="6"/>
  <c r="R117" i="6"/>
  <c r="T117" i="6"/>
  <c r="AA117" i="6"/>
  <c r="AB117" i="6"/>
  <c r="AD117" i="6"/>
  <c r="AE117" i="6"/>
  <c r="AF117" i="6"/>
  <c r="AH117" i="6"/>
  <c r="AJ117" i="6"/>
  <c r="AK117" i="6"/>
  <c r="AL117" i="6"/>
  <c r="AM117" i="6"/>
  <c r="C118" i="6"/>
  <c r="D118" i="6"/>
  <c r="E118" i="6"/>
  <c r="F118" i="6"/>
  <c r="H118" i="6"/>
  <c r="I118" i="6"/>
  <c r="R118" i="6"/>
  <c r="T118" i="6"/>
  <c r="AA118" i="6"/>
  <c r="AB118" i="6"/>
  <c r="AD118" i="6"/>
  <c r="AE118" i="6"/>
  <c r="AF118" i="6"/>
  <c r="AH118" i="6"/>
  <c r="AJ118" i="6"/>
  <c r="AK118" i="6"/>
  <c r="AL118" i="6"/>
  <c r="AM118" i="6"/>
  <c r="C119" i="6"/>
  <c r="D119" i="6"/>
  <c r="E119" i="6"/>
  <c r="F119" i="6"/>
  <c r="H119" i="6"/>
  <c r="I119" i="6"/>
  <c r="R119" i="6"/>
  <c r="T119" i="6"/>
  <c r="AA119" i="6"/>
  <c r="AB119" i="6"/>
  <c r="AD119" i="6"/>
  <c r="AE119" i="6"/>
  <c r="AF119" i="6"/>
  <c r="AH119" i="6"/>
  <c r="AJ119" i="6"/>
  <c r="AK119" i="6"/>
  <c r="AL119" i="6"/>
  <c r="AM119" i="6"/>
  <c r="C120" i="6"/>
  <c r="D120" i="6"/>
  <c r="E120" i="6"/>
  <c r="F120" i="6"/>
  <c r="H120" i="6"/>
  <c r="I120" i="6"/>
  <c r="R120" i="6"/>
  <c r="T120" i="6"/>
  <c r="AA120" i="6"/>
  <c r="AB120" i="6"/>
  <c r="AD120" i="6"/>
  <c r="AE120" i="6"/>
  <c r="AF120" i="6"/>
  <c r="AH120" i="6"/>
  <c r="AJ120" i="6"/>
  <c r="AK120" i="6"/>
  <c r="AL120" i="6"/>
  <c r="AM120" i="6"/>
  <c r="C121" i="6"/>
  <c r="D121" i="6"/>
  <c r="E121" i="6"/>
  <c r="F121" i="6"/>
  <c r="H121" i="6"/>
  <c r="I121" i="6"/>
  <c r="R121" i="6"/>
  <c r="T121" i="6"/>
  <c r="AA121" i="6"/>
  <c r="AB121" i="6"/>
  <c r="AD121" i="6"/>
  <c r="AE121" i="6"/>
  <c r="AF121" i="6"/>
  <c r="AH121" i="6"/>
  <c r="AJ121" i="6"/>
  <c r="AK121" i="6"/>
  <c r="AL121" i="6"/>
  <c r="AM121" i="6"/>
  <c r="C122" i="6"/>
  <c r="D122" i="6"/>
  <c r="E122" i="6"/>
  <c r="F122" i="6"/>
  <c r="H122" i="6"/>
  <c r="I122" i="6"/>
  <c r="R122" i="6"/>
  <c r="T122" i="6"/>
  <c r="AA122" i="6"/>
  <c r="AB122" i="6"/>
  <c r="AD122" i="6"/>
  <c r="AE122" i="6"/>
  <c r="AF122" i="6"/>
  <c r="AH122" i="6"/>
  <c r="AJ122" i="6"/>
  <c r="AK122" i="6"/>
  <c r="AL122" i="6"/>
  <c r="AM122" i="6"/>
  <c r="C123" i="6"/>
  <c r="D123" i="6"/>
  <c r="E123" i="6"/>
  <c r="F123" i="6"/>
  <c r="H123" i="6"/>
  <c r="I123" i="6"/>
  <c r="R123" i="6"/>
  <c r="T123" i="6"/>
  <c r="AA123" i="6"/>
  <c r="AB123" i="6"/>
  <c r="AD123" i="6"/>
  <c r="AE123" i="6"/>
  <c r="AF123" i="6"/>
  <c r="AH123" i="6"/>
  <c r="AJ123" i="6"/>
  <c r="AK123" i="6"/>
  <c r="AL123" i="6"/>
  <c r="AM123" i="6"/>
  <c r="C124" i="6"/>
  <c r="D124" i="6"/>
  <c r="E124" i="6"/>
  <c r="F124" i="6"/>
  <c r="H124" i="6"/>
  <c r="I124" i="6"/>
  <c r="R124" i="6"/>
  <c r="T124" i="6"/>
  <c r="AA124" i="6"/>
  <c r="AB124" i="6"/>
  <c r="AD124" i="6"/>
  <c r="AE124" i="6"/>
  <c r="AF124" i="6"/>
  <c r="AH124" i="6"/>
  <c r="AJ124" i="6"/>
  <c r="AK124" i="6"/>
  <c r="AL124" i="6"/>
  <c r="AM124" i="6"/>
  <c r="C125" i="6"/>
  <c r="D125" i="6"/>
  <c r="E125" i="6"/>
  <c r="F125" i="6"/>
  <c r="H125" i="6"/>
  <c r="I125" i="6"/>
  <c r="R125" i="6"/>
  <c r="T125" i="6"/>
  <c r="AA125" i="6"/>
  <c r="AB125" i="6"/>
  <c r="AD125" i="6"/>
  <c r="AE125" i="6"/>
  <c r="AF125" i="6"/>
  <c r="AH125" i="6"/>
  <c r="AJ125" i="6"/>
  <c r="AK125" i="6"/>
  <c r="AL125" i="6"/>
  <c r="AM125" i="6"/>
  <c r="C126" i="6"/>
  <c r="D126" i="6"/>
  <c r="E126" i="6"/>
  <c r="F126" i="6"/>
  <c r="H126" i="6"/>
  <c r="I126" i="6"/>
  <c r="R126" i="6"/>
  <c r="T126" i="6"/>
  <c r="AA126" i="6"/>
  <c r="AB126" i="6"/>
  <c r="AD126" i="6"/>
  <c r="AE126" i="6"/>
  <c r="AF126" i="6"/>
  <c r="AH126" i="6"/>
  <c r="AJ126" i="6"/>
  <c r="AK126" i="6"/>
  <c r="AL126" i="6"/>
  <c r="AM126" i="6"/>
  <c r="C127" i="6"/>
  <c r="D127" i="6"/>
  <c r="E127" i="6"/>
  <c r="F127" i="6"/>
  <c r="H127" i="6"/>
  <c r="I127" i="6"/>
  <c r="R127" i="6"/>
  <c r="T127" i="6"/>
  <c r="AA127" i="6"/>
  <c r="AB127" i="6"/>
  <c r="AD127" i="6"/>
  <c r="AE127" i="6"/>
  <c r="AF127" i="6"/>
  <c r="AH127" i="6"/>
  <c r="AJ127" i="6"/>
  <c r="AK127" i="6"/>
  <c r="AL127" i="6"/>
  <c r="AM127" i="6"/>
  <c r="C128" i="6"/>
  <c r="D128" i="6"/>
  <c r="E128" i="6"/>
  <c r="F128" i="6"/>
  <c r="H128" i="6"/>
  <c r="I128" i="6"/>
  <c r="R128" i="6"/>
  <c r="T128" i="6"/>
  <c r="AA128" i="6"/>
  <c r="AB128" i="6"/>
  <c r="AD128" i="6"/>
  <c r="AE128" i="6"/>
  <c r="AF128" i="6"/>
  <c r="AH128" i="6"/>
  <c r="AJ128" i="6"/>
  <c r="AK128" i="6"/>
  <c r="AL128" i="6"/>
  <c r="AM128" i="6"/>
  <c r="C129" i="6"/>
  <c r="D129" i="6"/>
  <c r="E129" i="6"/>
  <c r="F129" i="6"/>
  <c r="H129" i="6"/>
  <c r="I129" i="6"/>
  <c r="R129" i="6"/>
  <c r="T129" i="6"/>
  <c r="AA129" i="6"/>
  <c r="AB129" i="6"/>
  <c r="AD129" i="6"/>
  <c r="AE129" i="6"/>
  <c r="AF129" i="6"/>
  <c r="AH129" i="6"/>
  <c r="AJ129" i="6"/>
  <c r="AK129" i="6"/>
  <c r="AL129" i="6"/>
  <c r="AM129" i="6"/>
  <c r="C130" i="6"/>
  <c r="D130" i="6"/>
  <c r="E130" i="6"/>
  <c r="F130" i="6"/>
  <c r="H130" i="6"/>
  <c r="I130" i="6"/>
  <c r="R130" i="6"/>
  <c r="T130" i="6"/>
  <c r="AA130" i="6"/>
  <c r="AB130" i="6"/>
  <c r="AD130" i="6"/>
  <c r="AE130" i="6"/>
  <c r="AF130" i="6"/>
  <c r="AH130" i="6"/>
  <c r="AJ130" i="6"/>
  <c r="AK130" i="6"/>
  <c r="AL130" i="6"/>
  <c r="AM130" i="6"/>
  <c r="C131" i="6"/>
  <c r="D131" i="6"/>
  <c r="E131" i="6"/>
  <c r="F131" i="6"/>
  <c r="H131" i="6"/>
  <c r="I131" i="6"/>
  <c r="R131" i="6"/>
  <c r="T131" i="6"/>
  <c r="AA131" i="6"/>
  <c r="AB131" i="6"/>
  <c r="AD131" i="6"/>
  <c r="AE131" i="6"/>
  <c r="AF131" i="6"/>
  <c r="AH131" i="6"/>
  <c r="AJ131" i="6"/>
  <c r="AK131" i="6"/>
  <c r="AL131" i="6"/>
  <c r="AM131" i="6"/>
  <c r="C132" i="6"/>
  <c r="D132" i="6"/>
  <c r="E132" i="6"/>
  <c r="F132" i="6"/>
  <c r="H132" i="6"/>
  <c r="I132" i="6"/>
  <c r="R132" i="6"/>
  <c r="T132" i="6"/>
  <c r="AA132" i="6"/>
  <c r="AB132" i="6"/>
  <c r="AD132" i="6"/>
  <c r="AE132" i="6"/>
  <c r="AF132" i="6"/>
  <c r="AH132" i="6"/>
  <c r="AJ132" i="6"/>
  <c r="AK132" i="6"/>
  <c r="AL132" i="6"/>
  <c r="AM132" i="6"/>
  <c r="C133" i="6"/>
  <c r="D133" i="6"/>
  <c r="E133" i="6"/>
  <c r="F133" i="6"/>
  <c r="H133" i="6"/>
  <c r="I133" i="6"/>
  <c r="R133" i="6"/>
  <c r="T133" i="6"/>
  <c r="AA133" i="6"/>
  <c r="AB133" i="6"/>
  <c r="AD133" i="6"/>
  <c r="AE133" i="6"/>
  <c r="AF133" i="6"/>
  <c r="AH133" i="6"/>
  <c r="AJ133" i="6"/>
  <c r="AK133" i="6"/>
  <c r="AL133" i="6"/>
  <c r="AM133" i="6"/>
  <c r="C134" i="6"/>
  <c r="D134" i="6"/>
  <c r="E134" i="6"/>
  <c r="F134" i="6"/>
  <c r="H134" i="6"/>
  <c r="I134" i="6"/>
  <c r="R134" i="6"/>
  <c r="T134" i="6"/>
  <c r="AA134" i="6"/>
  <c r="AB134" i="6"/>
  <c r="AD134" i="6"/>
  <c r="AE134" i="6"/>
  <c r="AF134" i="6"/>
  <c r="AH134" i="6"/>
  <c r="AJ134" i="6"/>
  <c r="AK134" i="6"/>
  <c r="AL134" i="6"/>
  <c r="AM134" i="6"/>
  <c r="C135" i="6"/>
  <c r="D135" i="6"/>
  <c r="E135" i="6"/>
  <c r="F135" i="6"/>
  <c r="H135" i="6"/>
  <c r="I135" i="6"/>
  <c r="R135" i="6"/>
  <c r="T135" i="6"/>
  <c r="AA135" i="6"/>
  <c r="AB135" i="6"/>
  <c r="AD135" i="6"/>
  <c r="AE135" i="6"/>
  <c r="AF135" i="6"/>
  <c r="AH135" i="6"/>
  <c r="AJ135" i="6"/>
  <c r="AK135" i="6"/>
  <c r="AL135" i="6"/>
  <c r="AM135" i="6"/>
  <c r="C136" i="6"/>
  <c r="D136" i="6"/>
  <c r="E136" i="6"/>
  <c r="F136" i="6"/>
  <c r="H136" i="6"/>
  <c r="I136" i="6"/>
  <c r="R136" i="6"/>
  <c r="T136" i="6"/>
  <c r="AA136" i="6"/>
  <c r="AB136" i="6"/>
  <c r="AD136" i="6"/>
  <c r="AE136" i="6"/>
  <c r="AF136" i="6"/>
  <c r="AH136" i="6"/>
  <c r="AJ136" i="6"/>
  <c r="AK136" i="6"/>
  <c r="AL136" i="6"/>
  <c r="AM136" i="6"/>
  <c r="C137" i="6"/>
  <c r="D137" i="6"/>
  <c r="E137" i="6"/>
  <c r="F137" i="6"/>
  <c r="H137" i="6"/>
  <c r="I137" i="6"/>
  <c r="R137" i="6"/>
  <c r="T137" i="6"/>
  <c r="AA137" i="6"/>
  <c r="AB137" i="6"/>
  <c r="AD137" i="6"/>
  <c r="AE137" i="6"/>
  <c r="AF137" i="6"/>
  <c r="AH137" i="6"/>
  <c r="AJ137" i="6"/>
  <c r="AK137" i="6"/>
  <c r="AL137" i="6"/>
  <c r="AM137" i="6"/>
  <c r="C138" i="6"/>
  <c r="D138" i="6"/>
  <c r="E138" i="6"/>
  <c r="F138" i="6"/>
  <c r="H138" i="6"/>
  <c r="I138" i="6"/>
  <c r="R138" i="6"/>
  <c r="T138" i="6"/>
  <c r="AA138" i="6"/>
  <c r="AB138" i="6"/>
  <c r="AD138" i="6"/>
  <c r="AE138" i="6"/>
  <c r="AF138" i="6"/>
  <c r="AH138" i="6"/>
  <c r="AJ138" i="6"/>
  <c r="AK138" i="6"/>
  <c r="AL138" i="6"/>
  <c r="AM138" i="6"/>
  <c r="C139" i="6"/>
  <c r="D139" i="6"/>
  <c r="E139" i="6"/>
  <c r="F139" i="6"/>
  <c r="H139" i="6"/>
  <c r="I139" i="6"/>
  <c r="R139" i="6"/>
  <c r="T139" i="6"/>
  <c r="AA139" i="6"/>
  <c r="AB139" i="6"/>
  <c r="AD139" i="6"/>
  <c r="AE139" i="6"/>
  <c r="AF139" i="6"/>
  <c r="AH139" i="6"/>
  <c r="AJ139" i="6"/>
  <c r="AK139" i="6"/>
  <c r="AL139" i="6"/>
  <c r="AM139" i="6"/>
  <c r="C140" i="6"/>
  <c r="D140" i="6"/>
  <c r="E140" i="6"/>
  <c r="F140" i="6"/>
  <c r="H140" i="6"/>
  <c r="I140" i="6"/>
  <c r="R140" i="6"/>
  <c r="T140" i="6"/>
  <c r="AA140" i="6"/>
  <c r="AB140" i="6"/>
  <c r="AD140" i="6"/>
  <c r="AE140" i="6"/>
  <c r="AF140" i="6"/>
  <c r="AH140" i="6"/>
  <c r="AJ140" i="6"/>
  <c r="AK140" i="6"/>
  <c r="AL140" i="6"/>
  <c r="AM140" i="6"/>
  <c r="C141" i="6"/>
  <c r="D141" i="6"/>
  <c r="E141" i="6"/>
  <c r="F141" i="6"/>
  <c r="H141" i="6"/>
  <c r="I141" i="6"/>
  <c r="R141" i="6"/>
  <c r="T141" i="6"/>
  <c r="AA141" i="6"/>
  <c r="AB141" i="6"/>
  <c r="AD141" i="6"/>
  <c r="AE141" i="6"/>
  <c r="AF141" i="6"/>
  <c r="AH141" i="6"/>
  <c r="AJ141" i="6"/>
  <c r="AK141" i="6"/>
  <c r="AL141" i="6"/>
  <c r="AM141" i="6"/>
  <c r="C142" i="6"/>
  <c r="D142" i="6"/>
  <c r="E142" i="6"/>
  <c r="F142" i="6"/>
  <c r="H142" i="6"/>
  <c r="I142" i="6"/>
  <c r="R142" i="6"/>
  <c r="T142" i="6"/>
  <c r="AA142" i="6"/>
  <c r="AB142" i="6"/>
  <c r="AD142" i="6"/>
  <c r="AE142" i="6"/>
  <c r="AF142" i="6"/>
  <c r="AH142" i="6"/>
  <c r="AJ142" i="6"/>
  <c r="AK142" i="6"/>
  <c r="AL142" i="6"/>
  <c r="AM142" i="6"/>
  <c r="C143" i="6"/>
  <c r="D143" i="6"/>
  <c r="E143" i="6"/>
  <c r="F143" i="6"/>
  <c r="H143" i="6"/>
  <c r="I143" i="6"/>
  <c r="R143" i="6"/>
  <c r="T143" i="6"/>
  <c r="AA143" i="6"/>
  <c r="AB143" i="6"/>
  <c r="AD143" i="6"/>
  <c r="AE143" i="6"/>
  <c r="AF143" i="6"/>
  <c r="AH143" i="6"/>
  <c r="AJ143" i="6"/>
  <c r="AK143" i="6"/>
  <c r="AL143" i="6"/>
  <c r="AM143" i="6"/>
  <c r="C144" i="6"/>
  <c r="D144" i="6"/>
  <c r="E144" i="6"/>
  <c r="F144" i="6"/>
  <c r="H144" i="6"/>
  <c r="I144" i="6"/>
  <c r="R144" i="6"/>
  <c r="T144" i="6"/>
  <c r="AA144" i="6"/>
  <c r="AB144" i="6"/>
  <c r="AD144" i="6"/>
  <c r="AE144" i="6"/>
  <c r="AF144" i="6"/>
  <c r="AH144" i="6"/>
  <c r="AJ144" i="6"/>
  <c r="AK144" i="6"/>
  <c r="AL144" i="6"/>
  <c r="AM144" i="6"/>
  <c r="C145" i="6"/>
  <c r="D145" i="6"/>
  <c r="E145" i="6"/>
  <c r="F145" i="6"/>
  <c r="H145" i="6"/>
  <c r="I145" i="6"/>
  <c r="R145" i="6"/>
  <c r="T145" i="6"/>
  <c r="AA145" i="6"/>
  <c r="AB145" i="6"/>
  <c r="AD145" i="6"/>
  <c r="AE145" i="6"/>
  <c r="AF145" i="6"/>
  <c r="AH145" i="6"/>
  <c r="AJ145" i="6"/>
  <c r="AK145" i="6"/>
  <c r="AL145" i="6"/>
  <c r="AM145" i="6"/>
  <c r="C146" i="6"/>
  <c r="D146" i="6"/>
  <c r="E146" i="6"/>
  <c r="F146" i="6"/>
  <c r="H146" i="6"/>
  <c r="I146" i="6"/>
  <c r="R146" i="6"/>
  <c r="T146" i="6"/>
  <c r="AA146" i="6"/>
  <c r="AB146" i="6"/>
  <c r="AD146" i="6"/>
  <c r="AE146" i="6"/>
  <c r="AF146" i="6"/>
  <c r="AH146" i="6"/>
  <c r="AJ146" i="6"/>
  <c r="AK146" i="6"/>
  <c r="AL146" i="6"/>
  <c r="AM146" i="6"/>
  <c r="C147" i="6"/>
  <c r="D147" i="6"/>
  <c r="E147" i="6"/>
  <c r="F147" i="6"/>
  <c r="H147" i="6"/>
  <c r="I147" i="6"/>
  <c r="R147" i="6"/>
  <c r="T147" i="6"/>
  <c r="AA147" i="6"/>
  <c r="AB147" i="6"/>
  <c r="AD147" i="6"/>
  <c r="AE147" i="6"/>
  <c r="AF147" i="6"/>
  <c r="AH147" i="6"/>
  <c r="AJ147" i="6"/>
  <c r="AK147" i="6"/>
  <c r="AL147" i="6"/>
  <c r="AM147" i="6"/>
  <c r="C148" i="6"/>
  <c r="D148" i="6"/>
  <c r="E148" i="6"/>
  <c r="F148" i="6"/>
  <c r="H148" i="6"/>
  <c r="I148" i="6"/>
  <c r="R148" i="6"/>
  <c r="T148" i="6"/>
  <c r="AA148" i="6"/>
  <c r="AB148" i="6"/>
  <c r="AD148" i="6"/>
  <c r="AE148" i="6"/>
  <c r="AF148" i="6"/>
  <c r="AH148" i="6"/>
  <c r="AJ148" i="6"/>
  <c r="AK148" i="6"/>
  <c r="AL148" i="6"/>
  <c r="AM148" i="6"/>
  <c r="C149" i="6"/>
  <c r="D149" i="6"/>
  <c r="E149" i="6"/>
  <c r="F149" i="6"/>
  <c r="H149" i="6"/>
  <c r="I149" i="6"/>
  <c r="R149" i="6"/>
  <c r="T149" i="6"/>
  <c r="AA149" i="6"/>
  <c r="AB149" i="6"/>
  <c r="AD149" i="6"/>
  <c r="AE149" i="6"/>
  <c r="AF149" i="6"/>
  <c r="AH149" i="6"/>
  <c r="AJ149" i="6"/>
  <c r="AK149" i="6"/>
  <c r="AL149" i="6"/>
  <c r="AM149" i="6"/>
  <c r="C150" i="6"/>
  <c r="D150" i="6"/>
  <c r="E150" i="6"/>
  <c r="F150" i="6"/>
  <c r="H150" i="6"/>
  <c r="I150" i="6"/>
  <c r="R150" i="6"/>
  <c r="T150" i="6"/>
  <c r="AA150" i="6"/>
  <c r="AB150" i="6"/>
  <c r="AD150" i="6"/>
  <c r="AE150" i="6"/>
  <c r="AF150" i="6"/>
  <c r="AH150" i="6"/>
  <c r="AJ150" i="6"/>
  <c r="AK150" i="6"/>
  <c r="AL150" i="6"/>
  <c r="AM150" i="6"/>
  <c r="C151" i="6"/>
  <c r="D151" i="6"/>
  <c r="E151" i="6"/>
  <c r="F151" i="6"/>
  <c r="H151" i="6"/>
  <c r="I151" i="6"/>
  <c r="R151" i="6"/>
  <c r="T151" i="6"/>
  <c r="AA151" i="6"/>
  <c r="AB151" i="6"/>
  <c r="AD151" i="6"/>
  <c r="AE151" i="6"/>
  <c r="AF151" i="6"/>
  <c r="AH151" i="6"/>
  <c r="AJ151" i="6"/>
  <c r="AK151" i="6"/>
  <c r="AL151" i="6"/>
  <c r="AM151" i="6"/>
  <c r="C152" i="6"/>
  <c r="D152" i="6"/>
  <c r="E152" i="6"/>
  <c r="F152" i="6"/>
  <c r="H152" i="6"/>
  <c r="I152" i="6"/>
  <c r="R152" i="6"/>
  <c r="T152" i="6"/>
  <c r="AA152" i="6"/>
  <c r="AB152" i="6"/>
  <c r="AD152" i="6"/>
  <c r="AE152" i="6"/>
  <c r="AF152" i="6"/>
  <c r="AH152" i="6"/>
  <c r="AJ152" i="6"/>
  <c r="AK152" i="6"/>
  <c r="AL152" i="6"/>
  <c r="AM152" i="6"/>
  <c r="C153" i="6"/>
  <c r="D153" i="6"/>
  <c r="E153" i="6"/>
  <c r="F153" i="6"/>
  <c r="H153" i="6"/>
  <c r="I153" i="6"/>
  <c r="R153" i="6"/>
  <c r="T153" i="6"/>
  <c r="AA153" i="6"/>
  <c r="AB153" i="6"/>
  <c r="AD153" i="6"/>
  <c r="AE153" i="6"/>
  <c r="AF153" i="6"/>
  <c r="AH153" i="6"/>
  <c r="AJ153" i="6"/>
  <c r="AK153" i="6"/>
  <c r="AL153" i="6"/>
  <c r="AM153" i="6"/>
  <c r="C154" i="6"/>
  <c r="D154" i="6"/>
  <c r="E154" i="6"/>
  <c r="F154" i="6"/>
  <c r="H154" i="6"/>
  <c r="I154" i="6"/>
  <c r="R154" i="6"/>
  <c r="T154" i="6"/>
  <c r="AA154" i="6"/>
  <c r="AB154" i="6"/>
  <c r="AD154" i="6"/>
  <c r="AE154" i="6"/>
  <c r="AF154" i="6"/>
  <c r="AH154" i="6"/>
  <c r="AJ154" i="6"/>
  <c r="AK154" i="6"/>
  <c r="AL154" i="6"/>
  <c r="AM154" i="6"/>
  <c r="C155" i="6"/>
  <c r="D155" i="6"/>
  <c r="E155" i="6"/>
  <c r="F155" i="6"/>
  <c r="H155" i="6"/>
  <c r="I155" i="6"/>
  <c r="R155" i="6"/>
  <c r="T155" i="6"/>
  <c r="AA155" i="6"/>
  <c r="AB155" i="6"/>
  <c r="AD155" i="6"/>
  <c r="AE155" i="6"/>
  <c r="AF155" i="6"/>
  <c r="AH155" i="6"/>
  <c r="AJ155" i="6"/>
  <c r="AK155" i="6"/>
  <c r="AL155" i="6"/>
  <c r="AM155" i="6"/>
  <c r="C156" i="6"/>
  <c r="D156" i="6"/>
  <c r="E156" i="6"/>
  <c r="F156" i="6"/>
  <c r="H156" i="6"/>
  <c r="I156" i="6"/>
  <c r="R156" i="6"/>
  <c r="T156" i="6"/>
  <c r="AA156" i="6"/>
  <c r="AB156" i="6"/>
  <c r="AD156" i="6"/>
  <c r="AE156" i="6"/>
  <c r="AF156" i="6"/>
  <c r="AH156" i="6"/>
  <c r="AJ156" i="6"/>
  <c r="AK156" i="6"/>
  <c r="AL156" i="6"/>
  <c r="AM156" i="6"/>
  <c r="C157" i="6"/>
  <c r="D157" i="6"/>
  <c r="E157" i="6"/>
  <c r="F157" i="6"/>
  <c r="H157" i="6"/>
  <c r="I157" i="6"/>
  <c r="R157" i="6"/>
  <c r="T157" i="6"/>
  <c r="AA157" i="6"/>
  <c r="AB157" i="6"/>
  <c r="AD157" i="6"/>
  <c r="AE157" i="6"/>
  <c r="AF157" i="6"/>
  <c r="AH157" i="6"/>
  <c r="AJ157" i="6"/>
  <c r="AK157" i="6"/>
  <c r="AL157" i="6"/>
  <c r="AM157" i="6"/>
  <c r="C158" i="6"/>
  <c r="D158" i="6"/>
  <c r="E158" i="6"/>
  <c r="F158" i="6"/>
  <c r="H158" i="6"/>
  <c r="I158" i="6"/>
  <c r="R158" i="6"/>
  <c r="T158" i="6"/>
  <c r="AA158" i="6"/>
  <c r="AB158" i="6"/>
  <c r="AD158" i="6"/>
  <c r="AE158" i="6"/>
  <c r="AF158" i="6"/>
  <c r="AH158" i="6"/>
  <c r="AJ158" i="6"/>
  <c r="AK158" i="6"/>
  <c r="AL158" i="6"/>
  <c r="AM158" i="6"/>
  <c r="C159" i="6"/>
  <c r="D159" i="6"/>
  <c r="E159" i="6"/>
  <c r="F159" i="6"/>
  <c r="H159" i="6"/>
  <c r="I159" i="6"/>
  <c r="R159" i="6"/>
  <c r="T159" i="6"/>
  <c r="AA159" i="6"/>
  <c r="AB159" i="6"/>
  <c r="AD159" i="6"/>
  <c r="AE159" i="6"/>
  <c r="AF159" i="6"/>
  <c r="AH159" i="6"/>
  <c r="AJ159" i="6"/>
  <c r="AK159" i="6"/>
  <c r="AL159" i="6"/>
  <c r="AM159" i="6"/>
  <c r="C160" i="6"/>
  <c r="D160" i="6"/>
  <c r="E160" i="6"/>
  <c r="F160" i="6"/>
  <c r="H160" i="6"/>
  <c r="I160" i="6"/>
  <c r="R160" i="6"/>
  <c r="T160" i="6"/>
  <c r="AA160" i="6"/>
  <c r="AB160" i="6"/>
  <c r="AD160" i="6"/>
  <c r="AE160" i="6"/>
  <c r="AF160" i="6"/>
  <c r="AH160" i="6"/>
  <c r="AJ160" i="6"/>
  <c r="AK160" i="6"/>
  <c r="AL160" i="6"/>
  <c r="AM160" i="6"/>
  <c r="C161" i="6"/>
  <c r="D161" i="6"/>
  <c r="E161" i="6"/>
  <c r="F161" i="6"/>
  <c r="H161" i="6"/>
  <c r="I161" i="6"/>
  <c r="R161" i="6"/>
  <c r="T161" i="6"/>
  <c r="AA161" i="6"/>
  <c r="AB161" i="6"/>
  <c r="AD161" i="6"/>
  <c r="AE161" i="6"/>
  <c r="AF161" i="6"/>
  <c r="AH161" i="6"/>
  <c r="AJ161" i="6"/>
  <c r="AK161" i="6"/>
  <c r="AL161" i="6"/>
  <c r="AM161" i="6"/>
  <c r="C162" i="6"/>
  <c r="D162" i="6"/>
  <c r="E162" i="6"/>
  <c r="F162" i="6"/>
  <c r="H162" i="6"/>
  <c r="I162" i="6"/>
  <c r="R162" i="6"/>
  <c r="T162" i="6"/>
  <c r="AA162" i="6"/>
  <c r="AB162" i="6"/>
  <c r="AD162" i="6"/>
  <c r="AE162" i="6"/>
  <c r="AF162" i="6"/>
  <c r="AH162" i="6"/>
  <c r="AJ162" i="6"/>
  <c r="AK162" i="6"/>
  <c r="AL162" i="6"/>
  <c r="AM162" i="6"/>
  <c r="C163" i="6"/>
  <c r="D163" i="6"/>
  <c r="E163" i="6"/>
  <c r="F163" i="6"/>
  <c r="H163" i="6"/>
  <c r="I163" i="6"/>
  <c r="R163" i="6"/>
  <c r="T163" i="6"/>
  <c r="AA163" i="6"/>
  <c r="AB163" i="6"/>
  <c r="AD163" i="6"/>
  <c r="AE163" i="6"/>
  <c r="AF163" i="6"/>
  <c r="AH163" i="6"/>
  <c r="AJ163" i="6"/>
  <c r="AK163" i="6"/>
  <c r="AL163" i="6"/>
  <c r="AM163" i="6"/>
  <c r="C164" i="6"/>
  <c r="D164" i="6"/>
  <c r="E164" i="6"/>
  <c r="F164" i="6"/>
  <c r="H164" i="6"/>
  <c r="I164" i="6"/>
  <c r="R164" i="6"/>
  <c r="T164" i="6"/>
  <c r="AA164" i="6"/>
  <c r="AB164" i="6"/>
  <c r="AD164" i="6"/>
  <c r="AE164" i="6"/>
  <c r="AF164" i="6"/>
  <c r="AH164" i="6"/>
  <c r="AJ164" i="6"/>
  <c r="AK164" i="6"/>
  <c r="AL164" i="6"/>
  <c r="AM164" i="6"/>
  <c r="C165" i="6"/>
  <c r="D165" i="6"/>
  <c r="E165" i="6"/>
  <c r="F165" i="6"/>
  <c r="H165" i="6"/>
  <c r="I165" i="6"/>
  <c r="R165" i="6"/>
  <c r="T165" i="6"/>
  <c r="AA165" i="6"/>
  <c r="AB165" i="6"/>
  <c r="AD165" i="6"/>
  <c r="AE165" i="6"/>
  <c r="AF165" i="6"/>
  <c r="AH165" i="6"/>
  <c r="AJ165" i="6"/>
  <c r="AK165" i="6"/>
  <c r="AL165" i="6"/>
  <c r="AM165" i="6"/>
  <c r="C166" i="6"/>
  <c r="D166" i="6"/>
  <c r="E166" i="6"/>
  <c r="F166" i="6"/>
  <c r="H166" i="6"/>
  <c r="I166" i="6"/>
  <c r="R166" i="6"/>
  <c r="T166" i="6"/>
  <c r="AA166" i="6"/>
  <c r="AB166" i="6"/>
  <c r="AD166" i="6"/>
  <c r="AE166" i="6"/>
  <c r="AF166" i="6"/>
  <c r="AH166" i="6"/>
  <c r="AJ166" i="6"/>
  <c r="AK166" i="6"/>
  <c r="AL166" i="6"/>
  <c r="AM166" i="6"/>
  <c r="C167" i="6"/>
  <c r="D167" i="6"/>
  <c r="E167" i="6"/>
  <c r="F167" i="6"/>
  <c r="H167" i="6"/>
  <c r="I167" i="6"/>
  <c r="R167" i="6"/>
  <c r="T167" i="6"/>
  <c r="AA167" i="6"/>
  <c r="AB167" i="6"/>
  <c r="AD167" i="6"/>
  <c r="AE167" i="6"/>
  <c r="AF167" i="6"/>
  <c r="AH167" i="6"/>
  <c r="AJ167" i="6"/>
  <c r="AK167" i="6"/>
  <c r="AL167" i="6"/>
  <c r="AM167" i="6"/>
  <c r="C168" i="6"/>
  <c r="D168" i="6"/>
  <c r="E168" i="6"/>
  <c r="F168" i="6"/>
  <c r="H168" i="6"/>
  <c r="I168" i="6"/>
  <c r="R168" i="6"/>
  <c r="T168" i="6"/>
  <c r="AA168" i="6"/>
  <c r="AB168" i="6"/>
  <c r="AD168" i="6"/>
  <c r="AE168" i="6"/>
  <c r="AF168" i="6"/>
  <c r="AH168" i="6"/>
  <c r="AJ168" i="6"/>
  <c r="AK168" i="6"/>
  <c r="AL168" i="6"/>
  <c r="AM168" i="6"/>
  <c r="C169" i="6"/>
  <c r="D169" i="6"/>
  <c r="E169" i="6"/>
  <c r="F169" i="6"/>
  <c r="H169" i="6"/>
  <c r="I169" i="6"/>
  <c r="R169" i="6"/>
  <c r="T169" i="6"/>
  <c r="AA169" i="6"/>
  <c r="AB169" i="6"/>
  <c r="AD169" i="6"/>
  <c r="AE169" i="6"/>
  <c r="AF169" i="6"/>
  <c r="AH169" i="6"/>
  <c r="AJ169" i="6"/>
  <c r="AK169" i="6"/>
  <c r="AL169" i="6"/>
  <c r="AM169" i="6"/>
  <c r="C170" i="6"/>
  <c r="D170" i="6"/>
  <c r="E170" i="6"/>
  <c r="F170" i="6"/>
  <c r="H170" i="6"/>
  <c r="I170" i="6"/>
  <c r="R170" i="6"/>
  <c r="T170" i="6"/>
  <c r="AA170" i="6"/>
  <c r="AB170" i="6"/>
  <c r="AD170" i="6"/>
  <c r="AE170" i="6"/>
  <c r="AF170" i="6"/>
  <c r="AH170" i="6"/>
  <c r="AJ170" i="6"/>
  <c r="AK170" i="6"/>
  <c r="AL170" i="6"/>
  <c r="AM170" i="6"/>
  <c r="C171" i="6"/>
  <c r="D171" i="6"/>
  <c r="E171" i="6"/>
  <c r="F171" i="6"/>
  <c r="H171" i="6"/>
  <c r="I171" i="6"/>
  <c r="R171" i="6"/>
  <c r="T171" i="6"/>
  <c r="AA171" i="6"/>
  <c r="AB171" i="6"/>
  <c r="AD171" i="6"/>
  <c r="AE171" i="6"/>
  <c r="AF171" i="6"/>
  <c r="AH171" i="6"/>
  <c r="AJ171" i="6"/>
  <c r="AK171" i="6"/>
  <c r="AL171" i="6"/>
  <c r="AM171" i="6"/>
  <c r="C172" i="6"/>
  <c r="D172" i="6"/>
  <c r="E172" i="6"/>
  <c r="F172" i="6"/>
  <c r="H172" i="6"/>
  <c r="I172" i="6"/>
  <c r="R172" i="6"/>
  <c r="T172" i="6"/>
  <c r="AA172" i="6"/>
  <c r="AB172" i="6"/>
  <c r="AD172" i="6"/>
  <c r="AE172" i="6"/>
  <c r="AF172" i="6"/>
  <c r="AH172" i="6"/>
  <c r="AJ172" i="6"/>
  <c r="AK172" i="6"/>
  <c r="AL172" i="6"/>
  <c r="AM172" i="6"/>
  <c r="C173" i="6"/>
  <c r="D173" i="6"/>
  <c r="E173" i="6"/>
  <c r="F173" i="6"/>
  <c r="H173" i="6"/>
  <c r="I173" i="6"/>
  <c r="R173" i="6"/>
  <c r="T173" i="6"/>
  <c r="AA173" i="6"/>
  <c r="AB173" i="6"/>
  <c r="AD173" i="6"/>
  <c r="AE173" i="6"/>
  <c r="AF173" i="6"/>
  <c r="AH173" i="6"/>
  <c r="AJ173" i="6"/>
  <c r="AK173" i="6"/>
  <c r="AL173" i="6"/>
  <c r="AM173" i="6"/>
  <c r="C174" i="6"/>
  <c r="D174" i="6"/>
  <c r="E174" i="6"/>
  <c r="F174" i="6"/>
  <c r="H174" i="6"/>
  <c r="I174" i="6"/>
  <c r="R174" i="6"/>
  <c r="T174" i="6"/>
  <c r="AA174" i="6"/>
  <c r="AB174" i="6"/>
  <c r="AD174" i="6"/>
  <c r="AE174" i="6"/>
  <c r="AF174" i="6"/>
  <c r="AH174" i="6"/>
  <c r="AJ174" i="6"/>
  <c r="AK174" i="6"/>
  <c r="AL174" i="6"/>
  <c r="AM174" i="6"/>
  <c r="C175" i="6"/>
  <c r="D175" i="6"/>
  <c r="E175" i="6"/>
  <c r="F175" i="6"/>
  <c r="H175" i="6"/>
  <c r="I175" i="6"/>
  <c r="R175" i="6"/>
  <c r="T175" i="6"/>
  <c r="AA175" i="6"/>
  <c r="AB175" i="6"/>
  <c r="AD175" i="6"/>
  <c r="AE175" i="6"/>
  <c r="AF175" i="6"/>
  <c r="AH175" i="6"/>
  <c r="AJ175" i="6"/>
  <c r="AK175" i="6"/>
  <c r="AL175" i="6"/>
  <c r="AM175" i="6"/>
  <c r="C176" i="6"/>
  <c r="D176" i="6"/>
  <c r="E176" i="6"/>
  <c r="F176" i="6"/>
  <c r="H176" i="6"/>
  <c r="I176" i="6"/>
  <c r="R176" i="6"/>
  <c r="T176" i="6"/>
  <c r="AA176" i="6"/>
  <c r="AB176" i="6"/>
  <c r="AD176" i="6"/>
  <c r="AE176" i="6"/>
  <c r="AF176" i="6"/>
  <c r="AH176" i="6"/>
  <c r="AJ176" i="6"/>
  <c r="AK176" i="6"/>
  <c r="AL176" i="6"/>
  <c r="AM176" i="6"/>
  <c r="C177" i="6"/>
  <c r="D177" i="6"/>
  <c r="E177" i="6"/>
  <c r="F177" i="6"/>
  <c r="H177" i="6"/>
  <c r="I177" i="6"/>
  <c r="R177" i="6"/>
  <c r="T177" i="6"/>
  <c r="AA177" i="6"/>
  <c r="AB177" i="6"/>
  <c r="AD177" i="6"/>
  <c r="AE177" i="6"/>
  <c r="AF177" i="6"/>
  <c r="AH177" i="6"/>
  <c r="AJ177" i="6"/>
  <c r="AK177" i="6"/>
  <c r="AL177" i="6"/>
  <c r="AM177" i="6"/>
  <c r="C178" i="6"/>
  <c r="D178" i="6"/>
  <c r="E178" i="6"/>
  <c r="F178" i="6"/>
  <c r="H178" i="6"/>
  <c r="I178" i="6"/>
  <c r="R178" i="6"/>
  <c r="T178" i="6"/>
  <c r="AA178" i="6"/>
  <c r="AB178" i="6"/>
  <c r="AD178" i="6"/>
  <c r="AE178" i="6"/>
  <c r="AF178" i="6"/>
  <c r="AH178" i="6"/>
  <c r="AJ178" i="6"/>
  <c r="AK178" i="6"/>
  <c r="AL178" i="6"/>
  <c r="AM178" i="6"/>
  <c r="C179" i="6"/>
  <c r="D179" i="6"/>
  <c r="E179" i="6"/>
  <c r="F179" i="6"/>
  <c r="H179" i="6"/>
  <c r="I179" i="6"/>
  <c r="R179" i="6"/>
  <c r="T179" i="6"/>
  <c r="AA179" i="6"/>
  <c r="AB179" i="6"/>
  <c r="AD179" i="6"/>
  <c r="AE179" i="6"/>
  <c r="AF179" i="6"/>
  <c r="AH179" i="6"/>
  <c r="AJ179" i="6"/>
  <c r="AK179" i="6"/>
  <c r="AL179" i="6"/>
  <c r="AM179" i="6"/>
  <c r="C180" i="6"/>
  <c r="D180" i="6"/>
  <c r="E180" i="6"/>
  <c r="F180" i="6"/>
  <c r="H180" i="6"/>
  <c r="I180" i="6"/>
  <c r="R180" i="6"/>
  <c r="T180" i="6"/>
  <c r="AA180" i="6"/>
  <c r="AB180" i="6"/>
  <c r="AD180" i="6"/>
  <c r="AE180" i="6"/>
  <c r="AF180" i="6"/>
  <c r="AH180" i="6"/>
  <c r="AJ180" i="6"/>
  <c r="AK180" i="6"/>
  <c r="AL180" i="6"/>
  <c r="AM180" i="6"/>
  <c r="C181" i="6"/>
  <c r="D181" i="6"/>
  <c r="E181" i="6"/>
  <c r="F181" i="6"/>
  <c r="H181" i="6"/>
  <c r="I181" i="6"/>
  <c r="R181" i="6"/>
  <c r="T181" i="6"/>
  <c r="AA181" i="6"/>
  <c r="AB181" i="6"/>
  <c r="AD181" i="6"/>
  <c r="AE181" i="6"/>
  <c r="AF181" i="6"/>
  <c r="AH181" i="6"/>
  <c r="AJ181" i="6"/>
  <c r="AK181" i="6"/>
  <c r="AL181" i="6"/>
  <c r="AM181" i="6"/>
  <c r="C182" i="6"/>
  <c r="D182" i="6"/>
  <c r="E182" i="6"/>
  <c r="F182" i="6"/>
  <c r="H182" i="6"/>
  <c r="I182" i="6"/>
  <c r="R182" i="6"/>
  <c r="T182" i="6"/>
  <c r="AA182" i="6"/>
  <c r="AB182" i="6"/>
  <c r="AD182" i="6"/>
  <c r="AE182" i="6"/>
  <c r="AF182" i="6"/>
  <c r="AH182" i="6"/>
  <c r="AJ182" i="6"/>
  <c r="AK182" i="6"/>
  <c r="AL182" i="6"/>
  <c r="AM182" i="6"/>
  <c r="C183" i="6"/>
  <c r="D183" i="6"/>
  <c r="E183" i="6"/>
  <c r="F183" i="6"/>
  <c r="H183" i="6"/>
  <c r="I183" i="6"/>
  <c r="R183" i="6"/>
  <c r="T183" i="6"/>
  <c r="AA183" i="6"/>
  <c r="AB183" i="6"/>
  <c r="AD183" i="6"/>
  <c r="AE183" i="6"/>
  <c r="AF183" i="6"/>
  <c r="AH183" i="6"/>
  <c r="AJ183" i="6"/>
  <c r="AK183" i="6"/>
  <c r="AL183" i="6"/>
  <c r="AM183" i="6"/>
  <c r="C184" i="6"/>
  <c r="D184" i="6"/>
  <c r="E184" i="6"/>
  <c r="F184" i="6"/>
  <c r="H184" i="6"/>
  <c r="I184" i="6"/>
  <c r="R184" i="6"/>
  <c r="T184" i="6"/>
  <c r="AA184" i="6"/>
  <c r="AB184" i="6"/>
  <c r="AD184" i="6"/>
  <c r="AE184" i="6"/>
  <c r="AF184" i="6"/>
  <c r="AH184" i="6"/>
  <c r="AJ184" i="6"/>
  <c r="AK184" i="6"/>
  <c r="AL184" i="6"/>
  <c r="AM184" i="6"/>
  <c r="C185" i="6"/>
  <c r="D185" i="6"/>
  <c r="E185" i="6"/>
  <c r="F185" i="6"/>
  <c r="H185" i="6"/>
  <c r="I185" i="6"/>
  <c r="R185" i="6"/>
  <c r="T185" i="6"/>
  <c r="AA185" i="6"/>
  <c r="AB185" i="6"/>
  <c r="AD185" i="6"/>
  <c r="AE185" i="6"/>
  <c r="AF185" i="6"/>
  <c r="AH185" i="6"/>
  <c r="AJ185" i="6"/>
  <c r="AK185" i="6"/>
  <c r="AL185" i="6"/>
  <c r="AM185" i="6"/>
  <c r="C186" i="6"/>
  <c r="D186" i="6"/>
  <c r="E186" i="6"/>
  <c r="F186" i="6"/>
  <c r="H186" i="6"/>
  <c r="I186" i="6"/>
  <c r="R186" i="6"/>
  <c r="T186" i="6"/>
  <c r="AA186" i="6"/>
  <c r="AB186" i="6"/>
  <c r="AD186" i="6"/>
  <c r="AE186" i="6"/>
  <c r="AF186" i="6"/>
  <c r="AH186" i="6"/>
  <c r="AJ186" i="6"/>
  <c r="AK186" i="6"/>
  <c r="AL186" i="6"/>
  <c r="AM186" i="6"/>
  <c r="C187" i="6"/>
  <c r="D187" i="6"/>
  <c r="E187" i="6"/>
  <c r="F187" i="6"/>
  <c r="H187" i="6"/>
  <c r="I187" i="6"/>
  <c r="R187" i="6"/>
  <c r="T187" i="6"/>
  <c r="AA187" i="6"/>
  <c r="AB187" i="6"/>
  <c r="AD187" i="6"/>
  <c r="AE187" i="6"/>
  <c r="AF187" i="6"/>
  <c r="AH187" i="6"/>
  <c r="AJ187" i="6"/>
  <c r="AK187" i="6"/>
  <c r="AL187" i="6"/>
  <c r="AM187" i="6"/>
  <c r="C188" i="6"/>
  <c r="D188" i="6"/>
  <c r="E188" i="6"/>
  <c r="F188" i="6"/>
  <c r="H188" i="6"/>
  <c r="I188" i="6"/>
  <c r="R188" i="6"/>
  <c r="T188" i="6"/>
  <c r="AA188" i="6"/>
  <c r="AB188" i="6"/>
  <c r="AD188" i="6"/>
  <c r="AE188" i="6"/>
  <c r="AF188" i="6"/>
  <c r="AH188" i="6"/>
  <c r="AJ188" i="6"/>
  <c r="AK188" i="6"/>
  <c r="AL188" i="6"/>
  <c r="AM188" i="6"/>
  <c r="C189" i="6"/>
  <c r="D189" i="6"/>
  <c r="E189" i="6"/>
  <c r="F189" i="6"/>
  <c r="H189" i="6"/>
  <c r="I189" i="6"/>
  <c r="R189" i="6"/>
  <c r="T189" i="6"/>
  <c r="AA189" i="6"/>
  <c r="AB189" i="6"/>
  <c r="AD189" i="6"/>
  <c r="AE189" i="6"/>
  <c r="AF189" i="6"/>
  <c r="AH189" i="6"/>
  <c r="AJ189" i="6"/>
  <c r="AK189" i="6"/>
  <c r="AL189" i="6"/>
  <c r="AM189" i="6"/>
  <c r="C190" i="6"/>
  <c r="D190" i="6"/>
  <c r="E190" i="6"/>
  <c r="F190" i="6"/>
  <c r="H190" i="6"/>
  <c r="I190" i="6"/>
  <c r="R190" i="6"/>
  <c r="T190" i="6"/>
  <c r="AA190" i="6"/>
  <c r="AB190" i="6"/>
  <c r="AD190" i="6"/>
  <c r="AE190" i="6"/>
  <c r="AF190" i="6"/>
  <c r="AH190" i="6"/>
  <c r="AJ190" i="6"/>
  <c r="AK190" i="6"/>
  <c r="AL190" i="6"/>
  <c r="AM190" i="6"/>
  <c r="C191" i="6"/>
  <c r="D191" i="6"/>
  <c r="E191" i="6"/>
  <c r="F191" i="6"/>
  <c r="H191" i="6"/>
  <c r="I191" i="6"/>
  <c r="R191" i="6"/>
  <c r="T191" i="6"/>
  <c r="AA191" i="6"/>
  <c r="AB191" i="6"/>
  <c r="AD191" i="6"/>
  <c r="AE191" i="6"/>
  <c r="AF191" i="6"/>
  <c r="AH191" i="6"/>
  <c r="AJ191" i="6"/>
  <c r="AK191" i="6"/>
  <c r="AL191" i="6"/>
  <c r="AM191" i="6"/>
  <c r="C192" i="6"/>
  <c r="D192" i="6"/>
  <c r="E192" i="6"/>
  <c r="F192" i="6"/>
  <c r="H192" i="6"/>
  <c r="I192" i="6"/>
  <c r="R192" i="6"/>
  <c r="T192" i="6"/>
  <c r="AA192" i="6"/>
  <c r="AB192" i="6"/>
  <c r="AD192" i="6"/>
  <c r="AE192" i="6"/>
  <c r="AF192" i="6"/>
  <c r="AH192" i="6"/>
  <c r="AJ192" i="6"/>
  <c r="AK192" i="6"/>
  <c r="AL192" i="6"/>
  <c r="AM192" i="6"/>
  <c r="C193" i="6"/>
  <c r="D193" i="6"/>
  <c r="E193" i="6"/>
  <c r="F193" i="6"/>
  <c r="H193" i="6"/>
  <c r="I193" i="6"/>
  <c r="R193" i="6"/>
  <c r="T193" i="6"/>
  <c r="AA193" i="6"/>
  <c r="AB193" i="6"/>
  <c r="AD193" i="6"/>
  <c r="AE193" i="6"/>
  <c r="AF193" i="6"/>
  <c r="AH193" i="6"/>
  <c r="AJ193" i="6"/>
  <c r="AK193" i="6"/>
  <c r="AL193" i="6"/>
  <c r="AM193" i="6"/>
  <c r="C194" i="6"/>
  <c r="D194" i="6"/>
  <c r="E194" i="6"/>
  <c r="F194" i="6"/>
  <c r="H194" i="6"/>
  <c r="I194" i="6"/>
  <c r="R194" i="6"/>
  <c r="T194" i="6"/>
  <c r="AA194" i="6"/>
  <c r="AB194" i="6"/>
  <c r="AD194" i="6"/>
  <c r="AE194" i="6"/>
  <c r="AF194" i="6"/>
  <c r="AH194" i="6"/>
  <c r="AJ194" i="6"/>
  <c r="AK194" i="6"/>
  <c r="AL194" i="6"/>
  <c r="AM194" i="6"/>
  <c r="C195" i="6"/>
  <c r="D195" i="6"/>
  <c r="E195" i="6"/>
  <c r="F195" i="6"/>
  <c r="H195" i="6"/>
  <c r="I195" i="6"/>
  <c r="R195" i="6"/>
  <c r="T195" i="6"/>
  <c r="AA195" i="6"/>
  <c r="AB195" i="6"/>
  <c r="AD195" i="6"/>
  <c r="AE195" i="6"/>
  <c r="AF195" i="6"/>
  <c r="AH195" i="6"/>
  <c r="AJ195" i="6"/>
  <c r="AK195" i="6"/>
  <c r="AL195" i="6"/>
  <c r="AM195" i="6"/>
  <c r="C196" i="6"/>
  <c r="D196" i="6"/>
  <c r="E196" i="6"/>
  <c r="F196" i="6"/>
  <c r="H196" i="6"/>
  <c r="I196" i="6"/>
  <c r="R196" i="6"/>
  <c r="T196" i="6"/>
  <c r="AA196" i="6"/>
  <c r="AB196" i="6"/>
  <c r="AD196" i="6"/>
  <c r="AE196" i="6"/>
  <c r="AF196" i="6"/>
  <c r="AH196" i="6"/>
  <c r="AJ196" i="6"/>
  <c r="AK196" i="6"/>
  <c r="AL196" i="6"/>
  <c r="AM196" i="6"/>
  <c r="C197" i="6"/>
  <c r="D197" i="6"/>
  <c r="E197" i="6"/>
  <c r="F197" i="6"/>
  <c r="H197" i="6"/>
  <c r="I197" i="6"/>
  <c r="R197" i="6"/>
  <c r="T197" i="6"/>
  <c r="AA197" i="6"/>
  <c r="AB197" i="6"/>
  <c r="AD197" i="6"/>
  <c r="AE197" i="6"/>
  <c r="AF197" i="6"/>
  <c r="AH197" i="6"/>
  <c r="AJ197" i="6"/>
  <c r="AK197" i="6"/>
  <c r="AL197" i="6"/>
  <c r="AM197" i="6"/>
  <c r="C198" i="6"/>
  <c r="D198" i="6"/>
  <c r="E198" i="6"/>
  <c r="F198" i="6"/>
  <c r="H198" i="6"/>
  <c r="I198" i="6"/>
  <c r="R198" i="6"/>
  <c r="T198" i="6"/>
  <c r="AA198" i="6"/>
  <c r="AB198" i="6"/>
  <c r="AD198" i="6"/>
  <c r="AE198" i="6"/>
  <c r="AF198" i="6"/>
  <c r="AH198" i="6"/>
  <c r="AJ198" i="6"/>
  <c r="AK198" i="6"/>
  <c r="AL198" i="6"/>
  <c r="AM198" i="6"/>
  <c r="C199" i="6"/>
  <c r="D199" i="6"/>
  <c r="E199" i="6"/>
  <c r="F199" i="6"/>
  <c r="H199" i="6"/>
  <c r="I199" i="6"/>
  <c r="R199" i="6"/>
  <c r="T199" i="6"/>
  <c r="AA199" i="6"/>
  <c r="AB199" i="6"/>
  <c r="AD199" i="6"/>
  <c r="AE199" i="6"/>
  <c r="AF199" i="6"/>
  <c r="AH199" i="6"/>
  <c r="AJ199" i="6"/>
  <c r="AK199" i="6"/>
  <c r="AL199" i="6"/>
  <c r="AM199" i="6"/>
  <c r="C200" i="6"/>
  <c r="D200" i="6"/>
  <c r="E200" i="6"/>
  <c r="F200" i="6"/>
  <c r="H200" i="6"/>
  <c r="I200" i="6"/>
  <c r="R200" i="6"/>
  <c r="T200" i="6"/>
  <c r="AA200" i="6"/>
  <c r="AB200" i="6"/>
  <c r="AD200" i="6"/>
  <c r="AE200" i="6"/>
  <c r="AF200" i="6"/>
  <c r="AH200" i="6"/>
  <c r="AJ200" i="6"/>
  <c r="AK200" i="6"/>
  <c r="AL200" i="6"/>
  <c r="AM200" i="6"/>
  <c r="C201" i="6"/>
  <c r="D201" i="6"/>
  <c r="E201" i="6"/>
  <c r="F201" i="6"/>
  <c r="H201" i="6"/>
  <c r="I201" i="6"/>
  <c r="R201" i="6"/>
  <c r="T201" i="6"/>
  <c r="AA201" i="6"/>
  <c r="AB201" i="6"/>
  <c r="AD201" i="6"/>
  <c r="AE201" i="6"/>
  <c r="AF201" i="6"/>
  <c r="AH201" i="6"/>
  <c r="AJ201" i="6"/>
  <c r="AK201" i="6"/>
  <c r="AL201" i="6"/>
  <c r="AM201" i="6"/>
  <c r="AK9" i="6"/>
  <c r="AL9" i="6"/>
  <c r="AM9" i="6"/>
  <c r="AJ9" i="6"/>
  <c r="AH9" i="6"/>
  <c r="AF9" i="6"/>
  <c r="AE9" i="6"/>
  <c r="AD9" i="6"/>
  <c r="AB9" i="6"/>
  <c r="AA9" i="6"/>
  <c r="T9" i="6"/>
  <c r="R9" i="6"/>
  <c r="I9" i="6"/>
  <c r="H9" i="6"/>
  <c r="F9" i="6"/>
  <c r="E9" i="6"/>
  <c r="D9" i="6"/>
  <c r="C9" i="6"/>
  <c r="B198" i="6"/>
  <c r="B199" i="6"/>
  <c r="B200" i="6"/>
  <c r="B201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9" i="6"/>
  <c r="R6" i="6"/>
</calcChain>
</file>

<file path=xl/sharedStrings.xml><?xml version="1.0" encoding="utf-8"?>
<sst xmlns="http://schemas.openxmlformats.org/spreadsheetml/2006/main" count="8143" uniqueCount="397">
  <si>
    <t>Class</t>
  </si>
  <si>
    <t>Roadway</t>
  </si>
  <si>
    <t>Segment</t>
  </si>
  <si>
    <t>Source</t>
  </si>
  <si>
    <t>2022 Station</t>
  </si>
  <si>
    <t>2025 Station</t>
  </si>
  <si>
    <t>Lns</t>
  </si>
  <si>
    <t>LOS Std</t>
  </si>
  <si>
    <t>Speed Limit</t>
  </si>
  <si>
    <t>Location</t>
  </si>
  <si>
    <t>Lat</t>
  </si>
  <si>
    <t>Long</t>
  </si>
  <si>
    <t>Maj Art</t>
  </si>
  <si>
    <t>SR 436 (Semoran Blvd)</t>
  </si>
  <si>
    <t>US 441 to Sheeler Rd</t>
  </si>
  <si>
    <t>FDOT</t>
  </si>
  <si>
    <t>8LD</t>
  </si>
  <si>
    <t>D</t>
  </si>
  <si>
    <t>Sheeler Rd to Thompson Rd</t>
  </si>
  <si>
    <t>Roger Williams Rd to Piedmont-Wekiva Rd</t>
  </si>
  <si>
    <t>COUNTY</t>
  </si>
  <si>
    <t>Piedmont-Wekiva Rd to Seminole County Ln</t>
  </si>
  <si>
    <t>6LD</t>
  </si>
  <si>
    <t>US 441 (Orange Blossom Tr)</t>
  </si>
  <si>
    <t>Ponkan Rd to Church Dr/Yothers Rd</t>
  </si>
  <si>
    <t>4LD</t>
  </si>
  <si>
    <t>SR 429 Connector Rd to Plymouth Sorrento Rd (CR 437)</t>
  </si>
  <si>
    <t>2, 3</t>
  </si>
  <si>
    <t>Boy Scout Blvd to Errol Pkwy</t>
  </si>
  <si>
    <t>Errol Pkwy to SR 451</t>
  </si>
  <si>
    <t>Hawthorne Ave to Central Ave</t>
  </si>
  <si>
    <t>5L</t>
  </si>
  <si>
    <t>Central Ave to Park Ave</t>
  </si>
  <si>
    <t>Park Ave to Highland Ave</t>
  </si>
  <si>
    <t>Alabama Ave to SR 436</t>
  </si>
  <si>
    <t>Sheeler Rd to Roger Williams Rd</t>
  </si>
  <si>
    <t>Min Art</t>
  </si>
  <si>
    <t>CR 424 (Alabama Ave/Apopka Blvd)</t>
  </si>
  <si>
    <t>8th St to Sheeler Rd</t>
  </si>
  <si>
    <t>2L</t>
  </si>
  <si>
    <t>E</t>
  </si>
  <si>
    <t>Sheeler Rd to Lakeville Rd</t>
  </si>
  <si>
    <t>Hiawassee Rd to Overland Rd</t>
  </si>
  <si>
    <t>CR 435 (Rock Spring Rd/Park Ave/Clarcona Rd)</t>
  </si>
  <si>
    <t>Kelly Park Rd to Ponkan Rd</t>
  </si>
  <si>
    <t>Ponkan Rd to Welch Rd</t>
  </si>
  <si>
    <t>Welch Rd to Sandpiper Rd</t>
  </si>
  <si>
    <t>Votaw Rd to Orange St</t>
  </si>
  <si>
    <t>M. Gladden Blvd to Cleveland St</t>
  </si>
  <si>
    <t>Cleveland St to Keene Rd</t>
  </si>
  <si>
    <t>Keene Rd to McCormick Rd</t>
  </si>
  <si>
    <t>CR 437A (Ocoee-Apopka Rd/Michael Gladden Blvd/Central Ave)</t>
  </si>
  <si>
    <t>Plymouth-Sorrento Rd</t>
  </si>
  <si>
    <t>County Line to Kelly Park Rd</t>
  </si>
  <si>
    <t>Appy Ln to Ponkan Rd</t>
  </si>
  <si>
    <t>Ponkan Rd to Lester Rd/Yothers Rd</t>
  </si>
  <si>
    <t>Sheeler Rd</t>
  </si>
  <si>
    <t>US 441 to Apopka Blvd</t>
  </si>
  <si>
    <t>Apopka Blvd to Cleveland St</t>
  </si>
  <si>
    <t>Wekiwa Springs Rd/Piedmont-Wekiwa Rd/Hiawassee Rd</t>
  </si>
  <si>
    <t>Welch Rd to Votaw Rd</t>
  </si>
  <si>
    <t>3L</t>
  </si>
  <si>
    <t>Votaw Rd to SR 436</t>
  </si>
  <si>
    <t>SR 436 to Piedmont Lakes Blvd</t>
  </si>
  <si>
    <t>US 441 to CR 424 (Apopka Blvd)</t>
  </si>
  <si>
    <t>CR 424 (Apopka Blvd) to SR 414</t>
  </si>
  <si>
    <t>Beggs Rd to Clarcona-Ocoee Rd</t>
  </si>
  <si>
    <t>Welch Rd</t>
  </si>
  <si>
    <t>Vick Rd to Rock Springs Rd</t>
  </si>
  <si>
    <t>Ustler Road to Thompson Rd</t>
  </si>
  <si>
    <t>Thompson Rd to Wekiva Springs Rd</t>
  </si>
  <si>
    <t>Min Coll</t>
  </si>
  <si>
    <t>Binion Rd/Orange Ave</t>
  </si>
  <si>
    <t>Ocoee-Apopka Rd to Harmon Rd</t>
  </si>
  <si>
    <t>Boy Scout Rd to Lakeview Dr</t>
  </si>
  <si>
    <t>Lakeview Dr to US 441</t>
  </si>
  <si>
    <t>Keene Rd</t>
  </si>
  <si>
    <t>Ocoee-Apopka Rd to Marden Rd</t>
  </si>
  <si>
    <t>Clarcona Rd to Sheeler Rd</t>
  </si>
  <si>
    <t>Kelly Park Rd</t>
  </si>
  <si>
    <t>SR 429 to Plymouth-Sorrento Rd (CR 437)</t>
  </si>
  <si>
    <t>Mt. Plymouth Rd to Rock Springs Rd</t>
  </si>
  <si>
    <t>Lakeville Rd</t>
  </si>
  <si>
    <t>Wildwood St to Beggs Rd</t>
  </si>
  <si>
    <t>Beggs Rd to Clarcona Ocoee Rd</t>
  </si>
  <si>
    <t>Mt. Plymouth Rd</t>
  </si>
  <si>
    <t>Kelly Park Rd to Haas Rd</t>
  </si>
  <si>
    <t>Ponkan Rd</t>
  </si>
  <si>
    <t>Round Lake Rd to Plymouth-Sorrento Rd (CR 437)</t>
  </si>
  <si>
    <t>Plymouth-Sorrento Rd (CR 437) to Vick Rd</t>
  </si>
  <si>
    <t>Round Lake Rd</t>
  </si>
  <si>
    <t>Ponkan Rd to Sadler Ave</t>
  </si>
  <si>
    <t>Sadler Ave to Kelly Park Rd</t>
  </si>
  <si>
    <t>Kelly Park Rd to Ondich Rd</t>
  </si>
  <si>
    <t>Ondich Rd to Lake County Line</t>
  </si>
  <si>
    <t>Thompson Rd</t>
  </si>
  <si>
    <t>Vick Rd</t>
  </si>
  <si>
    <t>Old Dixie Hwy to Ashworth Overlook Dr</t>
  </si>
  <si>
    <t>Lester Rd to Ponkan Rd</t>
  </si>
  <si>
    <t>Yothers Rd</t>
  </si>
  <si>
    <t>Hermit Smith Rd to Plymouth-Sorrento Rd (CR 437)</t>
  </si>
  <si>
    <t>10th St</t>
  </si>
  <si>
    <t>Alabama Ave to Sheeler Ave</t>
  </si>
  <si>
    <t>CITY</t>
  </si>
  <si>
    <t>13th St</t>
  </si>
  <si>
    <t>Ocoee-Apopka Rd to Park Ave</t>
  </si>
  <si>
    <t>Park Ave to Apopka Blvd</t>
  </si>
  <si>
    <t>2nd St (Monroe Ave)</t>
  </si>
  <si>
    <t>5th St</t>
  </si>
  <si>
    <t>6th St</t>
  </si>
  <si>
    <t>Park Ave to Alabama Ave</t>
  </si>
  <si>
    <t>Alabama Ave to US 441</t>
  </si>
  <si>
    <t>8th St</t>
  </si>
  <si>
    <t>9th St</t>
  </si>
  <si>
    <t>Alabama Ave</t>
  </si>
  <si>
    <t>Monroe Ave to US 441</t>
  </si>
  <si>
    <t>Appy Ln</t>
  </si>
  <si>
    <t>Plymouth-Sorrento Rd (CR 437) to Jason Dwelley Pkwy</t>
  </si>
  <si>
    <t>Harmon Rd to Boy Scout Rd</t>
  </si>
  <si>
    <t>Boy Scout Rd</t>
  </si>
  <si>
    <t>Binion Rd to Ocoee-Apopka Rd</t>
  </si>
  <si>
    <t>Bradshaw Rd</t>
  </si>
  <si>
    <t>US 441 to Ocoee-Apopka Rd</t>
  </si>
  <si>
    <t>Christiana Ave</t>
  </si>
  <si>
    <t>Monroe Ave to Votaw Rd</t>
  </si>
  <si>
    <t>Cleveland St</t>
  </si>
  <si>
    <t>Park Ave to Sheeler Rd</t>
  </si>
  <si>
    <t>Lakeville Rd to Hiawassee Rd</t>
  </si>
  <si>
    <t>US 441 to 8th St</t>
  </si>
  <si>
    <t>Overland Rd to US 441</t>
  </si>
  <si>
    <t>McCormick Rd to Clarcona-Ocoee Rd</t>
  </si>
  <si>
    <t>Sandpiper Rd to Votaw Rd</t>
  </si>
  <si>
    <t>US 441 to M. Gladden Blvd</t>
  </si>
  <si>
    <t>Orange St to US 441</t>
  </si>
  <si>
    <t>E 5th Street</t>
  </si>
  <si>
    <t>S Central Ave to Park Avenue</t>
  </si>
  <si>
    <t>Edgewood Dr</t>
  </si>
  <si>
    <t>Errol Pkwy</t>
  </si>
  <si>
    <t>Lake Francis Dr to Lake Alden Dr</t>
  </si>
  <si>
    <t>Lake Alden Dr to Old Dixie Hwy</t>
  </si>
  <si>
    <t>Old Dixie Hwy to US 441</t>
  </si>
  <si>
    <t>General Electric Rd</t>
  </si>
  <si>
    <t>Hermit Smith Rd to Orange Ave</t>
  </si>
  <si>
    <t>Golden Gem Rd</t>
  </si>
  <si>
    <t>Kelly Park Rd to Sadler Rd</t>
  </si>
  <si>
    <t>Sadler Rd to Ponkan Rd</t>
  </si>
  <si>
    <t>Greenacre Rd</t>
  </si>
  <si>
    <t>Piedmont-Wekiwa Rd to Neil Rd</t>
  </si>
  <si>
    <t>Haas Rd</t>
  </si>
  <si>
    <t>Plymouth-Sorrento Rd (CR 437) to Mt Plymouth Rd</t>
  </si>
  <si>
    <t>Harmon Rd</t>
  </si>
  <si>
    <t>Harmon Road</t>
  </si>
  <si>
    <t>Ocoee Apopka Road to Marden Road</t>
  </si>
  <si>
    <t>Hawthorne Ave</t>
  </si>
  <si>
    <t>Ocoee-Apopka Rd to 13th St</t>
  </si>
  <si>
    <t>Hermit Smith Rd</t>
  </si>
  <si>
    <t>US 441 to General Electric Rd</t>
  </si>
  <si>
    <t>Plymouth-Sorrento Rd (CR 437) to US 441</t>
  </si>
  <si>
    <t>General Electric Rd to US 441</t>
  </si>
  <si>
    <t>Highland Ave</t>
  </si>
  <si>
    <t>US 441 to 6th St</t>
  </si>
  <si>
    <t>Hogshead Rd</t>
  </si>
  <si>
    <t>Hermit Smith Rd to Conrad Rd</t>
  </si>
  <si>
    <t>Jason Dwelley Pkwy</t>
  </si>
  <si>
    <t>Kelly Park Rd to Spinfisher Dr</t>
  </si>
  <si>
    <t>Spinfisher Dr to White Dahlia Dr</t>
  </si>
  <si>
    <t>White Dahlia Dr to Ponkan Rd</t>
  </si>
  <si>
    <t>Marden Rd to Clarcona Rd</t>
  </si>
  <si>
    <t>Jason Dwelley Pkwy to Mt. Plymouth Rd</t>
  </si>
  <si>
    <t>Round Lake Rd to SR 429</t>
  </si>
  <si>
    <t>Kelly Park Road</t>
  </si>
  <si>
    <t>Round Lake Road to Waypointe Blvd</t>
  </si>
  <si>
    <t>SR 429 to Plymouth Sorrento Road</t>
  </si>
  <si>
    <t>King St</t>
  </si>
  <si>
    <t>Peterson Rd to Orange Ave</t>
  </si>
  <si>
    <t>Lake Ave/Marvin C Zanders Ave</t>
  </si>
  <si>
    <t>US 441 to 4th St</t>
  </si>
  <si>
    <t>Martin St to Orange St</t>
  </si>
  <si>
    <t>Lake Cortez Dr</t>
  </si>
  <si>
    <t>SR 436 to Evelyn Dr</t>
  </si>
  <si>
    <t>Lake Doe Blvd</t>
  </si>
  <si>
    <t>US 441 to Dunn Cove Dr</t>
  </si>
  <si>
    <t>Lake Francis Dr</t>
  </si>
  <si>
    <t>Errol Pkwy to Vick Rd</t>
  </si>
  <si>
    <t>Schopke Lester Rd to Errol Pkwy</t>
  </si>
  <si>
    <t>Apopka Blvd to Wildwood St</t>
  </si>
  <si>
    <t>Lester Rd</t>
  </si>
  <si>
    <t>Schopke Lester Rd to Plymouth-Sorrento Rd (CR 437)</t>
  </si>
  <si>
    <t>Vick Rd to Schopke Lester Rd</t>
  </si>
  <si>
    <t>Rock Springs Rd to Vick Rd</t>
  </si>
  <si>
    <t>Lust Rd</t>
  </si>
  <si>
    <t>Binion Rd to Avian Pointe Blvd</t>
  </si>
  <si>
    <t>Magee Avenue</t>
  </si>
  <si>
    <t>US 441 to E 6th Street</t>
  </si>
  <si>
    <t>Marden Rd</t>
  </si>
  <si>
    <t>Marden Ridge Lp to SR 414</t>
  </si>
  <si>
    <t>SR 414 to Keene Rd</t>
  </si>
  <si>
    <t>Ocoee-Apopka Rd to Marden Ridge Lp</t>
  </si>
  <si>
    <t>Marshall Lake Rd</t>
  </si>
  <si>
    <t>SR 451 to Bradshaw Rd</t>
  </si>
  <si>
    <t>Martin St</t>
  </si>
  <si>
    <t>Maine Ave to Vick Rd</t>
  </si>
  <si>
    <t>Park Ave to Lake Ave</t>
  </si>
  <si>
    <t>Midland Ave</t>
  </si>
  <si>
    <t>Monroe Ave</t>
  </si>
  <si>
    <t>Alabama Ave to Sheeler Rd</t>
  </si>
  <si>
    <t>Haas Rd to Lake County Line</t>
  </si>
  <si>
    <t>North Maine Ave</t>
  </si>
  <si>
    <t>Martin St to Old Dixie Hwy</t>
  </si>
  <si>
    <t>Old Dixie Hwy/West Highland Ave/Orange St</t>
  </si>
  <si>
    <t>Vick Rd to Bradshaw Rd</t>
  </si>
  <si>
    <t>Hawthorne Ave to Park Ave</t>
  </si>
  <si>
    <t>Bradshaw Rd to Hawthorne Ave</t>
  </si>
  <si>
    <t>Plymouth-Sorrento Rd (CR 437) to Boy Scout Blvd</t>
  </si>
  <si>
    <t>Ondich Rd</t>
  </si>
  <si>
    <t>Effie Dr to Plymouth-Sorrento Rd (CR 437)</t>
  </si>
  <si>
    <t>Round Lake Rd to Effie Dr</t>
  </si>
  <si>
    <t>Overland Rd</t>
  </si>
  <si>
    <t>Apopka Rd to Beggs Rd</t>
  </si>
  <si>
    <t>Peterson Rd</t>
  </si>
  <si>
    <t>Grand Avian Pkwy to King St</t>
  </si>
  <si>
    <t>Lester Rd/Yothers Rd to SR 429 Connector Rd</t>
  </si>
  <si>
    <t>SR 429 Connector Rd to US 441</t>
  </si>
  <si>
    <t>Kelly Park Rd to Appy Ln</t>
  </si>
  <si>
    <t>Rock Ridge Blvd</t>
  </si>
  <si>
    <t>Rock Springs Rd to Haddington Ct</t>
  </si>
  <si>
    <t>Roger Williams Rd</t>
  </si>
  <si>
    <t>US 441 to SR 436</t>
  </si>
  <si>
    <t>Rogers Rd</t>
  </si>
  <si>
    <t>Lester Rd to Gray Stone</t>
  </si>
  <si>
    <t>Sandpiper Rd</t>
  </si>
  <si>
    <t>Park Ave to Ustler Rd</t>
  </si>
  <si>
    <t>Ustler Rd to Thompson Rd</t>
  </si>
  <si>
    <t>Schopke-Lester Rd</t>
  </si>
  <si>
    <t>Lester Rd to Old Dixie Hwy</t>
  </si>
  <si>
    <t>Sheeler Oaks Dr</t>
  </si>
  <si>
    <t>Sheeler Rd to Saddleback Ridge</t>
  </si>
  <si>
    <t>SR 436 to US 441</t>
  </si>
  <si>
    <t>SR 429 Connector</t>
  </si>
  <si>
    <t>US 441 to Plymouth-Sorrento Rd (CR 437)</t>
  </si>
  <si>
    <t>SR 429 Connector Road</t>
  </si>
  <si>
    <t>US 441 to Plymouth Sorrento Road</t>
  </si>
  <si>
    <t>Thompson Rd to Roger Williams Rd</t>
  </si>
  <si>
    <t>Summit St</t>
  </si>
  <si>
    <t>Rock Springs Rd to Lake Ave</t>
  </si>
  <si>
    <t>Tanglewild St</t>
  </si>
  <si>
    <t>Rock Springs Rd to Ulster Rd</t>
  </si>
  <si>
    <t>SR 436 to Sheeler Rd</t>
  </si>
  <si>
    <t>Church Dr/Yothers Rd to SR 429 Connector Rd</t>
  </si>
  <si>
    <t>Plymouth Sorrento Rd (CR 437) to Boy Scout Blvd</t>
  </si>
  <si>
    <t>Highland Ave to Alabama Ave</t>
  </si>
  <si>
    <t>Ustler Rd</t>
  </si>
  <si>
    <t>Sandpiper Rd to Tanglewild St</t>
  </si>
  <si>
    <t>Martin St to Welch Rd</t>
  </si>
  <si>
    <t>2LD</t>
  </si>
  <si>
    <t>Welch Rd to Lake Francis Dr</t>
  </si>
  <si>
    <t>Ashworth Overlook Dr to Martin St</t>
  </si>
  <si>
    <t>Lake Francis Dr to Lester Rd</t>
  </si>
  <si>
    <t>US 441 to Old Dixie Hwy</t>
  </si>
  <si>
    <t>Vick Road</t>
  </si>
  <si>
    <t>Ponkan Road to Lester Road</t>
  </si>
  <si>
    <t>Votaw Rd</t>
  </si>
  <si>
    <t>Park Ave to Christiana Ave</t>
  </si>
  <si>
    <t>Christiana Ave to Thompson Rd</t>
  </si>
  <si>
    <t>SR 414 to Beggs Rd</t>
  </si>
  <si>
    <t>Piedmont Lakes Blvd to US 441</t>
  </si>
  <si>
    <t>Rock Springs Rd to Ustler Road</t>
  </si>
  <si>
    <t>Woodfield Oaks Dr</t>
  </si>
  <si>
    <t>Arbor Way to Regal St</t>
  </si>
  <si>
    <t>US 441 to Hermit Smith Rd</t>
  </si>
  <si>
    <t>Peak Hour Directional Service Volumes</t>
  </si>
  <si>
    <t>Daily Service Volumes</t>
  </si>
  <si>
    <t>A</t>
  </si>
  <si>
    <t>B</t>
  </si>
  <si>
    <t>C</t>
  </si>
  <si>
    <t>Daily</t>
  </si>
  <si>
    <t>AM Peak Hour (7-9 am)</t>
  </si>
  <si>
    <t>PM Peak Hour (4-6 pm)</t>
  </si>
  <si>
    <t>Volume</t>
  </si>
  <si>
    <t>LOS</t>
  </si>
  <si>
    <t>NB/EB</t>
  </si>
  <si>
    <t>SB/WB</t>
  </si>
  <si>
    <t>Time</t>
  </si>
  <si>
    <t>K</t>
  </si>
  <si>
    <t>F</t>
  </si>
  <si>
    <t>Historical Daily Volumes</t>
  </si>
  <si>
    <t>88 / 89</t>
  </si>
  <si>
    <t>FDOT Trends Analysis</t>
  </si>
  <si>
    <t>Slope</t>
  </si>
  <si>
    <t>Intercept</t>
  </si>
  <si>
    <t>RSQ</t>
  </si>
  <si>
    <t xml:space="preserve">Annual </t>
  </si>
  <si>
    <t>Trend</t>
  </si>
  <si>
    <t>(404, 327)*</t>
  </si>
  <si>
    <t>404*</t>
  </si>
  <si>
    <t>28*</t>
  </si>
  <si>
    <t>33*</t>
  </si>
  <si>
    <t>1008*</t>
  </si>
  <si>
    <t>7033*</t>
  </si>
  <si>
    <t>(32, 7004)*</t>
  </si>
  <si>
    <t>328*</t>
  </si>
  <si>
    <t>426*</t>
  </si>
  <si>
    <t>21*</t>
  </si>
  <si>
    <t>19*</t>
  </si>
  <si>
    <t>7005*</t>
  </si>
  <si>
    <t>18*</t>
  </si>
  <si>
    <t>27*</t>
  </si>
  <si>
    <t>7083*</t>
  </si>
  <si>
    <t>(27, 29)*</t>
  </si>
  <si>
    <t>7090*</t>
  </si>
  <si>
    <t>8066*</t>
  </si>
  <si>
    <t>12*</t>
  </si>
  <si>
    <t>9*</t>
  </si>
  <si>
    <t>67*</t>
  </si>
  <si>
    <t>(30, 31)*</t>
  </si>
  <si>
    <t>17*</t>
  </si>
  <si>
    <t>(11, 8164)*</t>
  </si>
  <si>
    <t>(8115, 326)*</t>
  </si>
  <si>
    <t>14*</t>
  </si>
  <si>
    <t>10*</t>
  </si>
  <si>
    <t>(13, 14)*</t>
  </si>
  <si>
    <t>326*</t>
  </si>
  <si>
    <t>8*</t>
  </si>
  <si>
    <t>(8, 8067)*</t>
  </si>
  <si>
    <t>6*</t>
  </si>
  <si>
    <t>295*</t>
  </si>
  <si>
    <t>5*</t>
  </si>
  <si>
    <t>7006*</t>
  </si>
  <si>
    <t>7007*</t>
  </si>
  <si>
    <t>24*</t>
  </si>
  <si>
    <t>429*</t>
  </si>
  <si>
    <t>82*</t>
  </si>
  <si>
    <t>2*</t>
  </si>
  <si>
    <t>5099*</t>
  </si>
  <si>
    <t>5096*</t>
  </si>
  <si>
    <t>5098*</t>
  </si>
  <si>
    <t>7075*</t>
  </si>
  <si>
    <t>8150*</t>
  </si>
  <si>
    <t>8151*</t>
  </si>
  <si>
    <t>(799, 798)*</t>
  </si>
  <si>
    <t>25*</t>
  </si>
  <si>
    <t>330*</t>
  </si>
  <si>
    <t>331*</t>
  </si>
  <si>
    <t>7115*</t>
  </si>
  <si>
    <t>65*</t>
  </si>
  <si>
    <t>7049*</t>
  </si>
  <si>
    <t>2017*</t>
  </si>
  <si>
    <t>8152*</t>
  </si>
  <si>
    <t xml:space="preserve">Notes: </t>
  </si>
  <si>
    <r>
      <t xml:space="preserve">(*) - Per </t>
    </r>
    <r>
      <rPr>
        <i/>
        <sz val="8"/>
        <color theme="1"/>
        <rFont val="Arial"/>
        <family val="2"/>
      </rPr>
      <t>2025 Orange County Traffic Counts Database</t>
    </r>
  </si>
  <si>
    <t>07:00</t>
  </si>
  <si>
    <t>08:00</t>
  </si>
  <si>
    <t>16:00</t>
  </si>
  <si>
    <t>17:00</t>
  </si>
  <si>
    <t>(1) - 2021 Volumes are Average of 2020 and 2022</t>
  </si>
  <si>
    <t>---</t>
  </si>
  <si>
    <t>CST</t>
  </si>
  <si>
    <t>N/A</t>
  </si>
  <si>
    <t>N.C.</t>
  </si>
  <si>
    <t>CST.</t>
  </si>
  <si>
    <t>UC.</t>
  </si>
  <si>
    <t>Binion Rd to Keene Rd</t>
  </si>
  <si>
    <t>Keene Rd to Alston Bay Blvd</t>
  </si>
  <si>
    <t>Alston Bay Blvd to Harmon Rd</t>
  </si>
  <si>
    <t>Harmon Rd to Bradshaw Rd</t>
  </si>
  <si>
    <t>Bradshaw Rd to Park Ave</t>
  </si>
  <si>
    <r>
      <t xml:space="preserve">(*) - Per </t>
    </r>
    <r>
      <rPr>
        <i/>
        <sz val="8"/>
        <rFont val="Arial"/>
        <family val="2"/>
      </rPr>
      <t>2025 Orange County Traffic Counts Database</t>
    </r>
  </si>
  <si>
    <r>
      <t>2021</t>
    </r>
    <r>
      <rPr>
        <b/>
        <vertAlign val="superscript"/>
        <sz val="11"/>
        <rFont val="Arial"/>
        <family val="2"/>
      </rPr>
      <t>(1)</t>
    </r>
  </si>
  <si>
    <t>V/C</t>
  </si>
  <si>
    <t>Vol</t>
  </si>
  <si>
    <t>Cap</t>
  </si>
  <si>
    <t>Classification</t>
  </si>
  <si>
    <t>Type</t>
  </si>
  <si>
    <t>Std</t>
  </si>
  <si>
    <t>To</t>
  </si>
  <si>
    <t>From</t>
  </si>
  <si>
    <t>ID</t>
  </si>
  <si>
    <t>Adjusted Service Volumes</t>
  </si>
  <si>
    <t>GR</t>
  </si>
  <si>
    <t>PM Directional</t>
  </si>
  <si>
    <t>AM Directional</t>
  </si>
  <si>
    <t>PM 2-Way</t>
  </si>
  <si>
    <t>AM 2-Way</t>
  </si>
  <si>
    <t>Dir</t>
  </si>
  <si>
    <t>Peak</t>
  </si>
  <si>
    <t>2-Way</t>
  </si>
  <si>
    <t>Context</t>
  </si>
  <si>
    <t xml:space="preserve">Facility </t>
  </si>
  <si>
    <t>Functional</t>
  </si>
  <si>
    <t>Imp</t>
  </si>
  <si>
    <t>Exist</t>
  </si>
  <si>
    <t>Segment Information</t>
  </si>
  <si>
    <t>Seg</t>
  </si>
  <si>
    <t>Daily/2way/Directional per Agency</t>
  </si>
  <si>
    <t>Improved</t>
  </si>
  <si>
    <t>Exiting</t>
  </si>
  <si>
    <t>Existing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</si>
</sst>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\%"/>
    <numFmt numFmtId="165" formatCode="0.000000\°"/>
    <numFmt numFmtId="166" formatCode="0.00\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b/>
      <vertAlign val="superscript"/>
      <sz val="11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0" fontId="3" fillId="2" borderId="0" xfId="0" applyFont="1" applyFill="1" applyAlignment="1">
      <alignment horizontal="left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4" fillId="0" borderId="0" xfId="0" applyFont="1"/>
    <xf numFmtId="0" fontId="1" fillId="2" borderId="0" xfId="0" applyFont="1" applyFill="1"/>
    <xf numFmtId="0" fontId="3" fillId="2" borderId="0" xfId="0" applyFont="1" applyFill="1"/>
    <xf numFmtId="0" fontId="0" fillId="2" borderId="0" xfId="0" applyFill="1" applyAlignment="1">
      <alignment vertical="center"/>
    </xf>
    <xf numFmtId="0" fontId="0" fillId="0" borderId="0" xfId="0" applyAlignment="1">
      <alignment horizontal="left" vertical="center"/>
    </xf>
    <xf numFmtId="164" fontId="0" fillId="2" borderId="0" xfId="0" applyNumberFormat="1" applyFill="1"/>
    <xf numFmtId="3" fontId="1" fillId="0" borderId="1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3" fontId="1" fillId="0" borderId="1" xfId="0" quotePrefix="1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vertical="center"/>
    </xf>
    <xf numFmtId="20" fontId="8" fillId="0" borderId="1" xfId="0" applyNumberFormat="1" applyFont="1" applyBorder="1" applyAlignment="1">
      <alignment horizontal="center" vertical="center" wrapText="1"/>
    </xf>
    <xf numFmtId="0" fontId="9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8" fillId="2" borderId="0" xfId="0" applyFont="1" applyFill="1"/>
    <xf numFmtId="3" fontId="8" fillId="0" borderId="1" xfId="0" quotePrefix="1" applyNumberFormat="1" applyFont="1" applyBorder="1" applyAlignment="1">
      <alignment horizontal="center" vertical="center" wrapText="1"/>
    </xf>
    <xf numFmtId="0" fontId="1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vertical="center"/>
    </xf>
    <xf numFmtId="0" fontId="12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3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3" fillId="3" borderId="7" xfId="0" applyFont="1" applyFill="1" applyBorder="1" applyAlignment="1" applyProtection="1">
      <alignment horizontal="center"/>
      <protection locked="0"/>
    </xf>
    <xf numFmtId="0" fontId="13" fillId="4" borderId="8" xfId="0" applyFont="1" applyFill="1" applyBorder="1" applyAlignment="1" applyProtection="1">
      <alignment horizontal="center"/>
      <protection locked="0"/>
    </xf>
    <xf numFmtId="0" fontId="13" fillId="4" borderId="6" xfId="0" applyFont="1" applyFill="1" applyBorder="1" applyAlignment="1" applyProtection="1">
      <alignment horizontal="center"/>
      <protection locked="0"/>
    </xf>
    <xf numFmtId="0" fontId="13" fillId="4" borderId="1" xfId="0" applyFont="1" applyFill="1" applyBorder="1" applyAlignment="1" applyProtection="1">
      <alignment horizontal="center"/>
      <protection locked="0"/>
    </xf>
    <xf numFmtId="0" fontId="13" fillId="5" borderId="6" xfId="0" applyFont="1" applyFill="1" applyBorder="1" applyAlignment="1" applyProtection="1">
      <alignment horizontal="center"/>
      <protection locked="0"/>
    </xf>
    <xf numFmtId="0" fontId="13" fillId="6" borderId="6" xfId="0" applyFont="1" applyFill="1" applyBorder="1" applyAlignment="1" applyProtection="1">
      <alignment horizontal="center"/>
      <protection locked="0"/>
    </xf>
    <xf numFmtId="0" fontId="13" fillId="3" borderId="6" xfId="0" applyFont="1" applyFill="1" applyBorder="1" applyAlignment="1" applyProtection="1">
      <alignment horizontal="center"/>
      <protection locked="0"/>
    </xf>
    <xf numFmtId="0" fontId="13" fillId="3" borderId="1" xfId="0" applyFont="1" applyFill="1" applyBorder="1" applyProtection="1">
      <protection locked="0"/>
    </xf>
    <xf numFmtId="0" fontId="13" fillId="3" borderId="5" xfId="0" applyFont="1" applyFill="1" applyBorder="1" applyAlignment="1" applyProtection="1">
      <alignment horizontal="center"/>
      <protection locked="0"/>
    </xf>
    <xf numFmtId="0" fontId="13" fillId="4" borderId="7" xfId="0" applyFont="1" applyFill="1" applyBorder="1" applyAlignment="1" applyProtection="1">
      <alignment horizontal="center"/>
      <protection locked="0"/>
    </xf>
    <xf numFmtId="0" fontId="13" fillId="5" borderId="7" xfId="0" applyFont="1" applyFill="1" applyBorder="1" applyAlignment="1" applyProtection="1">
      <alignment horizontal="center"/>
      <protection locked="0"/>
    </xf>
    <xf numFmtId="0" fontId="13" fillId="6" borderId="7" xfId="0" applyFont="1" applyFill="1" applyBorder="1" applyAlignment="1" applyProtection="1">
      <alignment horizontal="center"/>
      <protection locked="0"/>
    </xf>
    <xf numFmtId="0" fontId="13" fillId="3" borderId="9" xfId="0" applyFont="1" applyFill="1" applyBorder="1" applyProtection="1">
      <protection locked="0"/>
    </xf>
    <xf numFmtId="0" fontId="13" fillId="3" borderId="10" xfId="0" applyFont="1" applyFill="1" applyBorder="1" applyProtection="1">
      <protection locked="0"/>
    </xf>
    <xf numFmtId="0" fontId="13" fillId="3" borderId="3" xfId="0" applyFont="1" applyFill="1" applyBorder="1" applyAlignment="1" applyProtection="1">
      <alignment horizontal="centerContinuous"/>
      <protection locked="0"/>
    </xf>
    <xf numFmtId="0" fontId="13" fillId="3" borderId="4" xfId="0" applyFont="1" applyFill="1" applyBorder="1" applyAlignment="1" applyProtection="1">
      <alignment horizontal="centerContinuous"/>
      <protection locked="0"/>
    </xf>
    <xf numFmtId="0" fontId="13" fillId="3" borderId="11" xfId="0" applyFont="1" applyFill="1" applyBorder="1" applyProtection="1">
      <protection locked="0"/>
    </xf>
    <xf numFmtId="0" fontId="13" fillId="3" borderId="12" xfId="0" applyFont="1" applyFill="1" applyBorder="1" applyProtection="1">
      <protection locked="0"/>
    </xf>
    <xf numFmtId="0" fontId="1" fillId="7" borderId="0" xfId="0" applyFont="1" applyFill="1"/>
    <xf numFmtId="0" fontId="14" fillId="2" borderId="0" xfId="0" applyFont="1" applyFill="1"/>
    <xf numFmtId="0" fontId="1" fillId="0" borderId="0" xfId="0" quotePrefix="1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14" fillId="2" borderId="0" xfId="0" applyFont="1" applyFill="1" applyAlignment="1">
      <alignment horizontal="center"/>
    </xf>
    <xf numFmtId="0" fontId="1" fillId="8" borderId="1" xfId="0" applyFont="1" applyFill="1" applyBorder="1" applyProtection="1">
      <protection locked="0"/>
    </xf>
    <xf numFmtId="0" fontId="15" fillId="0" borderId="0" xfId="0" applyFont="1" applyAlignment="1">
      <alignment horizontal="right"/>
    </xf>
    <xf numFmtId="3" fontId="1" fillId="2" borderId="1" xfId="0" applyNumberFormat="1" applyFont="1" applyFill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0" fontId="1" fillId="0" borderId="0" xfId="0" applyNumberFormat="1" applyFont="1"/>
    <xf numFmtId="10" fontId="1" fillId="7" borderId="0" xfId="0" applyNumberFormat="1" applyFont="1" applyFill="1"/>
    <xf numFmtId="10" fontId="1" fillId="0" borderId="6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3" fillId="3" borderId="13" xfId="0" applyFont="1" applyFill="1" applyBorder="1" applyAlignment="1" applyProtection="1">
      <alignment horizontal="center"/>
      <protection locked="0"/>
    </xf>
    <xf numFmtId="0" fontId="13" fillId="3" borderId="12" xfId="0" applyFont="1" applyFill="1" applyBorder="1" applyAlignment="1" applyProtection="1">
      <alignment horizontal="center"/>
      <protection locked="0"/>
    </xf>
    <xf numFmtId="0" fontId="13" fillId="3" borderId="11" xfId="0" applyFont="1" applyFill="1" applyBorder="1" applyAlignment="1" applyProtection="1">
      <alignment horizontal="center"/>
      <protection locked="0"/>
    </xf>
    <xf numFmtId="0" fontId="13" fillId="6" borderId="1" xfId="0" applyFont="1" applyFill="1" applyBorder="1" applyAlignment="1" applyProtection="1">
      <alignment horizontal="center"/>
      <protection locked="0"/>
    </xf>
    <xf numFmtId="0" fontId="13" fillId="5" borderId="4" xfId="0" applyFont="1" applyFill="1" applyBorder="1" applyAlignment="1" applyProtection="1">
      <alignment horizontal="center"/>
      <protection locked="0"/>
    </xf>
    <xf numFmtId="0" fontId="13" fillId="5" borderId="3" xfId="0" applyFont="1" applyFill="1" applyBorder="1" applyAlignment="1" applyProtection="1">
      <alignment horizontal="center"/>
      <protection locked="0"/>
    </xf>
    <xf numFmtId="0" fontId="13" fillId="5" borderId="2" xfId="0" applyFont="1" applyFill="1" applyBorder="1" applyAlignment="1" applyProtection="1">
      <alignment horizontal="center"/>
      <protection locked="0"/>
    </xf>
    <xf numFmtId="0" fontId="13" fillId="4" borderId="4" xfId="0" applyFont="1" applyFill="1" applyBorder="1" applyAlignment="1" applyProtection="1">
      <alignment horizontal="center"/>
      <protection locked="0"/>
    </xf>
    <xf numFmtId="0" fontId="13" fillId="4" borderId="3" xfId="0" applyFont="1" applyFill="1" applyBorder="1" applyAlignment="1" applyProtection="1">
      <alignment horizontal="center"/>
      <protection locked="0"/>
    </xf>
    <xf numFmtId="0" fontId="13" fillId="4" borderId="2" xfId="0" applyFont="1" applyFill="1" applyBorder="1" applyAlignment="1" applyProtection="1">
      <alignment horizontal="center"/>
      <protection locked="0"/>
    </xf>
    <xf numFmtId="10" fontId="13" fillId="3" borderId="5" xfId="0" applyNumberFormat="1" applyFont="1" applyFill="1" applyBorder="1" applyAlignment="1" applyProtection="1">
      <alignment horizontal="center"/>
      <protection locked="0"/>
    </xf>
    <xf numFmtId="10" fontId="13" fillId="3" borderId="7" xfId="0" applyNumberFormat="1" applyFont="1" applyFill="1" applyBorder="1" applyAlignment="1" applyProtection="1">
      <alignment horizontal="center"/>
      <protection locked="0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98"/>
  <sheetViews>
    <sheetView workbookViewId="0">
      <selection activeCell="K5" sqref="K5"/>
    </sheetView>
  </sheetViews>
  <sheetFormatPr defaultColWidth="8.6640625" defaultRowHeight="14.4" x14ac:dyDescent="0.3"/>
  <cols>
    <col min="1" max="1" width="12.5546875" style="13" customWidth="1"/>
    <col min="2" max="2" width="60.109375" style="13" customWidth="1"/>
    <col min="3" max="3" width="53.44140625" style="13" customWidth="1"/>
    <col min="4" max="4" width="11.88671875" style="12" customWidth="1"/>
    <col min="5" max="5" width="9.88671875" style="12" customWidth="1"/>
    <col min="6" max="6" width="12" style="12" customWidth="1"/>
    <col min="7" max="7" width="8.6640625" style="12"/>
    <col min="8" max="8" width="7.5546875" style="12" customWidth="1"/>
    <col min="9" max="9" width="8.88671875" style="12" bestFit="1" customWidth="1"/>
    <col min="10" max="10" width="13.88671875" style="12" customWidth="1"/>
    <col min="11" max="11" width="14.109375" style="12" customWidth="1"/>
    <col min="12" max="16384" width="8.6640625" style="12"/>
  </cols>
  <sheetData>
    <row r="1" spans="1:11" s="14" customFormat="1" ht="27.9" customHeight="1" x14ac:dyDescent="0.3">
      <c r="A1" s="85" t="s">
        <v>0</v>
      </c>
      <c r="B1" s="85" t="s">
        <v>1</v>
      </c>
      <c r="C1" s="85" t="s">
        <v>2</v>
      </c>
      <c r="D1" s="87" t="s">
        <v>3</v>
      </c>
      <c r="E1" s="87" t="s">
        <v>4</v>
      </c>
      <c r="F1" s="87" t="s">
        <v>5</v>
      </c>
      <c r="G1" s="87" t="s">
        <v>6</v>
      </c>
      <c r="H1" s="87" t="s">
        <v>7</v>
      </c>
      <c r="I1" s="87" t="s">
        <v>8</v>
      </c>
      <c r="J1" s="83" t="s">
        <v>9</v>
      </c>
      <c r="K1" s="84"/>
    </row>
    <row r="2" spans="1:11" x14ac:dyDescent="0.3">
      <c r="A2" s="86"/>
      <c r="B2" s="86"/>
      <c r="C2" s="86"/>
      <c r="D2" s="88"/>
      <c r="E2" s="88"/>
      <c r="F2" s="88"/>
      <c r="G2" s="88"/>
      <c r="H2" s="88"/>
      <c r="I2" s="88"/>
      <c r="J2" s="4" t="s">
        <v>10</v>
      </c>
      <c r="K2" s="4" t="s">
        <v>11</v>
      </c>
    </row>
    <row r="3" spans="1:11" x14ac:dyDescent="0.3">
      <c r="A3" s="2" t="s">
        <v>71</v>
      </c>
      <c r="B3" s="2" t="s">
        <v>101</v>
      </c>
      <c r="C3" s="2" t="s">
        <v>102</v>
      </c>
      <c r="D3" s="1" t="s">
        <v>103</v>
      </c>
      <c r="E3" s="1">
        <v>411</v>
      </c>
      <c r="F3" s="1">
        <v>411</v>
      </c>
      <c r="G3" s="1" t="s">
        <v>39</v>
      </c>
      <c r="H3" s="1" t="s">
        <v>40</v>
      </c>
      <c r="I3" s="1">
        <v>30</v>
      </c>
      <c r="J3" s="15">
        <v>28.665780000000002</v>
      </c>
      <c r="K3" s="15">
        <v>-81.495760000000004</v>
      </c>
    </row>
    <row r="4" spans="1:11" x14ac:dyDescent="0.3">
      <c r="A4" s="2" t="s">
        <v>71</v>
      </c>
      <c r="B4" s="2" t="s">
        <v>104</v>
      </c>
      <c r="C4" s="2" t="s">
        <v>105</v>
      </c>
      <c r="D4" s="1" t="s">
        <v>103</v>
      </c>
      <c r="E4" s="1">
        <v>840</v>
      </c>
      <c r="F4" s="1">
        <v>840</v>
      </c>
      <c r="G4" s="1" t="s">
        <v>39</v>
      </c>
      <c r="H4" s="1" t="s">
        <v>40</v>
      </c>
      <c r="I4" s="1">
        <v>25</v>
      </c>
      <c r="J4" s="15">
        <v>28.662029</v>
      </c>
      <c r="K4" s="15">
        <v>-81.514871999999997</v>
      </c>
    </row>
    <row r="5" spans="1:11" x14ac:dyDescent="0.3">
      <c r="A5" s="2" t="s">
        <v>71</v>
      </c>
      <c r="B5" s="2" t="s">
        <v>104</v>
      </c>
      <c r="C5" s="2" t="s">
        <v>106</v>
      </c>
      <c r="D5" s="1" t="s">
        <v>103</v>
      </c>
      <c r="E5" s="1">
        <v>841</v>
      </c>
      <c r="F5" s="1">
        <v>841</v>
      </c>
      <c r="G5" s="1" t="s">
        <v>39</v>
      </c>
      <c r="H5" s="1" t="s">
        <v>40</v>
      </c>
      <c r="I5" s="1">
        <v>25</v>
      </c>
      <c r="J5" s="15">
        <v>28.662082999999999</v>
      </c>
      <c r="K5" s="15">
        <v>-81.500375000000005</v>
      </c>
    </row>
    <row r="6" spans="1:11" x14ac:dyDescent="0.3">
      <c r="A6" s="2" t="s">
        <v>71</v>
      </c>
      <c r="B6" s="2" t="s">
        <v>107</v>
      </c>
      <c r="C6" s="2" t="s">
        <v>32</v>
      </c>
      <c r="D6" s="1" t="s">
        <v>103</v>
      </c>
      <c r="E6" s="1">
        <v>401</v>
      </c>
      <c r="F6" s="1">
        <v>401</v>
      </c>
      <c r="G6" s="1" t="s">
        <v>39</v>
      </c>
      <c r="H6" s="1" t="s">
        <v>17</v>
      </c>
      <c r="I6" s="1">
        <v>30</v>
      </c>
      <c r="J6" s="15">
        <v>28.675533999999999</v>
      </c>
      <c r="K6" s="15">
        <v>-81.511075000000005</v>
      </c>
    </row>
    <row r="7" spans="1:11" x14ac:dyDescent="0.3">
      <c r="A7" s="2" t="s">
        <v>71</v>
      </c>
      <c r="B7" s="2" t="s">
        <v>108</v>
      </c>
      <c r="C7" s="2" t="s">
        <v>33</v>
      </c>
      <c r="D7" s="1" t="s">
        <v>103</v>
      </c>
      <c r="E7" s="1">
        <v>403</v>
      </c>
      <c r="F7" s="1">
        <v>403</v>
      </c>
      <c r="G7" s="1" t="s">
        <v>39</v>
      </c>
      <c r="H7" s="1" t="s">
        <v>17</v>
      </c>
      <c r="I7" s="1">
        <v>30</v>
      </c>
      <c r="J7" s="15">
        <v>28.671882</v>
      </c>
      <c r="K7" s="15">
        <v>-81.507757999999995</v>
      </c>
    </row>
    <row r="8" spans="1:11" x14ac:dyDescent="0.3">
      <c r="A8" s="2" t="s">
        <v>71</v>
      </c>
      <c r="B8" s="2" t="s">
        <v>109</v>
      </c>
      <c r="C8" s="2" t="s">
        <v>110</v>
      </c>
      <c r="D8" s="1" t="s">
        <v>103</v>
      </c>
      <c r="E8" s="1">
        <v>650</v>
      </c>
      <c r="F8" s="1">
        <v>650</v>
      </c>
      <c r="G8" s="1" t="s">
        <v>39</v>
      </c>
      <c r="H8" s="1" t="s">
        <v>17</v>
      </c>
      <c r="I8" s="1">
        <v>30</v>
      </c>
      <c r="J8" s="15">
        <v>28.670698999999999</v>
      </c>
      <c r="K8" s="15">
        <v>-81.506454000000005</v>
      </c>
    </row>
    <row r="9" spans="1:11" x14ac:dyDescent="0.3">
      <c r="A9" s="2" t="s">
        <v>71</v>
      </c>
      <c r="B9" s="2" t="s">
        <v>109</v>
      </c>
      <c r="C9" s="2" t="s">
        <v>111</v>
      </c>
      <c r="D9" s="1" t="s">
        <v>103</v>
      </c>
      <c r="E9" s="1">
        <v>410</v>
      </c>
      <c r="F9" s="1">
        <v>410</v>
      </c>
      <c r="G9" s="1" t="s">
        <v>39</v>
      </c>
      <c r="H9" s="1" t="s">
        <v>17</v>
      </c>
      <c r="I9" s="1">
        <v>30</v>
      </c>
      <c r="J9" s="15">
        <v>28.670729999999999</v>
      </c>
      <c r="K9" s="15">
        <v>-81.497702000000004</v>
      </c>
    </row>
    <row r="10" spans="1:11" x14ac:dyDescent="0.3">
      <c r="A10" s="2" t="s">
        <v>71</v>
      </c>
      <c r="B10" s="2" t="s">
        <v>112</v>
      </c>
      <c r="C10" s="2" t="s">
        <v>33</v>
      </c>
      <c r="D10" s="1" t="s">
        <v>103</v>
      </c>
      <c r="E10" s="1">
        <v>404</v>
      </c>
      <c r="F10" s="1">
        <v>404</v>
      </c>
      <c r="G10" s="1" t="s">
        <v>39</v>
      </c>
      <c r="H10" s="1" t="s">
        <v>17</v>
      </c>
      <c r="I10" s="1">
        <v>30</v>
      </c>
      <c r="J10" s="15">
        <v>28.668232</v>
      </c>
      <c r="K10" s="15">
        <v>-81.507051000000004</v>
      </c>
    </row>
    <row r="11" spans="1:11" x14ac:dyDescent="0.3">
      <c r="A11" s="2" t="s">
        <v>71</v>
      </c>
      <c r="B11" s="2" t="s">
        <v>113</v>
      </c>
      <c r="C11" s="2" t="s">
        <v>32</v>
      </c>
      <c r="D11" s="1" t="s">
        <v>103</v>
      </c>
      <c r="E11" s="1">
        <v>333</v>
      </c>
      <c r="F11" s="1">
        <v>333</v>
      </c>
      <c r="G11" s="1" t="s">
        <v>39</v>
      </c>
      <c r="H11" s="1" t="s">
        <v>40</v>
      </c>
      <c r="I11" s="1">
        <v>30</v>
      </c>
      <c r="J11" s="15">
        <v>28.667006000000001</v>
      </c>
      <c r="K11" s="15">
        <v>-81.510470999999995</v>
      </c>
    </row>
    <row r="12" spans="1:11" x14ac:dyDescent="0.3">
      <c r="A12" s="2" t="s">
        <v>71</v>
      </c>
      <c r="B12" s="2" t="s">
        <v>114</v>
      </c>
      <c r="C12" s="2" t="s">
        <v>115</v>
      </c>
      <c r="D12" s="1" t="s">
        <v>103</v>
      </c>
      <c r="E12" s="1">
        <v>409</v>
      </c>
      <c r="F12" s="1">
        <v>409</v>
      </c>
      <c r="G12" s="1" t="s">
        <v>39</v>
      </c>
      <c r="H12" s="1" t="s">
        <v>40</v>
      </c>
      <c r="I12" s="1">
        <v>25</v>
      </c>
      <c r="J12" s="15">
        <v>28.674095000000001</v>
      </c>
      <c r="K12" s="15">
        <v>-81.501829999999998</v>
      </c>
    </row>
    <row r="13" spans="1:11" ht="15" customHeight="1" x14ac:dyDescent="0.3">
      <c r="A13" s="2" t="s">
        <v>71</v>
      </c>
      <c r="B13" s="2" t="s">
        <v>116</v>
      </c>
      <c r="C13" s="2" t="s">
        <v>117</v>
      </c>
      <c r="D13" s="1" t="s">
        <v>103</v>
      </c>
      <c r="E13" s="1">
        <v>971</v>
      </c>
      <c r="F13" s="1">
        <v>971</v>
      </c>
      <c r="G13" s="1" t="s">
        <v>39</v>
      </c>
      <c r="H13" s="1" t="s">
        <v>40</v>
      </c>
      <c r="I13" s="1">
        <v>35</v>
      </c>
      <c r="J13" s="15">
        <v>28.742713999999999</v>
      </c>
      <c r="K13" s="15">
        <v>-81.550573999999997</v>
      </c>
    </row>
    <row r="14" spans="1:11" x14ac:dyDescent="0.3">
      <c r="A14" s="2" t="s">
        <v>71</v>
      </c>
      <c r="B14" s="2" t="s">
        <v>72</v>
      </c>
      <c r="C14" s="2" t="s">
        <v>75</v>
      </c>
      <c r="D14" s="1" t="s">
        <v>20</v>
      </c>
      <c r="E14" s="1">
        <v>554</v>
      </c>
      <c r="F14" s="1" t="s">
        <v>294</v>
      </c>
      <c r="G14" s="1" t="s">
        <v>39</v>
      </c>
      <c r="H14" s="1" t="s">
        <v>40</v>
      </c>
      <c r="I14" s="1">
        <v>40</v>
      </c>
      <c r="J14" s="15">
        <v>28.688915999999999</v>
      </c>
      <c r="K14" s="15">
        <v>-81.554051999999999</v>
      </c>
    </row>
    <row r="15" spans="1:11" x14ac:dyDescent="0.3">
      <c r="A15" s="2" t="s">
        <v>71</v>
      </c>
      <c r="B15" s="2" t="s">
        <v>72</v>
      </c>
      <c r="C15" s="2" t="s">
        <v>74</v>
      </c>
      <c r="D15" s="1" t="s">
        <v>20</v>
      </c>
      <c r="E15" s="1">
        <v>553</v>
      </c>
      <c r="F15" s="1" t="s">
        <v>293</v>
      </c>
      <c r="G15" s="1" t="s">
        <v>39</v>
      </c>
      <c r="H15" s="1" t="s">
        <v>40</v>
      </c>
      <c r="I15" s="1">
        <v>40</v>
      </c>
      <c r="J15" s="15">
        <v>28.670248000000001</v>
      </c>
      <c r="K15" s="15">
        <v>-81.550393999999997</v>
      </c>
    </row>
    <row r="16" spans="1:11" x14ac:dyDescent="0.3">
      <c r="A16" s="2" t="s">
        <v>71</v>
      </c>
      <c r="B16" s="2" t="s">
        <v>72</v>
      </c>
      <c r="C16" s="2" t="s">
        <v>73</v>
      </c>
      <c r="D16" s="1" t="s">
        <v>20</v>
      </c>
      <c r="E16" s="1">
        <v>28</v>
      </c>
      <c r="F16" s="1" t="s">
        <v>295</v>
      </c>
      <c r="G16" s="1" t="s">
        <v>39</v>
      </c>
      <c r="H16" s="1" t="s">
        <v>40</v>
      </c>
      <c r="I16" s="1">
        <v>55</v>
      </c>
      <c r="J16" s="15">
        <v>28.635266000000001</v>
      </c>
      <c r="K16" s="15">
        <v>-81.550070000000005</v>
      </c>
    </row>
    <row r="17" spans="1:11" x14ac:dyDescent="0.3">
      <c r="A17" s="2" t="s">
        <v>71</v>
      </c>
      <c r="B17" s="2" t="s">
        <v>72</v>
      </c>
      <c r="C17" s="2" t="s">
        <v>118</v>
      </c>
      <c r="D17" s="1" t="s">
        <v>103</v>
      </c>
      <c r="E17" s="1">
        <v>673</v>
      </c>
      <c r="F17" s="1">
        <v>673</v>
      </c>
      <c r="G17" s="1" t="s">
        <v>39</v>
      </c>
      <c r="H17" s="1" t="s">
        <v>40</v>
      </c>
      <c r="I17" s="1">
        <v>55</v>
      </c>
      <c r="J17" s="15">
        <v>28.657139000000001</v>
      </c>
      <c r="K17" s="15">
        <v>-81.550720999999996</v>
      </c>
    </row>
    <row r="18" spans="1:11" x14ac:dyDescent="0.3">
      <c r="A18" s="2" t="s">
        <v>71</v>
      </c>
      <c r="B18" s="2" t="s">
        <v>119</v>
      </c>
      <c r="C18" s="2" t="s">
        <v>120</v>
      </c>
      <c r="D18" s="1" t="s">
        <v>103</v>
      </c>
      <c r="E18" s="1">
        <v>556</v>
      </c>
      <c r="F18" s="1">
        <v>556</v>
      </c>
      <c r="G18" s="1" t="s">
        <v>39</v>
      </c>
      <c r="H18" s="1" t="s">
        <v>40</v>
      </c>
      <c r="I18" s="1">
        <v>45</v>
      </c>
      <c r="J18" s="15">
        <v>28.661951999999999</v>
      </c>
      <c r="K18" s="15">
        <v>-81.538742999999997</v>
      </c>
    </row>
    <row r="19" spans="1:11" x14ac:dyDescent="0.3">
      <c r="A19" s="2" t="s">
        <v>71</v>
      </c>
      <c r="B19" s="2" t="s">
        <v>121</v>
      </c>
      <c r="C19" s="2" t="s">
        <v>122</v>
      </c>
      <c r="D19" s="1" t="s">
        <v>103</v>
      </c>
      <c r="E19" s="1">
        <v>557</v>
      </c>
      <c r="F19" s="1">
        <v>557</v>
      </c>
      <c r="G19" s="1" t="s">
        <v>39</v>
      </c>
      <c r="H19" s="1" t="s">
        <v>40</v>
      </c>
      <c r="I19" s="1">
        <v>45</v>
      </c>
      <c r="J19" s="15">
        <v>28.673356999999999</v>
      </c>
      <c r="K19" s="15">
        <v>-81.521741000000006</v>
      </c>
    </row>
    <row r="20" spans="1:11" x14ac:dyDescent="0.3">
      <c r="A20" s="2" t="s">
        <v>36</v>
      </c>
      <c r="B20" s="2" t="s">
        <v>37</v>
      </c>
      <c r="C20" s="2" t="s">
        <v>42</v>
      </c>
      <c r="D20" s="1" t="s">
        <v>20</v>
      </c>
      <c r="E20" s="1">
        <v>33.1</v>
      </c>
      <c r="F20" s="1" t="s">
        <v>296</v>
      </c>
      <c r="G20" s="1" t="s">
        <v>39</v>
      </c>
      <c r="H20" s="1" t="s">
        <v>40</v>
      </c>
      <c r="I20" s="1">
        <v>35</v>
      </c>
      <c r="J20" s="15">
        <v>28.641670000000001</v>
      </c>
      <c r="K20" s="15">
        <v>-81.462885</v>
      </c>
    </row>
    <row r="21" spans="1:11" x14ac:dyDescent="0.3">
      <c r="A21" s="2" t="s">
        <v>36</v>
      </c>
      <c r="B21" s="2" t="s">
        <v>37</v>
      </c>
      <c r="C21" s="2" t="s">
        <v>38</v>
      </c>
      <c r="D21" s="1" t="s">
        <v>20</v>
      </c>
      <c r="E21" s="1">
        <v>651</v>
      </c>
      <c r="F21" s="1" t="s">
        <v>297</v>
      </c>
      <c r="G21" s="1" t="s">
        <v>39</v>
      </c>
      <c r="H21" s="1" t="s">
        <v>40</v>
      </c>
      <c r="I21" s="1">
        <v>45</v>
      </c>
      <c r="J21" s="15">
        <v>28.664812000000001</v>
      </c>
      <c r="K21" s="15">
        <v>-81.497702000000004</v>
      </c>
    </row>
    <row r="22" spans="1:11" x14ac:dyDescent="0.3">
      <c r="A22" s="2" t="s">
        <v>36</v>
      </c>
      <c r="B22" s="2" t="s">
        <v>37</v>
      </c>
      <c r="C22" s="2" t="s">
        <v>129</v>
      </c>
      <c r="D22" s="1" t="s">
        <v>103</v>
      </c>
      <c r="E22" s="1">
        <v>671</v>
      </c>
      <c r="F22" s="1">
        <v>671</v>
      </c>
      <c r="G22" s="1" t="s">
        <v>39</v>
      </c>
      <c r="H22" s="1" t="s">
        <v>40</v>
      </c>
      <c r="I22" s="1">
        <v>35</v>
      </c>
      <c r="J22" s="15">
        <v>28.635611000000001</v>
      </c>
      <c r="K22" s="15">
        <v>-81.454983999999996</v>
      </c>
    </row>
    <row r="23" spans="1:11" x14ac:dyDescent="0.3">
      <c r="A23" s="2" t="s">
        <v>36</v>
      </c>
      <c r="B23" s="2" t="s">
        <v>37</v>
      </c>
      <c r="C23" s="2" t="s">
        <v>127</v>
      </c>
      <c r="D23" s="1" t="s">
        <v>103</v>
      </c>
      <c r="E23" s="1">
        <v>658</v>
      </c>
      <c r="F23" s="1">
        <v>658</v>
      </c>
      <c r="G23" s="1" t="s">
        <v>61</v>
      </c>
      <c r="H23" s="1" t="s">
        <v>40</v>
      </c>
      <c r="I23" s="1">
        <v>40</v>
      </c>
      <c r="J23" s="15">
        <v>28.651139000000001</v>
      </c>
      <c r="K23" s="15">
        <v>-81.477106000000006</v>
      </c>
    </row>
    <row r="24" spans="1:11" x14ac:dyDescent="0.3">
      <c r="A24" s="2" t="s">
        <v>36</v>
      </c>
      <c r="B24" s="2" t="s">
        <v>37</v>
      </c>
      <c r="C24" s="2" t="s">
        <v>41</v>
      </c>
      <c r="D24" s="1" t="s">
        <v>20</v>
      </c>
      <c r="E24" s="1">
        <v>653</v>
      </c>
      <c r="F24" s="1" t="s">
        <v>298</v>
      </c>
      <c r="G24" s="1" t="s">
        <v>39</v>
      </c>
      <c r="H24" s="1" t="s">
        <v>40</v>
      </c>
      <c r="I24" s="1">
        <v>40</v>
      </c>
      <c r="J24" s="15">
        <v>28.654672999999999</v>
      </c>
      <c r="K24" s="15">
        <v>-81.486935000000003</v>
      </c>
    </row>
    <row r="25" spans="1:11" x14ac:dyDescent="0.3">
      <c r="A25" s="2" t="s">
        <v>36</v>
      </c>
      <c r="B25" s="2" t="s">
        <v>37</v>
      </c>
      <c r="C25" s="2" t="s">
        <v>128</v>
      </c>
      <c r="D25" s="1" t="s">
        <v>103</v>
      </c>
      <c r="E25" s="1">
        <v>670</v>
      </c>
      <c r="F25" s="1">
        <v>670</v>
      </c>
      <c r="G25" s="1" t="s">
        <v>39</v>
      </c>
      <c r="H25" s="1" t="s">
        <v>40</v>
      </c>
      <c r="I25" s="1">
        <v>45</v>
      </c>
      <c r="J25" s="15">
        <v>28.671607000000002</v>
      </c>
      <c r="K25" s="15">
        <v>-81.502026000000001</v>
      </c>
    </row>
    <row r="26" spans="1:11" x14ac:dyDescent="0.3">
      <c r="A26" s="2" t="s">
        <v>36</v>
      </c>
      <c r="B26" s="2" t="s">
        <v>43</v>
      </c>
      <c r="C26" s="2" t="s">
        <v>50</v>
      </c>
      <c r="D26" s="1" t="s">
        <v>20</v>
      </c>
      <c r="E26" s="1">
        <v>565</v>
      </c>
      <c r="F26" s="1" t="s">
        <v>299</v>
      </c>
      <c r="G26" s="1" t="s">
        <v>39</v>
      </c>
      <c r="H26" s="1" t="s">
        <v>40</v>
      </c>
      <c r="I26" s="1">
        <v>45</v>
      </c>
      <c r="J26" s="15">
        <v>28.632718000000001</v>
      </c>
      <c r="K26" s="15">
        <v>-81.498788000000005</v>
      </c>
    </row>
    <row r="27" spans="1:11" x14ac:dyDescent="0.3">
      <c r="A27" s="2" t="s">
        <v>36</v>
      </c>
      <c r="B27" s="2" t="s">
        <v>43</v>
      </c>
      <c r="C27" s="2" t="s">
        <v>48</v>
      </c>
      <c r="D27" s="1" t="s">
        <v>20</v>
      </c>
      <c r="E27" s="1">
        <v>328.1</v>
      </c>
      <c r="F27" s="1" t="s">
        <v>300</v>
      </c>
      <c r="G27" s="1" t="s">
        <v>39</v>
      </c>
      <c r="H27" s="1" t="s">
        <v>40</v>
      </c>
      <c r="I27" s="1">
        <v>30</v>
      </c>
      <c r="J27" s="15">
        <v>28.665130000000001</v>
      </c>
      <c r="K27" s="15">
        <v>-81.509370000000004</v>
      </c>
    </row>
    <row r="28" spans="1:11" x14ac:dyDescent="0.3">
      <c r="A28" s="2" t="s">
        <v>36</v>
      </c>
      <c r="B28" s="2" t="s">
        <v>43</v>
      </c>
      <c r="C28" s="2" t="s">
        <v>47</v>
      </c>
      <c r="D28" s="1" t="s">
        <v>20</v>
      </c>
      <c r="E28" s="1">
        <v>426</v>
      </c>
      <c r="F28" s="1" t="s">
        <v>301</v>
      </c>
      <c r="G28" s="1" t="s">
        <v>31</v>
      </c>
      <c r="H28" s="1" t="s">
        <v>40</v>
      </c>
      <c r="I28" s="1">
        <v>35</v>
      </c>
      <c r="J28" s="15">
        <v>28.680900000000001</v>
      </c>
      <c r="K28" s="15">
        <v>-81.509500000000003</v>
      </c>
    </row>
    <row r="29" spans="1:11" x14ac:dyDescent="0.3">
      <c r="A29" s="2" t="s">
        <v>36</v>
      </c>
      <c r="B29" s="2" t="s">
        <v>43</v>
      </c>
      <c r="C29" s="2" t="s">
        <v>46</v>
      </c>
      <c r="D29" s="1" t="s">
        <v>20</v>
      </c>
      <c r="E29" s="1">
        <v>21</v>
      </c>
      <c r="F29" s="1" t="s">
        <v>302</v>
      </c>
      <c r="G29" s="1" t="s">
        <v>31</v>
      </c>
      <c r="H29" s="1" t="s">
        <v>40</v>
      </c>
      <c r="I29" s="1">
        <v>45</v>
      </c>
      <c r="J29" s="15">
        <v>28.698499999999999</v>
      </c>
      <c r="K29" s="15">
        <v>-81.509200000000007</v>
      </c>
    </row>
    <row r="30" spans="1:11" x14ac:dyDescent="0.3">
      <c r="A30" s="2" t="s">
        <v>36</v>
      </c>
      <c r="B30" s="2" t="s">
        <v>43</v>
      </c>
      <c r="C30" s="2" t="s">
        <v>45</v>
      </c>
      <c r="D30" s="1" t="s">
        <v>20</v>
      </c>
      <c r="E30" s="1">
        <v>19</v>
      </c>
      <c r="F30" s="1" t="s">
        <v>303</v>
      </c>
      <c r="G30" s="1" t="s">
        <v>31</v>
      </c>
      <c r="H30" s="1" t="s">
        <v>40</v>
      </c>
      <c r="I30" s="1">
        <v>45</v>
      </c>
      <c r="J30" s="15">
        <v>28.714500000000001</v>
      </c>
      <c r="K30" s="15">
        <v>-81.509</v>
      </c>
    </row>
    <row r="31" spans="1:11" x14ac:dyDescent="0.3">
      <c r="A31" s="2" t="s">
        <v>36</v>
      </c>
      <c r="B31" s="2" t="s">
        <v>43</v>
      </c>
      <c r="C31" s="2" t="s">
        <v>130</v>
      </c>
      <c r="D31" s="1" t="s">
        <v>103</v>
      </c>
      <c r="E31" s="1">
        <v>7004</v>
      </c>
      <c r="F31" s="1">
        <v>7004</v>
      </c>
      <c r="G31" s="1" t="s">
        <v>39</v>
      </c>
      <c r="H31" s="1" t="s">
        <v>40</v>
      </c>
      <c r="I31" s="1">
        <v>45</v>
      </c>
      <c r="J31" s="15">
        <v>28.618562000000001</v>
      </c>
      <c r="K31" s="15">
        <v>-81.499335000000002</v>
      </c>
    </row>
    <row r="32" spans="1:11" x14ac:dyDescent="0.3">
      <c r="A32" s="2" t="s">
        <v>36</v>
      </c>
      <c r="B32" s="2" t="s">
        <v>43</v>
      </c>
      <c r="C32" s="2" t="s">
        <v>131</v>
      </c>
      <c r="D32" s="1" t="s">
        <v>103</v>
      </c>
      <c r="E32" s="1">
        <v>516</v>
      </c>
      <c r="F32" s="1">
        <v>516</v>
      </c>
      <c r="G32" s="1" t="s">
        <v>31</v>
      </c>
      <c r="H32" s="1" t="s">
        <v>40</v>
      </c>
      <c r="I32" s="1">
        <v>35</v>
      </c>
      <c r="J32" s="15">
        <v>28.690041999999998</v>
      </c>
      <c r="K32" s="15">
        <v>-81.509411</v>
      </c>
    </row>
    <row r="33" spans="1:11" x14ac:dyDescent="0.3">
      <c r="A33" s="2" t="s">
        <v>36</v>
      </c>
      <c r="B33" s="2" t="s">
        <v>43</v>
      </c>
      <c r="C33" s="2" t="s">
        <v>132</v>
      </c>
      <c r="D33" s="1" t="s">
        <v>103</v>
      </c>
      <c r="E33" s="1">
        <v>563</v>
      </c>
      <c r="F33" s="1">
        <v>563</v>
      </c>
      <c r="G33" s="1" t="s">
        <v>39</v>
      </c>
      <c r="H33" s="1" t="s">
        <v>40</v>
      </c>
      <c r="I33" s="1">
        <v>30</v>
      </c>
      <c r="J33" s="15">
        <v>28.670468</v>
      </c>
      <c r="K33" s="15">
        <v>-81.509452999999993</v>
      </c>
    </row>
    <row r="34" spans="1:11" x14ac:dyDescent="0.3">
      <c r="A34" s="2" t="s">
        <v>36</v>
      </c>
      <c r="B34" s="2" t="s">
        <v>43</v>
      </c>
      <c r="C34" s="2" t="s">
        <v>133</v>
      </c>
      <c r="D34" s="1" t="s">
        <v>103</v>
      </c>
      <c r="E34" s="1">
        <v>580</v>
      </c>
      <c r="F34" s="1">
        <v>580</v>
      </c>
      <c r="G34" s="1" t="s">
        <v>31</v>
      </c>
      <c r="H34" s="1" t="s">
        <v>40</v>
      </c>
      <c r="I34" s="1">
        <v>35</v>
      </c>
      <c r="J34" s="15">
        <v>28.675128999999998</v>
      </c>
      <c r="K34" s="15">
        <v>-81.509426000000005</v>
      </c>
    </row>
    <row r="35" spans="1:11" x14ac:dyDescent="0.3">
      <c r="A35" s="2" t="s">
        <v>36</v>
      </c>
      <c r="B35" s="2" t="s">
        <v>43</v>
      </c>
      <c r="C35" s="2" t="s">
        <v>49</v>
      </c>
      <c r="D35" s="1" t="s">
        <v>20</v>
      </c>
      <c r="E35" s="1">
        <v>564</v>
      </c>
      <c r="F35" s="1" t="s">
        <v>304</v>
      </c>
      <c r="G35" s="1" t="s">
        <v>39</v>
      </c>
      <c r="H35" s="1" t="s">
        <v>40</v>
      </c>
      <c r="I35" s="1">
        <v>45</v>
      </c>
      <c r="J35" s="15">
        <v>28.648250999999998</v>
      </c>
      <c r="K35" s="15">
        <v>-81.505598000000006</v>
      </c>
    </row>
    <row r="36" spans="1:11" x14ac:dyDescent="0.3">
      <c r="A36" s="2" t="s">
        <v>36</v>
      </c>
      <c r="B36" s="2" t="s">
        <v>43</v>
      </c>
      <c r="C36" s="2" t="s">
        <v>44</v>
      </c>
      <c r="D36" s="1" t="s">
        <v>20</v>
      </c>
      <c r="E36" s="1">
        <v>18.100000000000001</v>
      </c>
      <c r="F36" s="1" t="s">
        <v>305</v>
      </c>
      <c r="G36" s="1" t="s">
        <v>25</v>
      </c>
      <c r="H36" s="1" t="s">
        <v>40</v>
      </c>
      <c r="I36" s="1">
        <v>45</v>
      </c>
      <c r="J36" s="15">
        <v>28.736699999999999</v>
      </c>
      <c r="K36" s="15">
        <v>-81.509</v>
      </c>
    </row>
    <row r="37" spans="1:11" ht="15" customHeight="1" x14ac:dyDescent="0.3">
      <c r="A37" s="2" t="s">
        <v>36</v>
      </c>
      <c r="B37" s="2" t="s">
        <v>51</v>
      </c>
      <c r="C37" s="2" t="s">
        <v>364</v>
      </c>
      <c r="D37" s="1" t="s">
        <v>20</v>
      </c>
      <c r="E37" s="1">
        <v>27</v>
      </c>
      <c r="F37" s="1" t="s">
        <v>306</v>
      </c>
      <c r="G37" s="1" t="s">
        <v>39</v>
      </c>
      <c r="H37" s="1" t="s">
        <v>40</v>
      </c>
      <c r="I37" s="1">
        <v>45</v>
      </c>
      <c r="J37" s="15">
        <v>28.664380000000001</v>
      </c>
      <c r="K37" s="15">
        <v>-81.522000000000006</v>
      </c>
    </row>
    <row r="38" spans="1:11" ht="15" customHeight="1" x14ac:dyDescent="0.3">
      <c r="A38" s="2" t="s">
        <v>36</v>
      </c>
      <c r="B38" s="2" t="s">
        <v>51</v>
      </c>
      <c r="C38" s="2" t="s">
        <v>365</v>
      </c>
      <c r="D38" s="1" t="s">
        <v>20</v>
      </c>
      <c r="E38" s="1">
        <v>7083</v>
      </c>
      <c r="F38" s="1" t="s">
        <v>307</v>
      </c>
      <c r="G38" s="1" t="s">
        <v>39</v>
      </c>
      <c r="H38" s="1" t="s">
        <v>40</v>
      </c>
      <c r="I38" s="1">
        <v>35</v>
      </c>
      <c r="J38" s="15">
        <v>28.666409999999999</v>
      </c>
      <c r="K38" s="15">
        <v>-81.519559999999998</v>
      </c>
    </row>
    <row r="39" spans="1:11" ht="15" customHeight="1" x14ac:dyDescent="0.3">
      <c r="A39" s="2" t="s">
        <v>36</v>
      </c>
      <c r="B39" s="2" t="s">
        <v>51</v>
      </c>
      <c r="C39" s="2" t="s">
        <v>363</v>
      </c>
      <c r="D39" s="1" t="s">
        <v>20</v>
      </c>
      <c r="E39" s="1">
        <v>559</v>
      </c>
      <c r="F39" s="1" t="s">
        <v>308</v>
      </c>
      <c r="G39" s="1" t="s">
        <v>25</v>
      </c>
      <c r="H39" s="1" t="s">
        <v>40</v>
      </c>
      <c r="I39" s="1">
        <v>45</v>
      </c>
      <c r="J39" s="15">
        <v>28.647932000000001</v>
      </c>
      <c r="K39" s="15">
        <v>-81.538075000000006</v>
      </c>
    </row>
    <row r="40" spans="1:11" ht="15" customHeight="1" x14ac:dyDescent="0.3">
      <c r="A40" s="2" t="s">
        <v>36</v>
      </c>
      <c r="B40" s="2" t="s">
        <v>51</v>
      </c>
      <c r="C40" s="2" t="s">
        <v>362</v>
      </c>
      <c r="D40" s="1" t="s">
        <v>103</v>
      </c>
      <c r="E40" s="1">
        <v>29</v>
      </c>
      <c r="F40" s="1">
        <v>29</v>
      </c>
      <c r="G40" s="1" t="s">
        <v>39</v>
      </c>
      <c r="H40" s="1" t="s">
        <v>40</v>
      </c>
      <c r="I40" s="1">
        <v>45</v>
      </c>
      <c r="J40" s="15">
        <v>28.643529999999998</v>
      </c>
      <c r="K40" s="15">
        <v>-81.538849999999996</v>
      </c>
    </row>
    <row r="41" spans="1:11" ht="15" customHeight="1" x14ac:dyDescent="0.3">
      <c r="A41" s="2" t="s">
        <v>36</v>
      </c>
      <c r="B41" s="2" t="s">
        <v>51</v>
      </c>
      <c r="C41" s="2" t="s">
        <v>361</v>
      </c>
      <c r="D41" s="1" t="s">
        <v>103</v>
      </c>
      <c r="E41" s="1">
        <v>702</v>
      </c>
      <c r="F41" s="1">
        <v>702</v>
      </c>
      <c r="G41" s="1" t="s">
        <v>39</v>
      </c>
      <c r="H41" s="1" t="s">
        <v>40</v>
      </c>
      <c r="I41" s="1">
        <v>45</v>
      </c>
      <c r="J41" s="15">
        <v>28.638486</v>
      </c>
      <c r="K41" s="15">
        <v>-81.540217999999996</v>
      </c>
    </row>
    <row r="42" spans="1:11" x14ac:dyDescent="0.3">
      <c r="A42" s="2" t="s">
        <v>71</v>
      </c>
      <c r="B42" s="2" t="s">
        <v>123</v>
      </c>
      <c r="C42" s="2" t="s">
        <v>124</v>
      </c>
      <c r="D42" s="1" t="s">
        <v>103</v>
      </c>
      <c r="E42" s="1">
        <v>520</v>
      </c>
      <c r="F42" s="1">
        <v>520</v>
      </c>
      <c r="G42" s="1" t="s">
        <v>39</v>
      </c>
      <c r="H42" s="1" t="s">
        <v>40</v>
      </c>
      <c r="I42" s="1">
        <v>30</v>
      </c>
      <c r="J42" s="15">
        <v>28.680765000000001</v>
      </c>
      <c r="K42" s="15">
        <v>-81.496915999999999</v>
      </c>
    </row>
    <row r="43" spans="1:11" x14ac:dyDescent="0.3">
      <c r="A43" s="2" t="s">
        <v>71</v>
      </c>
      <c r="B43" s="2" t="s">
        <v>125</v>
      </c>
      <c r="C43" s="2" t="s">
        <v>126</v>
      </c>
      <c r="D43" s="1" t="s">
        <v>103</v>
      </c>
      <c r="E43" s="1">
        <v>655</v>
      </c>
      <c r="F43" s="1">
        <v>655</v>
      </c>
      <c r="G43" s="1" t="s">
        <v>39</v>
      </c>
      <c r="H43" s="1" t="s">
        <v>40</v>
      </c>
      <c r="I43" s="1">
        <v>40</v>
      </c>
      <c r="J43" s="15">
        <v>28.654755000000002</v>
      </c>
      <c r="K43" s="15">
        <v>-81.500444999999999</v>
      </c>
    </row>
    <row r="44" spans="1:11" x14ac:dyDescent="0.3">
      <c r="A44" s="2" t="s">
        <v>71</v>
      </c>
      <c r="B44" s="2" t="s">
        <v>134</v>
      </c>
      <c r="C44" s="2" t="s">
        <v>135</v>
      </c>
      <c r="D44" s="1" t="s">
        <v>103</v>
      </c>
      <c r="E44" s="1">
        <v>414</v>
      </c>
      <c r="F44" s="1">
        <v>414</v>
      </c>
      <c r="G44" s="1" t="s">
        <v>39</v>
      </c>
      <c r="H44" s="1" t="s">
        <v>17</v>
      </c>
      <c r="I44" s="1">
        <v>30</v>
      </c>
      <c r="J44" s="15">
        <v>28.671878</v>
      </c>
      <c r="K44" s="15">
        <v>-81.510430999999997</v>
      </c>
    </row>
    <row r="45" spans="1:11" x14ac:dyDescent="0.3">
      <c r="A45" s="2" t="s">
        <v>71</v>
      </c>
      <c r="B45" s="2" t="s">
        <v>136</v>
      </c>
      <c r="C45" s="2" t="s">
        <v>115</v>
      </c>
      <c r="D45" s="1" t="s">
        <v>103</v>
      </c>
      <c r="E45" s="1">
        <v>408</v>
      </c>
      <c r="F45" s="1">
        <v>408</v>
      </c>
      <c r="G45" s="1" t="s">
        <v>39</v>
      </c>
      <c r="H45" s="1" t="s">
        <v>40</v>
      </c>
      <c r="I45" s="1">
        <v>30</v>
      </c>
      <c r="J45" s="15">
        <v>28.674527000000001</v>
      </c>
      <c r="K45" s="15">
        <v>-81.504031999999995</v>
      </c>
    </row>
    <row r="46" spans="1:11" x14ac:dyDescent="0.3">
      <c r="A46" s="2" t="s">
        <v>71</v>
      </c>
      <c r="B46" s="2" t="s">
        <v>137</v>
      </c>
      <c r="C46" s="2" t="s">
        <v>138</v>
      </c>
      <c r="D46" s="1" t="s">
        <v>103</v>
      </c>
      <c r="E46" s="1">
        <v>508</v>
      </c>
      <c r="F46" s="1">
        <v>508</v>
      </c>
      <c r="G46" s="1" t="s">
        <v>39</v>
      </c>
      <c r="H46" s="1" t="s">
        <v>17</v>
      </c>
      <c r="I46" s="1">
        <v>25</v>
      </c>
      <c r="J46" s="15">
        <v>28.702969</v>
      </c>
      <c r="K46" s="15">
        <v>-81.537385</v>
      </c>
    </row>
    <row r="47" spans="1:11" x14ac:dyDescent="0.3">
      <c r="A47" s="2" t="s">
        <v>71</v>
      </c>
      <c r="B47" s="2" t="s">
        <v>137</v>
      </c>
      <c r="C47" s="2" t="s">
        <v>139</v>
      </c>
      <c r="D47" s="1" t="s">
        <v>103</v>
      </c>
      <c r="E47" s="1">
        <v>509</v>
      </c>
      <c r="F47" s="1">
        <v>509</v>
      </c>
      <c r="G47" s="1" t="s">
        <v>39</v>
      </c>
      <c r="H47" s="1" t="s">
        <v>17</v>
      </c>
      <c r="I47" s="1">
        <v>25</v>
      </c>
      <c r="J47" s="15">
        <v>28.693377000000002</v>
      </c>
      <c r="K47" s="15">
        <v>-81.539969999999997</v>
      </c>
    </row>
    <row r="48" spans="1:11" x14ac:dyDescent="0.3">
      <c r="A48" s="2" t="s">
        <v>71</v>
      </c>
      <c r="B48" s="2" t="s">
        <v>137</v>
      </c>
      <c r="C48" s="2" t="s">
        <v>140</v>
      </c>
      <c r="D48" s="1" t="s">
        <v>103</v>
      </c>
      <c r="E48" s="1">
        <v>541</v>
      </c>
      <c r="F48" s="1">
        <v>541</v>
      </c>
      <c r="G48" s="1" t="s">
        <v>39</v>
      </c>
      <c r="H48" s="1" t="s">
        <v>17</v>
      </c>
      <c r="I48" s="1">
        <v>30</v>
      </c>
      <c r="J48" s="15">
        <v>28.687533999999999</v>
      </c>
      <c r="K48" s="15">
        <v>-81.535746000000003</v>
      </c>
    </row>
    <row r="49" spans="1:11" x14ac:dyDescent="0.3">
      <c r="A49" s="2" t="s">
        <v>71</v>
      </c>
      <c r="B49" s="2" t="s">
        <v>141</v>
      </c>
      <c r="C49" s="2" t="s">
        <v>142</v>
      </c>
      <c r="D49" s="1" t="s">
        <v>103</v>
      </c>
      <c r="E49" s="1">
        <v>931</v>
      </c>
      <c r="F49" s="1">
        <v>931</v>
      </c>
      <c r="G49" s="1" t="s">
        <v>39</v>
      </c>
      <c r="H49" s="1" t="s">
        <v>40</v>
      </c>
      <c r="I49" s="1">
        <v>40</v>
      </c>
      <c r="J49" s="15">
        <v>28.690961999999999</v>
      </c>
      <c r="K49" s="15">
        <v>-81.560995000000005</v>
      </c>
    </row>
    <row r="50" spans="1:11" x14ac:dyDescent="0.3">
      <c r="A50" s="2" t="s">
        <v>71</v>
      </c>
      <c r="B50" s="2" t="s">
        <v>143</v>
      </c>
      <c r="C50" s="2" t="s">
        <v>144</v>
      </c>
      <c r="D50" s="1" t="s">
        <v>103</v>
      </c>
      <c r="E50" s="1">
        <v>909</v>
      </c>
      <c r="F50" s="1">
        <v>909</v>
      </c>
      <c r="G50" s="1" t="s">
        <v>39</v>
      </c>
      <c r="H50" s="1" t="s">
        <v>40</v>
      </c>
      <c r="I50" s="1">
        <v>30</v>
      </c>
      <c r="J50" s="15">
        <v>28.753260000000001</v>
      </c>
      <c r="K50" s="15">
        <v>-81.576526000000001</v>
      </c>
    </row>
    <row r="51" spans="1:11" x14ac:dyDescent="0.3">
      <c r="A51" s="2" t="s">
        <v>71</v>
      </c>
      <c r="B51" s="2" t="s">
        <v>143</v>
      </c>
      <c r="C51" s="2" t="s">
        <v>145</v>
      </c>
      <c r="D51" s="1" t="s">
        <v>103</v>
      </c>
      <c r="E51" s="1">
        <v>910</v>
      </c>
      <c r="F51" s="1">
        <v>910</v>
      </c>
      <c r="G51" s="1" t="s">
        <v>39</v>
      </c>
      <c r="H51" s="1" t="s">
        <v>40</v>
      </c>
      <c r="I51" s="1">
        <v>30</v>
      </c>
      <c r="J51" s="15">
        <v>28.742280000000001</v>
      </c>
      <c r="K51" s="15">
        <v>-81.576496000000006</v>
      </c>
    </row>
    <row r="52" spans="1:11" x14ac:dyDescent="0.3">
      <c r="A52" s="2" t="s">
        <v>71</v>
      </c>
      <c r="B52" s="2" t="s">
        <v>146</v>
      </c>
      <c r="C52" s="2" t="s">
        <v>147</v>
      </c>
      <c r="D52" s="1" t="s">
        <v>103</v>
      </c>
      <c r="E52" s="1">
        <v>820</v>
      </c>
      <c r="F52" s="1">
        <v>820</v>
      </c>
      <c r="G52" s="1" t="s">
        <v>39</v>
      </c>
      <c r="H52" s="1" t="s">
        <v>40</v>
      </c>
      <c r="I52" s="1">
        <v>25</v>
      </c>
      <c r="J52" s="15">
        <v>28.655757000000001</v>
      </c>
      <c r="K52" s="15">
        <v>-81.468117000000007</v>
      </c>
    </row>
    <row r="53" spans="1:11" x14ac:dyDescent="0.3">
      <c r="A53" s="2" t="s">
        <v>71</v>
      </c>
      <c r="B53" s="2" t="s">
        <v>148</v>
      </c>
      <c r="C53" s="2" t="s">
        <v>149</v>
      </c>
      <c r="D53" s="1" t="s">
        <v>103</v>
      </c>
      <c r="E53" s="1">
        <v>920</v>
      </c>
      <c r="F53" s="1">
        <v>920</v>
      </c>
      <c r="G53" s="1" t="s">
        <v>39</v>
      </c>
      <c r="H53" s="1" t="s">
        <v>40</v>
      </c>
      <c r="I53" s="1">
        <v>40</v>
      </c>
      <c r="J53" s="15">
        <v>28.772010999999999</v>
      </c>
      <c r="K53" s="15">
        <v>-81.538826</v>
      </c>
    </row>
    <row r="54" spans="1:11" x14ac:dyDescent="0.3">
      <c r="A54" s="2" t="s">
        <v>71</v>
      </c>
      <c r="B54" s="2" t="s">
        <v>150</v>
      </c>
      <c r="C54" s="2" t="s">
        <v>120</v>
      </c>
      <c r="D54" s="1" t="s">
        <v>103</v>
      </c>
      <c r="E54" s="1">
        <v>972</v>
      </c>
      <c r="F54" s="1">
        <v>972</v>
      </c>
      <c r="G54" s="1" t="s">
        <v>39</v>
      </c>
      <c r="H54" s="1" t="s">
        <v>40</v>
      </c>
      <c r="I54" s="1">
        <v>40</v>
      </c>
      <c r="J54" s="15">
        <v>28.650962</v>
      </c>
      <c r="K54" s="15">
        <v>-81.544538000000003</v>
      </c>
    </row>
    <row r="55" spans="1:11" x14ac:dyDescent="0.3">
      <c r="A55" s="2" t="s">
        <v>71</v>
      </c>
      <c r="B55" s="2" t="s">
        <v>151</v>
      </c>
      <c r="C55" s="2" t="s">
        <v>152</v>
      </c>
      <c r="D55" s="1" t="s">
        <v>103</v>
      </c>
      <c r="E55" s="1">
        <v>975</v>
      </c>
      <c r="F55" s="1">
        <v>975</v>
      </c>
      <c r="G55" s="1" t="s">
        <v>39</v>
      </c>
      <c r="H55" s="1" t="s">
        <v>40</v>
      </c>
      <c r="I55" s="1">
        <v>40</v>
      </c>
      <c r="J55" s="15">
        <v>28.651130999999999</v>
      </c>
      <c r="K55" s="15">
        <v>-81.533072000000004</v>
      </c>
    </row>
    <row r="56" spans="1:11" x14ac:dyDescent="0.3">
      <c r="A56" s="2" t="s">
        <v>71</v>
      </c>
      <c r="B56" s="2" t="s">
        <v>153</v>
      </c>
      <c r="C56" s="2" t="s">
        <v>154</v>
      </c>
      <c r="D56" s="1" t="s">
        <v>103</v>
      </c>
      <c r="E56" s="1">
        <v>561</v>
      </c>
      <c r="F56" s="1">
        <v>561</v>
      </c>
      <c r="G56" s="1" t="s">
        <v>39</v>
      </c>
      <c r="H56" s="1" t="s">
        <v>17</v>
      </c>
      <c r="I56" s="1">
        <v>30</v>
      </c>
      <c r="J56" s="15">
        <v>28.666087000000001</v>
      </c>
      <c r="K56" s="15">
        <v>-81.517742999999996</v>
      </c>
    </row>
    <row r="57" spans="1:11" x14ac:dyDescent="0.3">
      <c r="A57" s="2" t="s">
        <v>71</v>
      </c>
      <c r="B57" s="2" t="s">
        <v>153</v>
      </c>
      <c r="C57" s="2" t="s">
        <v>122</v>
      </c>
      <c r="D57" s="1" t="s">
        <v>103</v>
      </c>
      <c r="E57" s="1">
        <v>562</v>
      </c>
      <c r="F57" s="1">
        <v>562</v>
      </c>
      <c r="G57" s="1" t="s">
        <v>39</v>
      </c>
      <c r="H57" s="1" t="s">
        <v>17</v>
      </c>
      <c r="I57" s="1">
        <v>30</v>
      </c>
      <c r="J57" s="15">
        <v>28.670964000000001</v>
      </c>
      <c r="K57" s="15">
        <v>-81.517774000000003</v>
      </c>
    </row>
    <row r="58" spans="1:11" x14ac:dyDescent="0.3">
      <c r="A58" s="2" t="s">
        <v>71</v>
      </c>
      <c r="B58" s="2" t="s">
        <v>155</v>
      </c>
      <c r="C58" s="2" t="s">
        <v>156</v>
      </c>
      <c r="D58" s="1" t="s">
        <v>103</v>
      </c>
      <c r="E58" s="1">
        <v>950</v>
      </c>
      <c r="F58" s="1">
        <v>950</v>
      </c>
      <c r="G58" s="1" t="s">
        <v>39</v>
      </c>
      <c r="H58" s="1" t="s">
        <v>40</v>
      </c>
      <c r="I58" s="1">
        <v>35</v>
      </c>
      <c r="J58" s="15">
        <v>28.695695000000001</v>
      </c>
      <c r="K58" s="15">
        <v>-81.566961000000006</v>
      </c>
    </row>
    <row r="59" spans="1:11" x14ac:dyDescent="0.3">
      <c r="A59" s="2" t="s">
        <v>71</v>
      </c>
      <c r="B59" s="2" t="s">
        <v>155</v>
      </c>
      <c r="C59" s="2" t="s">
        <v>157</v>
      </c>
      <c r="D59" s="1" t="s">
        <v>103</v>
      </c>
      <c r="E59" s="1">
        <v>951</v>
      </c>
      <c r="F59" s="1">
        <v>951</v>
      </c>
      <c r="G59" s="1" t="s">
        <v>39</v>
      </c>
      <c r="H59" s="1" t="s">
        <v>40</v>
      </c>
      <c r="I59" s="1">
        <v>35</v>
      </c>
      <c r="J59" s="15">
        <v>28.705297000000002</v>
      </c>
      <c r="K59" s="15">
        <v>-81.567430999999999</v>
      </c>
    </row>
    <row r="60" spans="1:11" x14ac:dyDescent="0.3">
      <c r="A60" s="2" t="s">
        <v>71</v>
      </c>
      <c r="B60" s="2" t="s">
        <v>155</v>
      </c>
      <c r="C60" s="2" t="s">
        <v>158</v>
      </c>
      <c r="D60" s="1" t="s">
        <v>103</v>
      </c>
      <c r="E60" s="1">
        <v>952</v>
      </c>
      <c r="F60" s="1">
        <v>952</v>
      </c>
      <c r="G60" s="1" t="s">
        <v>39</v>
      </c>
      <c r="H60" s="1" t="s">
        <v>40</v>
      </c>
      <c r="I60" s="1">
        <v>35</v>
      </c>
      <c r="J60" s="15">
        <v>28.688880000000001</v>
      </c>
      <c r="K60" s="15">
        <v>-81.566981999999996</v>
      </c>
    </row>
    <row r="61" spans="1:11" x14ac:dyDescent="0.3">
      <c r="A61" s="2" t="s">
        <v>71</v>
      </c>
      <c r="B61" s="2" t="s">
        <v>159</v>
      </c>
      <c r="C61" s="2" t="s">
        <v>160</v>
      </c>
      <c r="D61" s="1" t="s">
        <v>103</v>
      </c>
      <c r="E61" s="1">
        <v>406</v>
      </c>
      <c r="F61" s="1">
        <v>406</v>
      </c>
      <c r="G61" s="1" t="s">
        <v>39</v>
      </c>
      <c r="H61" s="1" t="s">
        <v>40</v>
      </c>
      <c r="I61" s="1">
        <v>25</v>
      </c>
      <c r="J61" s="15">
        <v>28.671555999999999</v>
      </c>
      <c r="K61" s="15">
        <v>-81.505337999999995</v>
      </c>
    </row>
    <row r="62" spans="1:11" x14ac:dyDescent="0.3">
      <c r="A62" s="2" t="s">
        <v>71</v>
      </c>
      <c r="B62" s="2" t="s">
        <v>159</v>
      </c>
      <c r="C62" s="2" t="s">
        <v>115</v>
      </c>
      <c r="D62" s="1" t="s">
        <v>103</v>
      </c>
      <c r="E62" s="1">
        <v>405</v>
      </c>
      <c r="F62" s="1">
        <v>405</v>
      </c>
      <c r="G62" s="1" t="s">
        <v>39</v>
      </c>
      <c r="H62" s="1" t="s">
        <v>40</v>
      </c>
      <c r="I62" s="1">
        <v>25</v>
      </c>
      <c r="J62" s="15">
        <v>28.674631999999999</v>
      </c>
      <c r="K62" s="15">
        <v>-81.505341999999999</v>
      </c>
    </row>
    <row r="63" spans="1:11" x14ac:dyDescent="0.3">
      <c r="A63" s="2" t="s">
        <v>71</v>
      </c>
      <c r="B63" s="2" t="s">
        <v>161</v>
      </c>
      <c r="C63" s="2" t="s">
        <v>162</v>
      </c>
      <c r="D63" s="1" t="s">
        <v>103</v>
      </c>
      <c r="E63" s="1">
        <v>973</v>
      </c>
      <c r="F63" s="1">
        <v>973</v>
      </c>
      <c r="G63" s="1" t="s">
        <v>39</v>
      </c>
      <c r="H63" s="1" t="s">
        <v>40</v>
      </c>
      <c r="I63" s="1">
        <v>30</v>
      </c>
      <c r="J63" s="15">
        <v>28.69455</v>
      </c>
      <c r="K63" s="15">
        <v>-81.569089000000005</v>
      </c>
    </row>
    <row r="64" spans="1:11" x14ac:dyDescent="0.3">
      <c r="A64" s="2" t="s">
        <v>71</v>
      </c>
      <c r="B64" s="2" t="s">
        <v>163</v>
      </c>
      <c r="C64" s="2" t="s">
        <v>164</v>
      </c>
      <c r="D64" s="1" t="s">
        <v>103</v>
      </c>
      <c r="E64" s="1">
        <v>956</v>
      </c>
      <c r="F64" s="1">
        <v>956</v>
      </c>
      <c r="G64" s="1" t="s">
        <v>39</v>
      </c>
      <c r="H64" s="1" t="s">
        <v>40</v>
      </c>
      <c r="I64" s="1">
        <v>35</v>
      </c>
      <c r="J64" s="15">
        <v>28.755866999999999</v>
      </c>
      <c r="K64" s="15">
        <v>-81.542242000000002</v>
      </c>
    </row>
    <row r="65" spans="1:11" x14ac:dyDescent="0.3">
      <c r="A65" s="2" t="s">
        <v>71</v>
      </c>
      <c r="B65" s="2" t="s">
        <v>163</v>
      </c>
      <c r="C65" s="2" t="s">
        <v>165</v>
      </c>
      <c r="D65" s="1" t="s">
        <v>103</v>
      </c>
      <c r="E65" s="1">
        <v>958</v>
      </c>
      <c r="F65" s="1">
        <v>958</v>
      </c>
      <c r="G65" s="1" t="s">
        <v>39</v>
      </c>
      <c r="H65" s="1" t="s">
        <v>40</v>
      </c>
      <c r="I65" s="1">
        <v>35</v>
      </c>
      <c r="J65" s="15">
        <v>28.750786000000002</v>
      </c>
      <c r="K65" s="15">
        <v>-81.542182999999994</v>
      </c>
    </row>
    <row r="66" spans="1:11" x14ac:dyDescent="0.3">
      <c r="A66" s="2" t="s">
        <v>71</v>
      </c>
      <c r="B66" s="2" t="s">
        <v>163</v>
      </c>
      <c r="C66" s="2" t="s">
        <v>166</v>
      </c>
      <c r="D66" s="1" t="s">
        <v>103</v>
      </c>
      <c r="E66" s="1">
        <v>960</v>
      </c>
      <c r="F66" s="1">
        <v>960</v>
      </c>
      <c r="G66" s="1" t="s">
        <v>39</v>
      </c>
      <c r="H66" s="1" t="s">
        <v>40</v>
      </c>
      <c r="I66" s="1">
        <v>35</v>
      </c>
      <c r="J66" s="15">
        <v>28.743455999999998</v>
      </c>
      <c r="K66" s="15">
        <v>-81.542192</v>
      </c>
    </row>
    <row r="67" spans="1:11" x14ac:dyDescent="0.3">
      <c r="A67" s="2" t="s">
        <v>71</v>
      </c>
      <c r="B67" s="2" t="s">
        <v>76</v>
      </c>
      <c r="C67" s="2" t="s">
        <v>78</v>
      </c>
      <c r="D67" s="1" t="s">
        <v>20</v>
      </c>
      <c r="E67" s="1">
        <v>7090</v>
      </c>
      <c r="F67" s="1" t="s">
        <v>309</v>
      </c>
      <c r="G67" s="1" t="s">
        <v>39</v>
      </c>
      <c r="H67" s="1" t="s">
        <v>40</v>
      </c>
      <c r="I67" s="1">
        <v>45</v>
      </c>
      <c r="J67" s="15">
        <v>28.640277999999999</v>
      </c>
      <c r="K67" s="15">
        <v>-81.498605999999995</v>
      </c>
    </row>
    <row r="68" spans="1:11" x14ac:dyDescent="0.3">
      <c r="A68" s="2" t="s">
        <v>71</v>
      </c>
      <c r="B68" s="2" t="s">
        <v>76</v>
      </c>
      <c r="C68" s="2" t="s">
        <v>77</v>
      </c>
      <c r="D68" s="1" t="s">
        <v>20</v>
      </c>
      <c r="E68" s="1">
        <v>930</v>
      </c>
      <c r="F68" s="1" t="s">
        <v>310</v>
      </c>
      <c r="G68" s="1" t="s">
        <v>39</v>
      </c>
      <c r="H68" s="1" t="s">
        <v>40</v>
      </c>
      <c r="I68" s="1">
        <v>45</v>
      </c>
      <c r="J68" s="15">
        <v>28.640225000000001</v>
      </c>
      <c r="K68" s="15">
        <v>-81.532038999999997</v>
      </c>
    </row>
    <row r="69" spans="1:11" x14ac:dyDescent="0.3">
      <c r="A69" s="2" t="s">
        <v>71</v>
      </c>
      <c r="B69" s="2" t="s">
        <v>76</v>
      </c>
      <c r="C69" s="2" t="s">
        <v>167</v>
      </c>
      <c r="D69" s="1" t="s">
        <v>103</v>
      </c>
      <c r="E69" s="1">
        <v>568</v>
      </c>
      <c r="F69" s="1">
        <v>568</v>
      </c>
      <c r="G69" s="1" t="s">
        <v>39</v>
      </c>
      <c r="H69" s="1" t="s">
        <v>40</v>
      </c>
      <c r="I69" s="1">
        <v>45</v>
      </c>
      <c r="J69" s="15">
        <v>28.640270999999998</v>
      </c>
      <c r="K69" s="15">
        <v>-81.509991999999997</v>
      </c>
    </row>
    <row r="70" spans="1:11" x14ac:dyDescent="0.3">
      <c r="A70" s="2" t="s">
        <v>71</v>
      </c>
      <c r="B70" s="2" t="s">
        <v>79</v>
      </c>
      <c r="C70" s="2" t="s">
        <v>81</v>
      </c>
      <c r="D70" s="1" t="s">
        <v>20</v>
      </c>
      <c r="E70" s="1">
        <v>12.1</v>
      </c>
      <c r="F70" s="1" t="s">
        <v>311</v>
      </c>
      <c r="G70" s="1" t="s">
        <v>39</v>
      </c>
      <c r="H70" s="1" t="s">
        <v>40</v>
      </c>
      <c r="I70" s="1">
        <v>40</v>
      </c>
      <c r="J70" s="15">
        <v>28.757373999999999</v>
      </c>
      <c r="K70" s="15">
        <v>-81.513499999999993</v>
      </c>
    </row>
    <row r="71" spans="1:11" x14ac:dyDescent="0.3">
      <c r="A71" s="2" t="s">
        <v>71</v>
      </c>
      <c r="B71" s="2" t="s">
        <v>79</v>
      </c>
      <c r="C71" s="2" t="s">
        <v>80</v>
      </c>
      <c r="D71" s="1" t="s">
        <v>20</v>
      </c>
      <c r="E71" s="1">
        <v>10.1</v>
      </c>
      <c r="F71" s="1" t="s">
        <v>312</v>
      </c>
      <c r="G71" s="1" t="s">
        <v>39</v>
      </c>
      <c r="H71" s="1" t="s">
        <v>40</v>
      </c>
      <c r="I71" s="1">
        <v>55</v>
      </c>
      <c r="J71" s="15">
        <v>28.756803999999999</v>
      </c>
      <c r="K71" s="15">
        <v>-81.561959999999999</v>
      </c>
    </row>
    <row r="72" spans="1:11" x14ac:dyDescent="0.3">
      <c r="A72" s="2" t="s">
        <v>71</v>
      </c>
      <c r="B72" s="2" t="s">
        <v>79</v>
      </c>
      <c r="C72" s="2" t="s">
        <v>168</v>
      </c>
      <c r="D72" s="1" t="s">
        <v>103</v>
      </c>
      <c r="E72" s="1">
        <v>12</v>
      </c>
      <c r="F72" s="1">
        <v>12</v>
      </c>
      <c r="G72" s="1" t="s">
        <v>39</v>
      </c>
      <c r="H72" s="1" t="s">
        <v>40</v>
      </c>
      <c r="I72" s="1">
        <v>40</v>
      </c>
      <c r="J72" s="15">
        <v>28.757351</v>
      </c>
      <c r="K72" s="15">
        <v>-81.525135000000006</v>
      </c>
    </row>
    <row r="73" spans="1:11" x14ac:dyDescent="0.3">
      <c r="A73" s="2" t="s">
        <v>71</v>
      </c>
      <c r="B73" s="2" t="s">
        <v>79</v>
      </c>
      <c r="C73" s="2" t="s">
        <v>169</v>
      </c>
      <c r="D73" s="1" t="s">
        <v>103</v>
      </c>
      <c r="E73" s="1">
        <v>9.1</v>
      </c>
      <c r="F73" s="1">
        <v>9.1</v>
      </c>
      <c r="G73" s="1" t="s">
        <v>39</v>
      </c>
      <c r="H73" s="1" t="s">
        <v>40</v>
      </c>
      <c r="I73" s="1">
        <v>55</v>
      </c>
      <c r="J73" s="15">
        <v>28.756475999999999</v>
      </c>
      <c r="K73" s="15">
        <v>-81.577190000000002</v>
      </c>
    </row>
    <row r="74" spans="1:11" ht="15" customHeight="1" x14ac:dyDescent="0.3">
      <c r="A74" s="2" t="s">
        <v>71</v>
      </c>
      <c r="B74" s="2" t="s">
        <v>79</v>
      </c>
      <c r="C74" s="2" t="s">
        <v>117</v>
      </c>
      <c r="D74" s="1" t="s">
        <v>103</v>
      </c>
      <c r="E74" s="1">
        <v>9</v>
      </c>
      <c r="F74" s="1">
        <v>9</v>
      </c>
      <c r="G74" s="1" t="s">
        <v>39</v>
      </c>
      <c r="H74" s="1" t="s">
        <v>40</v>
      </c>
      <c r="I74" s="1">
        <v>55</v>
      </c>
      <c r="J74" s="15">
        <v>28.757128999999999</v>
      </c>
      <c r="K74" s="15">
        <v>-81.550858000000005</v>
      </c>
    </row>
    <row r="75" spans="1:11" x14ac:dyDescent="0.3">
      <c r="A75" s="2" t="s">
        <v>71</v>
      </c>
      <c r="B75" s="2" t="s">
        <v>170</v>
      </c>
      <c r="C75" s="2" t="s">
        <v>172</v>
      </c>
      <c r="D75" s="1" t="s">
        <v>103</v>
      </c>
      <c r="E75" s="1">
        <v>10.1</v>
      </c>
      <c r="F75" s="1">
        <v>10.1</v>
      </c>
      <c r="G75" s="1" t="s">
        <v>39</v>
      </c>
      <c r="H75" s="1" t="s">
        <v>40</v>
      </c>
      <c r="I75" s="1">
        <v>55</v>
      </c>
      <c r="J75" s="15">
        <v>28.756810999999999</v>
      </c>
      <c r="K75" s="15">
        <v>-81.561733000000004</v>
      </c>
    </row>
    <row r="76" spans="1:11" x14ac:dyDescent="0.3">
      <c r="A76" s="2" t="s">
        <v>71</v>
      </c>
      <c r="B76" s="2" t="s">
        <v>170</v>
      </c>
      <c r="C76" s="2" t="s">
        <v>171</v>
      </c>
      <c r="D76" s="1" t="s">
        <v>103</v>
      </c>
      <c r="E76" s="1">
        <v>9002</v>
      </c>
      <c r="F76" s="1">
        <v>9002</v>
      </c>
      <c r="G76" s="1" t="s">
        <v>39</v>
      </c>
      <c r="H76" s="1" t="s">
        <v>40</v>
      </c>
      <c r="I76" s="1">
        <v>55</v>
      </c>
      <c r="J76" s="15">
        <v>28.756364000000001</v>
      </c>
      <c r="K76" s="15">
        <v>-81.585685999999995</v>
      </c>
    </row>
    <row r="77" spans="1:11" x14ac:dyDescent="0.3">
      <c r="A77" s="2" t="s">
        <v>71</v>
      </c>
      <c r="B77" s="2" t="s">
        <v>173</v>
      </c>
      <c r="C77" s="2" t="s">
        <v>174</v>
      </c>
      <c r="D77" s="1" t="s">
        <v>103</v>
      </c>
      <c r="E77" s="1">
        <v>585</v>
      </c>
      <c r="F77" s="1">
        <v>585</v>
      </c>
      <c r="G77" s="1" t="s">
        <v>39</v>
      </c>
      <c r="H77" s="1" t="s">
        <v>40</v>
      </c>
      <c r="I77" s="1">
        <v>35</v>
      </c>
      <c r="J77" s="15">
        <v>28.685603</v>
      </c>
      <c r="K77" s="15">
        <v>-81.550455999999997</v>
      </c>
    </row>
    <row r="78" spans="1:11" x14ac:dyDescent="0.3">
      <c r="A78" s="2" t="s">
        <v>71</v>
      </c>
      <c r="B78" s="2" t="s">
        <v>175</v>
      </c>
      <c r="C78" s="2" t="s">
        <v>176</v>
      </c>
      <c r="D78" s="1" t="s">
        <v>103</v>
      </c>
      <c r="E78" s="1">
        <v>402</v>
      </c>
      <c r="F78" s="1">
        <v>402</v>
      </c>
      <c r="G78" s="1" t="s">
        <v>39</v>
      </c>
      <c r="H78" s="1" t="s">
        <v>17</v>
      </c>
      <c r="I78" s="1">
        <v>25</v>
      </c>
      <c r="J78" s="15">
        <v>28.673413</v>
      </c>
      <c r="K78" s="15">
        <v>-81.513606999999993</v>
      </c>
    </row>
    <row r="79" spans="1:11" x14ac:dyDescent="0.3">
      <c r="A79" s="2" t="s">
        <v>71</v>
      </c>
      <c r="B79" s="2" t="s">
        <v>175</v>
      </c>
      <c r="C79" s="2" t="s">
        <v>177</v>
      </c>
      <c r="D79" s="1" t="s">
        <v>103</v>
      </c>
      <c r="E79" s="1">
        <v>513</v>
      </c>
      <c r="F79" s="1">
        <v>513</v>
      </c>
      <c r="G79" s="1" t="s">
        <v>39</v>
      </c>
      <c r="H79" s="1" t="s">
        <v>17</v>
      </c>
      <c r="I79" s="1">
        <v>25</v>
      </c>
      <c r="J79" s="15">
        <v>28.684532000000001</v>
      </c>
      <c r="K79" s="15">
        <v>-81.513418000000001</v>
      </c>
    </row>
    <row r="80" spans="1:11" x14ac:dyDescent="0.3">
      <c r="A80" s="2" t="s">
        <v>71</v>
      </c>
      <c r="B80" s="2" t="s">
        <v>175</v>
      </c>
      <c r="C80" s="2" t="s">
        <v>133</v>
      </c>
      <c r="D80" s="1" t="s">
        <v>103</v>
      </c>
      <c r="E80" s="1">
        <v>515</v>
      </c>
      <c r="F80" s="1">
        <v>515</v>
      </c>
      <c r="G80" s="1" t="s">
        <v>39</v>
      </c>
      <c r="H80" s="1" t="s">
        <v>17</v>
      </c>
      <c r="I80" s="1">
        <v>25</v>
      </c>
      <c r="J80" s="15">
        <v>28.675934999999999</v>
      </c>
      <c r="K80" s="15">
        <v>-81.513617999999994</v>
      </c>
    </row>
    <row r="81" spans="1:11" x14ac:dyDescent="0.3">
      <c r="A81" s="2" t="s">
        <v>71</v>
      </c>
      <c r="B81" s="2" t="s">
        <v>178</v>
      </c>
      <c r="C81" s="2" t="s">
        <v>179</v>
      </c>
      <c r="D81" s="1" t="s">
        <v>103</v>
      </c>
      <c r="E81" s="1">
        <v>811</v>
      </c>
      <c r="F81" s="1">
        <v>811</v>
      </c>
      <c r="G81" s="1" t="s">
        <v>39</v>
      </c>
      <c r="H81" s="1" t="s">
        <v>40</v>
      </c>
      <c r="I81" s="1">
        <v>25</v>
      </c>
      <c r="J81" s="15">
        <v>28.673876</v>
      </c>
      <c r="K81" s="15">
        <v>-81.461466999999999</v>
      </c>
    </row>
    <row r="82" spans="1:11" x14ac:dyDescent="0.3">
      <c r="A82" s="2" t="s">
        <v>71</v>
      </c>
      <c r="B82" s="2" t="s">
        <v>180</v>
      </c>
      <c r="C82" s="2" t="s">
        <v>181</v>
      </c>
      <c r="D82" s="1" t="s">
        <v>103</v>
      </c>
      <c r="E82" s="1">
        <v>1015</v>
      </c>
      <c r="F82" s="1">
        <v>1015</v>
      </c>
      <c r="G82" s="1" t="s">
        <v>39</v>
      </c>
      <c r="H82" s="1" t="s">
        <v>40</v>
      </c>
      <c r="I82" s="1">
        <v>25</v>
      </c>
      <c r="J82" s="15">
        <v>28.684591000000001</v>
      </c>
      <c r="K82" s="15">
        <v>-81.53407</v>
      </c>
    </row>
    <row r="83" spans="1:11" x14ac:dyDescent="0.3">
      <c r="A83" s="2" t="s">
        <v>71</v>
      </c>
      <c r="B83" s="2" t="s">
        <v>182</v>
      </c>
      <c r="C83" s="2" t="s">
        <v>183</v>
      </c>
      <c r="D83" s="1" t="s">
        <v>103</v>
      </c>
      <c r="E83" s="1">
        <v>504</v>
      </c>
      <c r="F83" s="1">
        <v>504</v>
      </c>
      <c r="G83" s="1" t="s">
        <v>39</v>
      </c>
      <c r="H83" s="1" t="s">
        <v>17</v>
      </c>
      <c r="I83" s="1">
        <v>25</v>
      </c>
      <c r="J83" s="15">
        <v>28.710595999999999</v>
      </c>
      <c r="K83" s="15">
        <v>-81.528880000000001</v>
      </c>
    </row>
    <row r="84" spans="1:11" x14ac:dyDescent="0.3">
      <c r="A84" s="2" t="s">
        <v>71</v>
      </c>
      <c r="B84" s="2" t="s">
        <v>182</v>
      </c>
      <c r="C84" s="2" t="s">
        <v>184</v>
      </c>
      <c r="D84" s="1" t="s">
        <v>103</v>
      </c>
      <c r="E84" s="1">
        <v>505</v>
      </c>
      <c r="F84" s="1">
        <v>505</v>
      </c>
      <c r="G84" s="1" t="s">
        <v>39</v>
      </c>
      <c r="H84" s="1" t="s">
        <v>17</v>
      </c>
      <c r="I84" s="1">
        <v>25</v>
      </c>
      <c r="J84" s="15">
        <v>28.707944000000001</v>
      </c>
      <c r="K84" s="15">
        <v>-81.538703999999996</v>
      </c>
    </row>
    <row r="85" spans="1:11" x14ac:dyDescent="0.3">
      <c r="A85" s="2" t="s">
        <v>71</v>
      </c>
      <c r="B85" s="2" t="s">
        <v>82</v>
      </c>
      <c r="C85" s="2" t="s">
        <v>84</v>
      </c>
      <c r="D85" s="1" t="s">
        <v>20</v>
      </c>
      <c r="E85" s="1">
        <v>67</v>
      </c>
      <c r="F85" s="1" t="s">
        <v>313</v>
      </c>
      <c r="G85" s="1" t="s">
        <v>39</v>
      </c>
      <c r="H85" s="1" t="s">
        <v>40</v>
      </c>
      <c r="I85" s="1">
        <v>50</v>
      </c>
      <c r="J85" s="15">
        <v>28.618316</v>
      </c>
      <c r="K85" s="15">
        <v>-81.480383000000003</v>
      </c>
    </row>
    <row r="86" spans="1:11" x14ac:dyDescent="0.3">
      <c r="A86" s="2" t="s">
        <v>36</v>
      </c>
      <c r="B86" s="2" t="s">
        <v>82</v>
      </c>
      <c r="C86" s="2" t="s">
        <v>185</v>
      </c>
      <c r="D86" s="1" t="s">
        <v>103</v>
      </c>
      <c r="E86" s="1">
        <v>657</v>
      </c>
      <c r="F86" s="1">
        <v>657</v>
      </c>
      <c r="G86" s="1" t="s">
        <v>39</v>
      </c>
      <c r="H86" s="1" t="s">
        <v>40</v>
      </c>
      <c r="I86" s="1">
        <v>50</v>
      </c>
      <c r="J86" s="15">
        <v>28.649221000000001</v>
      </c>
      <c r="K86" s="15">
        <v>-81.480456000000004</v>
      </c>
    </row>
    <row r="87" spans="1:11" x14ac:dyDescent="0.3">
      <c r="A87" s="2" t="s">
        <v>71</v>
      </c>
      <c r="B87" s="2" t="s">
        <v>82</v>
      </c>
      <c r="C87" s="2" t="s">
        <v>83</v>
      </c>
      <c r="D87" s="1" t="s">
        <v>20</v>
      </c>
      <c r="E87" s="1">
        <v>30</v>
      </c>
      <c r="F87" s="1" t="s">
        <v>314</v>
      </c>
      <c r="G87" s="1" t="s">
        <v>39</v>
      </c>
      <c r="H87" s="1" t="s">
        <v>40</v>
      </c>
      <c r="I87" s="1">
        <v>50</v>
      </c>
      <c r="J87" s="15">
        <v>28.637006</v>
      </c>
      <c r="K87" s="15">
        <v>-81.480452</v>
      </c>
    </row>
    <row r="88" spans="1:11" x14ac:dyDescent="0.3">
      <c r="A88" s="2" t="s">
        <v>71</v>
      </c>
      <c r="B88" s="2" t="s">
        <v>186</v>
      </c>
      <c r="C88" s="2" t="s">
        <v>187</v>
      </c>
      <c r="D88" s="1" t="s">
        <v>103</v>
      </c>
      <c r="E88" s="1">
        <v>801</v>
      </c>
      <c r="F88" s="1">
        <v>801</v>
      </c>
      <c r="G88" s="1" t="s">
        <v>39</v>
      </c>
      <c r="H88" s="1" t="s">
        <v>40</v>
      </c>
      <c r="I88" s="1">
        <v>35</v>
      </c>
      <c r="J88" s="15">
        <v>28.713190999999998</v>
      </c>
      <c r="K88" s="15">
        <v>-81.551687999999999</v>
      </c>
    </row>
    <row r="89" spans="1:11" x14ac:dyDescent="0.3">
      <c r="A89" s="2" t="s">
        <v>71</v>
      </c>
      <c r="B89" s="2" t="s">
        <v>186</v>
      </c>
      <c r="C89" s="2" t="s">
        <v>188</v>
      </c>
      <c r="D89" s="1" t="s">
        <v>103</v>
      </c>
      <c r="E89" s="1">
        <v>506</v>
      </c>
      <c r="F89" s="1">
        <v>506</v>
      </c>
      <c r="G89" s="1" t="s">
        <v>39</v>
      </c>
      <c r="H89" s="1" t="s">
        <v>40</v>
      </c>
      <c r="I89" s="1">
        <v>35</v>
      </c>
      <c r="J89" s="15">
        <v>28.713611</v>
      </c>
      <c r="K89" s="15">
        <v>-81.535032999999999</v>
      </c>
    </row>
    <row r="90" spans="1:11" x14ac:dyDescent="0.3">
      <c r="A90" s="2" t="s">
        <v>71</v>
      </c>
      <c r="B90" s="2" t="s">
        <v>186</v>
      </c>
      <c r="C90" s="2" t="s">
        <v>189</v>
      </c>
      <c r="D90" s="1" t="s">
        <v>103</v>
      </c>
      <c r="E90" s="1">
        <v>583</v>
      </c>
      <c r="F90" s="1">
        <v>583</v>
      </c>
      <c r="G90" s="1" t="s">
        <v>39</v>
      </c>
      <c r="H90" s="1" t="s">
        <v>40</v>
      </c>
      <c r="I90" s="1">
        <v>35</v>
      </c>
      <c r="J90" s="15">
        <v>28.713597</v>
      </c>
      <c r="K90" s="15">
        <v>-81.524835999999993</v>
      </c>
    </row>
    <row r="91" spans="1:11" x14ac:dyDescent="0.3">
      <c r="A91" s="2" t="s">
        <v>71</v>
      </c>
      <c r="B91" s="2" t="s">
        <v>190</v>
      </c>
      <c r="C91" s="2" t="s">
        <v>191</v>
      </c>
      <c r="D91" s="1" t="s">
        <v>103</v>
      </c>
      <c r="E91" s="1">
        <v>526</v>
      </c>
      <c r="F91" s="1">
        <v>526</v>
      </c>
      <c r="G91" s="1" t="s">
        <v>39</v>
      </c>
      <c r="H91" s="1" t="s">
        <v>40</v>
      </c>
      <c r="I91" s="1">
        <v>30</v>
      </c>
      <c r="J91" s="15">
        <v>28.669163999999999</v>
      </c>
      <c r="K91" s="15">
        <v>-81.551366999999999</v>
      </c>
    </row>
    <row r="92" spans="1:11" x14ac:dyDescent="0.3">
      <c r="A92" s="2" t="s">
        <v>71</v>
      </c>
      <c r="B92" s="2" t="s">
        <v>192</v>
      </c>
      <c r="C92" s="2" t="s">
        <v>193</v>
      </c>
      <c r="D92" s="1" t="s">
        <v>103</v>
      </c>
      <c r="E92" s="1">
        <v>413</v>
      </c>
      <c r="F92" s="1">
        <v>413</v>
      </c>
      <c r="G92" s="1" t="s">
        <v>39</v>
      </c>
      <c r="H92" s="1" t="s">
        <v>40</v>
      </c>
      <c r="I92" s="1">
        <v>30</v>
      </c>
      <c r="J92" s="15">
        <v>28.671358000000001</v>
      </c>
      <c r="K92" s="15">
        <v>-81.500556000000003</v>
      </c>
    </row>
    <row r="93" spans="1:11" x14ac:dyDescent="0.3">
      <c r="A93" s="2" t="s">
        <v>71</v>
      </c>
      <c r="B93" s="2" t="s">
        <v>192</v>
      </c>
      <c r="C93" s="2" t="s">
        <v>115</v>
      </c>
      <c r="D93" s="1" t="s">
        <v>103</v>
      </c>
      <c r="E93" s="1">
        <v>412</v>
      </c>
      <c r="F93" s="1">
        <v>412</v>
      </c>
      <c r="G93" s="1" t="s">
        <v>39</v>
      </c>
      <c r="H93" s="1" t="s">
        <v>40</v>
      </c>
      <c r="I93" s="1">
        <v>30</v>
      </c>
      <c r="J93" s="15">
        <v>28.673639000000001</v>
      </c>
      <c r="K93" s="15">
        <v>-81.500594000000007</v>
      </c>
    </row>
    <row r="94" spans="1:11" x14ac:dyDescent="0.3">
      <c r="A94" s="2" t="s">
        <v>71</v>
      </c>
      <c r="B94" s="2" t="s">
        <v>194</v>
      </c>
      <c r="C94" s="2" t="s">
        <v>196</v>
      </c>
      <c r="D94" s="1" t="s">
        <v>103</v>
      </c>
      <c r="E94" s="1">
        <v>569</v>
      </c>
      <c r="F94" s="1">
        <v>569</v>
      </c>
      <c r="G94" s="1" t="s">
        <v>39</v>
      </c>
      <c r="H94" s="1" t="s">
        <v>40</v>
      </c>
      <c r="I94" s="1">
        <v>35</v>
      </c>
      <c r="J94" s="15">
        <v>28.645976000000001</v>
      </c>
      <c r="K94" s="15">
        <v>-81.525874999999999</v>
      </c>
    </row>
    <row r="95" spans="1:11" x14ac:dyDescent="0.3">
      <c r="A95" s="2" t="s">
        <v>71</v>
      </c>
      <c r="B95" s="2" t="s">
        <v>194</v>
      </c>
      <c r="C95" s="2" t="s">
        <v>195</v>
      </c>
      <c r="D95" s="1" t="s">
        <v>103</v>
      </c>
      <c r="E95" s="1">
        <v>560</v>
      </c>
      <c r="F95" s="1">
        <v>560</v>
      </c>
      <c r="G95" s="1" t="s">
        <v>39</v>
      </c>
      <c r="H95" s="1" t="s">
        <v>40</v>
      </c>
      <c r="I95" s="1">
        <v>35</v>
      </c>
      <c r="J95" s="15">
        <v>28.653762</v>
      </c>
      <c r="K95" s="15">
        <v>-81.525762</v>
      </c>
    </row>
    <row r="96" spans="1:11" x14ac:dyDescent="0.3">
      <c r="A96" s="2" t="s">
        <v>71</v>
      </c>
      <c r="B96" s="2" t="s">
        <v>194</v>
      </c>
      <c r="C96" s="2" t="s">
        <v>197</v>
      </c>
      <c r="D96" s="1" t="s">
        <v>103</v>
      </c>
      <c r="E96" s="1">
        <v>555</v>
      </c>
      <c r="F96" s="1">
        <v>555</v>
      </c>
      <c r="G96" s="1" t="s">
        <v>39</v>
      </c>
      <c r="H96" s="1" t="s">
        <v>40</v>
      </c>
      <c r="I96" s="1">
        <v>35</v>
      </c>
      <c r="J96" s="15">
        <v>28.659431999999999</v>
      </c>
      <c r="K96" s="15">
        <v>-81.525874000000002</v>
      </c>
    </row>
    <row r="97" spans="1:11" x14ac:dyDescent="0.3">
      <c r="A97" s="2" t="s">
        <v>71</v>
      </c>
      <c r="B97" s="2" t="s">
        <v>198</v>
      </c>
      <c r="C97" s="2" t="s">
        <v>199</v>
      </c>
      <c r="D97" s="1" t="s">
        <v>103</v>
      </c>
      <c r="E97" s="1">
        <v>584</v>
      </c>
      <c r="F97" s="1">
        <v>584</v>
      </c>
      <c r="G97" s="1" t="s">
        <v>39</v>
      </c>
      <c r="H97" s="1" t="s">
        <v>40</v>
      </c>
      <c r="I97" s="1">
        <v>35</v>
      </c>
      <c r="J97" s="15">
        <v>28.676753000000001</v>
      </c>
      <c r="K97" s="15">
        <v>-81.523869000000005</v>
      </c>
    </row>
    <row r="98" spans="1:11" x14ac:dyDescent="0.3">
      <c r="A98" s="2" t="s">
        <v>71</v>
      </c>
      <c r="B98" s="2" t="s">
        <v>200</v>
      </c>
      <c r="C98" s="2" t="s">
        <v>202</v>
      </c>
      <c r="D98" s="1" t="s">
        <v>103</v>
      </c>
      <c r="E98" s="1">
        <v>519</v>
      </c>
      <c r="F98" s="1">
        <v>519</v>
      </c>
      <c r="G98" s="1" t="s">
        <v>39</v>
      </c>
      <c r="H98" s="1" t="s">
        <v>40</v>
      </c>
      <c r="I98" s="1">
        <v>25</v>
      </c>
      <c r="J98" s="15">
        <v>28.691230999999998</v>
      </c>
      <c r="K98" s="15">
        <v>-81.510930000000002</v>
      </c>
    </row>
    <row r="99" spans="1:11" x14ac:dyDescent="0.3">
      <c r="A99" s="2" t="s">
        <v>71</v>
      </c>
      <c r="B99" s="2" t="s">
        <v>200</v>
      </c>
      <c r="C99" s="2" t="s">
        <v>201</v>
      </c>
      <c r="D99" s="1" t="s">
        <v>103</v>
      </c>
      <c r="E99" s="1">
        <v>830</v>
      </c>
      <c r="F99" s="1">
        <v>830</v>
      </c>
      <c r="G99" s="1" t="s">
        <v>39</v>
      </c>
      <c r="H99" s="1" t="s">
        <v>40</v>
      </c>
      <c r="I99" s="1">
        <v>25</v>
      </c>
      <c r="J99" s="15">
        <v>28.691524000000001</v>
      </c>
      <c r="K99" s="15">
        <v>-81.522007000000002</v>
      </c>
    </row>
    <row r="100" spans="1:11" x14ac:dyDescent="0.3">
      <c r="A100" s="2" t="s">
        <v>71</v>
      </c>
      <c r="B100" s="2" t="s">
        <v>203</v>
      </c>
      <c r="C100" s="2" t="s">
        <v>160</v>
      </c>
      <c r="D100" s="1" t="s">
        <v>103</v>
      </c>
      <c r="E100" s="1">
        <v>407</v>
      </c>
      <c r="F100" s="1">
        <v>407</v>
      </c>
      <c r="G100" s="1" t="s">
        <v>39</v>
      </c>
      <c r="H100" s="1" t="s">
        <v>40</v>
      </c>
      <c r="I100" s="1">
        <v>25</v>
      </c>
      <c r="J100" s="15">
        <v>28.671749999999999</v>
      </c>
      <c r="K100" s="15">
        <v>-81.504193999999998</v>
      </c>
    </row>
    <row r="101" spans="1:11" x14ac:dyDescent="0.3">
      <c r="A101" s="2" t="s">
        <v>71</v>
      </c>
      <c r="B101" s="2" t="s">
        <v>204</v>
      </c>
      <c r="C101" s="2" t="s">
        <v>110</v>
      </c>
      <c r="D101" s="1" t="s">
        <v>103</v>
      </c>
      <c r="E101" s="1">
        <v>603</v>
      </c>
      <c r="F101" s="1">
        <v>603</v>
      </c>
      <c r="G101" s="1" t="s">
        <v>39</v>
      </c>
      <c r="H101" s="1" t="s">
        <v>17</v>
      </c>
      <c r="I101" s="1">
        <v>25</v>
      </c>
      <c r="J101" s="15">
        <v>28.675543999999999</v>
      </c>
      <c r="K101" s="15">
        <v>-81.505534999999995</v>
      </c>
    </row>
    <row r="102" spans="1:11" x14ac:dyDescent="0.3">
      <c r="A102" s="2" t="s">
        <v>71</v>
      </c>
      <c r="B102" s="2" t="s">
        <v>204</v>
      </c>
      <c r="C102" s="2" t="s">
        <v>205</v>
      </c>
      <c r="D102" s="1" t="s">
        <v>103</v>
      </c>
      <c r="E102" s="1">
        <v>604</v>
      </c>
      <c r="F102" s="1">
        <v>604</v>
      </c>
      <c r="G102" s="1" t="s">
        <v>39</v>
      </c>
      <c r="H102" s="1" t="s">
        <v>17</v>
      </c>
      <c r="I102" s="1">
        <v>25</v>
      </c>
      <c r="J102" s="15">
        <v>28.674931999999998</v>
      </c>
      <c r="K102" s="15">
        <v>-81.497225</v>
      </c>
    </row>
    <row r="103" spans="1:11" x14ac:dyDescent="0.3">
      <c r="A103" s="2" t="s">
        <v>71</v>
      </c>
      <c r="B103" s="2" t="s">
        <v>85</v>
      </c>
      <c r="C103" s="2" t="s">
        <v>86</v>
      </c>
      <c r="D103" s="1" t="s">
        <v>20</v>
      </c>
      <c r="E103" s="1">
        <v>17</v>
      </c>
      <c r="F103" s="1" t="s">
        <v>315</v>
      </c>
      <c r="G103" s="1" t="s">
        <v>39</v>
      </c>
      <c r="H103" s="1" t="s">
        <v>40</v>
      </c>
      <c r="I103" s="1">
        <v>45</v>
      </c>
      <c r="J103" s="15">
        <v>28.763459999999998</v>
      </c>
      <c r="K103" s="15">
        <v>-81.520359999999997</v>
      </c>
    </row>
    <row r="104" spans="1:11" x14ac:dyDescent="0.3">
      <c r="A104" s="2" t="s">
        <v>71</v>
      </c>
      <c r="B104" s="2" t="s">
        <v>85</v>
      </c>
      <c r="C104" s="2" t="s">
        <v>206</v>
      </c>
      <c r="D104" s="1" t="s">
        <v>103</v>
      </c>
      <c r="E104" s="1">
        <v>17.100000000000001</v>
      </c>
      <c r="F104" s="1">
        <v>17.100000000000001</v>
      </c>
      <c r="G104" s="1" t="s">
        <v>39</v>
      </c>
      <c r="H104" s="1" t="s">
        <v>40</v>
      </c>
      <c r="I104" s="1">
        <v>45</v>
      </c>
      <c r="J104" s="15">
        <v>28.776077999999998</v>
      </c>
      <c r="K104" s="15">
        <v>-81.526318000000003</v>
      </c>
    </row>
    <row r="105" spans="1:11" x14ac:dyDescent="0.3">
      <c r="A105" s="2" t="s">
        <v>71</v>
      </c>
      <c r="B105" s="2" t="s">
        <v>207</v>
      </c>
      <c r="C105" s="2" t="s">
        <v>208</v>
      </c>
      <c r="D105" s="1" t="s">
        <v>103</v>
      </c>
      <c r="E105" s="1">
        <v>512</v>
      </c>
      <c r="F105" s="1">
        <v>512</v>
      </c>
      <c r="G105" s="1" t="s">
        <v>39</v>
      </c>
      <c r="H105" s="1" t="s">
        <v>17</v>
      </c>
      <c r="I105" s="1">
        <v>25</v>
      </c>
      <c r="J105" s="15">
        <v>28.685063</v>
      </c>
      <c r="K105" s="15">
        <v>-81.520551999999995</v>
      </c>
    </row>
    <row r="106" spans="1:11" x14ac:dyDescent="0.3">
      <c r="A106" s="2" t="s">
        <v>71</v>
      </c>
      <c r="B106" s="2" t="s">
        <v>209</v>
      </c>
      <c r="C106" s="2" t="s">
        <v>210</v>
      </c>
      <c r="D106" s="1" t="s">
        <v>103</v>
      </c>
      <c r="E106" s="1">
        <v>674</v>
      </c>
      <c r="F106" s="1">
        <v>674</v>
      </c>
      <c r="G106" s="1" t="s">
        <v>39</v>
      </c>
      <c r="H106" s="1" t="s">
        <v>40</v>
      </c>
      <c r="I106" s="1">
        <v>35</v>
      </c>
      <c r="J106" s="15">
        <v>28.681452</v>
      </c>
      <c r="K106" s="15">
        <v>-81.522817000000003</v>
      </c>
    </row>
    <row r="107" spans="1:11" x14ac:dyDescent="0.3">
      <c r="A107" s="2" t="s">
        <v>71</v>
      </c>
      <c r="B107" s="2" t="s">
        <v>209</v>
      </c>
      <c r="C107" s="2" t="s">
        <v>28</v>
      </c>
      <c r="D107" s="1" t="s">
        <v>103</v>
      </c>
      <c r="E107" s="1">
        <v>510</v>
      </c>
      <c r="F107" s="1">
        <v>510</v>
      </c>
      <c r="G107" s="1" t="s">
        <v>39</v>
      </c>
      <c r="H107" s="1" t="s">
        <v>40</v>
      </c>
      <c r="I107" s="1">
        <v>35</v>
      </c>
      <c r="J107" s="15">
        <v>28.690885999999999</v>
      </c>
      <c r="K107" s="15">
        <v>-81.541588000000004</v>
      </c>
    </row>
    <row r="108" spans="1:11" x14ac:dyDescent="0.3">
      <c r="A108" s="2" t="s">
        <v>71</v>
      </c>
      <c r="B108" s="2" t="s">
        <v>209</v>
      </c>
      <c r="C108" s="2" t="s">
        <v>183</v>
      </c>
      <c r="D108" s="1" t="s">
        <v>103</v>
      </c>
      <c r="E108" s="1">
        <v>511</v>
      </c>
      <c r="F108" s="1">
        <v>511</v>
      </c>
      <c r="G108" s="1" t="s">
        <v>39</v>
      </c>
      <c r="H108" s="1" t="s">
        <v>40</v>
      </c>
      <c r="I108" s="1">
        <v>35</v>
      </c>
      <c r="J108" s="15">
        <v>28.686122000000001</v>
      </c>
      <c r="K108" s="15">
        <v>-81.530771000000001</v>
      </c>
    </row>
    <row r="109" spans="1:11" x14ac:dyDescent="0.3">
      <c r="A109" s="2" t="s">
        <v>71</v>
      </c>
      <c r="B109" s="2" t="s">
        <v>209</v>
      </c>
      <c r="C109" s="2" t="s">
        <v>211</v>
      </c>
      <c r="D109" s="1" t="s">
        <v>103</v>
      </c>
      <c r="E109" s="1">
        <v>514</v>
      </c>
      <c r="F109" s="1">
        <v>514</v>
      </c>
      <c r="G109" s="1" t="s">
        <v>39</v>
      </c>
      <c r="H109" s="1" t="s">
        <v>40</v>
      </c>
      <c r="I109" s="1">
        <v>25</v>
      </c>
      <c r="J109" s="15">
        <v>28.677949000000002</v>
      </c>
      <c r="K109" s="15">
        <v>-81.514544000000001</v>
      </c>
    </row>
    <row r="110" spans="1:11" x14ac:dyDescent="0.3">
      <c r="A110" s="2" t="s">
        <v>71</v>
      </c>
      <c r="B110" s="2" t="s">
        <v>209</v>
      </c>
      <c r="C110" s="2" t="s">
        <v>212</v>
      </c>
      <c r="D110" s="1" t="s">
        <v>103</v>
      </c>
      <c r="E110" s="1">
        <v>518</v>
      </c>
      <c r="F110" s="1">
        <v>518</v>
      </c>
      <c r="G110" s="1" t="s">
        <v>39</v>
      </c>
      <c r="H110" s="1" t="s">
        <v>40</v>
      </c>
      <c r="I110" s="1">
        <v>25</v>
      </c>
      <c r="J110" s="15">
        <v>28.679122</v>
      </c>
      <c r="K110" s="15">
        <v>-81.519422000000006</v>
      </c>
    </row>
    <row r="111" spans="1:11" x14ac:dyDescent="0.3">
      <c r="A111" s="2" t="s">
        <v>71</v>
      </c>
      <c r="B111" s="2" t="s">
        <v>209</v>
      </c>
      <c r="C111" s="2" t="s">
        <v>213</v>
      </c>
      <c r="D111" s="1" t="s">
        <v>103</v>
      </c>
      <c r="E111" s="1">
        <v>582</v>
      </c>
      <c r="F111" s="1">
        <v>582</v>
      </c>
      <c r="G111" s="1" t="s">
        <v>39</v>
      </c>
      <c r="H111" s="1" t="s">
        <v>40</v>
      </c>
      <c r="I111" s="1">
        <v>35</v>
      </c>
      <c r="J111" s="15">
        <v>28.693738</v>
      </c>
      <c r="K111" s="15">
        <v>-81.551315000000002</v>
      </c>
    </row>
    <row r="112" spans="1:11" x14ac:dyDescent="0.3">
      <c r="A112" s="2" t="s">
        <v>71</v>
      </c>
      <c r="B112" s="2" t="s">
        <v>214</v>
      </c>
      <c r="C112" s="2" t="s">
        <v>215</v>
      </c>
      <c r="D112" s="1" t="s">
        <v>103</v>
      </c>
      <c r="E112" s="1">
        <v>817</v>
      </c>
      <c r="F112" s="1">
        <v>817</v>
      </c>
      <c r="G112" s="1" t="s">
        <v>39</v>
      </c>
      <c r="H112" s="1" t="s">
        <v>40</v>
      </c>
      <c r="I112" s="1">
        <v>30</v>
      </c>
      <c r="J112" s="15">
        <v>28.77131</v>
      </c>
      <c r="K112" s="15">
        <v>-81.563609999999997</v>
      </c>
    </row>
    <row r="113" spans="1:11" x14ac:dyDescent="0.3">
      <c r="A113" s="2" t="s">
        <v>71</v>
      </c>
      <c r="B113" s="2" t="s">
        <v>214</v>
      </c>
      <c r="C113" s="2" t="s">
        <v>216</v>
      </c>
      <c r="D113" s="1" t="s">
        <v>103</v>
      </c>
      <c r="E113" s="1">
        <v>901</v>
      </c>
      <c r="F113" s="1">
        <v>901</v>
      </c>
      <c r="G113" s="1" t="s">
        <v>39</v>
      </c>
      <c r="H113" s="1" t="s">
        <v>40</v>
      </c>
      <c r="I113" s="1">
        <v>30</v>
      </c>
      <c r="J113" s="15">
        <v>28.771093</v>
      </c>
      <c r="K113" s="15">
        <v>-81.576295999999999</v>
      </c>
    </row>
    <row r="114" spans="1:11" x14ac:dyDescent="0.3">
      <c r="A114" s="2" t="s">
        <v>71</v>
      </c>
      <c r="B114" s="2" t="s">
        <v>217</v>
      </c>
      <c r="C114" s="2" t="s">
        <v>218</v>
      </c>
      <c r="D114" s="1" t="s">
        <v>103</v>
      </c>
      <c r="E114" s="1">
        <v>672</v>
      </c>
      <c r="F114" s="1">
        <v>672</v>
      </c>
      <c r="G114" s="1" t="s">
        <v>39</v>
      </c>
      <c r="H114" s="1" t="s">
        <v>40</v>
      </c>
      <c r="I114" s="1">
        <v>45</v>
      </c>
      <c r="J114" s="15">
        <v>28.631367999999998</v>
      </c>
      <c r="K114" s="15">
        <v>-81.459826000000007</v>
      </c>
    </row>
    <row r="115" spans="1:11" x14ac:dyDescent="0.3">
      <c r="A115" s="2" t="s">
        <v>71</v>
      </c>
      <c r="B115" s="2" t="s">
        <v>219</v>
      </c>
      <c r="C115" s="2" t="s">
        <v>220</v>
      </c>
      <c r="D115" s="1" t="s">
        <v>103</v>
      </c>
      <c r="E115" s="1">
        <v>586</v>
      </c>
      <c r="F115" s="1">
        <v>586</v>
      </c>
      <c r="G115" s="1" t="s">
        <v>39</v>
      </c>
      <c r="H115" s="1" t="s">
        <v>40</v>
      </c>
      <c r="I115" s="1">
        <v>35</v>
      </c>
      <c r="J115" s="15">
        <v>28.631367999999998</v>
      </c>
      <c r="K115" s="15">
        <v>-81.459826000000007</v>
      </c>
    </row>
    <row r="116" spans="1:11" x14ac:dyDescent="0.3">
      <c r="A116" s="2" t="s">
        <v>36</v>
      </c>
      <c r="B116" s="2" t="s">
        <v>52</v>
      </c>
      <c r="C116" s="2" t="s">
        <v>54</v>
      </c>
      <c r="D116" s="1" t="s">
        <v>20</v>
      </c>
      <c r="E116" s="1">
        <v>11</v>
      </c>
      <c r="F116" s="1" t="s">
        <v>316</v>
      </c>
      <c r="G116" s="1" t="s">
        <v>39</v>
      </c>
      <c r="H116" s="1" t="s">
        <v>40</v>
      </c>
      <c r="I116" s="1">
        <v>55</v>
      </c>
      <c r="J116" s="15">
        <v>28.728940000000001</v>
      </c>
      <c r="K116" s="15">
        <v>-81.559700000000007</v>
      </c>
    </row>
    <row r="117" spans="1:11" x14ac:dyDescent="0.3">
      <c r="A117" s="2" t="s">
        <v>36</v>
      </c>
      <c r="B117" s="2" t="s">
        <v>52</v>
      </c>
      <c r="C117" s="2" t="s">
        <v>53</v>
      </c>
      <c r="D117" s="1" t="s">
        <v>20</v>
      </c>
      <c r="E117" s="1">
        <v>14</v>
      </c>
      <c r="F117" s="1" t="s">
        <v>318</v>
      </c>
      <c r="G117" s="1" t="s">
        <v>39</v>
      </c>
      <c r="H117" s="1" t="s">
        <v>40</v>
      </c>
      <c r="I117" s="1">
        <v>55</v>
      </c>
      <c r="J117" s="15">
        <v>28.758600000000001</v>
      </c>
      <c r="K117" s="15">
        <v>-81.559799999999996</v>
      </c>
    </row>
    <row r="118" spans="1:11" x14ac:dyDescent="0.3">
      <c r="A118" s="2" t="s">
        <v>36</v>
      </c>
      <c r="B118" s="2" t="s">
        <v>52</v>
      </c>
      <c r="C118" s="2" t="s">
        <v>221</v>
      </c>
      <c r="D118" s="1" t="s">
        <v>103</v>
      </c>
      <c r="E118" s="1">
        <v>542</v>
      </c>
      <c r="F118" s="1">
        <v>542</v>
      </c>
      <c r="G118" s="1" t="s">
        <v>39</v>
      </c>
      <c r="H118" s="1" t="s">
        <v>40</v>
      </c>
      <c r="I118" s="1">
        <v>45</v>
      </c>
      <c r="J118" s="15">
        <v>28.711013000000001</v>
      </c>
      <c r="K118" s="15">
        <v>-81.557428000000002</v>
      </c>
    </row>
    <row r="119" spans="1:11" x14ac:dyDescent="0.3">
      <c r="A119" s="2" t="s">
        <v>36</v>
      </c>
      <c r="B119" s="2" t="s">
        <v>52</v>
      </c>
      <c r="C119" s="2" t="s">
        <v>222</v>
      </c>
      <c r="D119" s="1" t="s">
        <v>103</v>
      </c>
      <c r="E119" s="1">
        <v>543</v>
      </c>
      <c r="F119" s="1">
        <v>543</v>
      </c>
      <c r="G119" s="1" t="s">
        <v>39</v>
      </c>
      <c r="H119" s="1" t="s">
        <v>40</v>
      </c>
      <c r="I119" s="1">
        <v>45</v>
      </c>
      <c r="J119" s="15">
        <v>28.69613</v>
      </c>
      <c r="K119" s="15">
        <v>-81.556646000000001</v>
      </c>
    </row>
    <row r="120" spans="1:11" x14ac:dyDescent="0.3">
      <c r="A120" s="2" t="s">
        <v>36</v>
      </c>
      <c r="B120" s="2" t="s">
        <v>52</v>
      </c>
      <c r="C120" s="2" t="s">
        <v>223</v>
      </c>
      <c r="D120" s="1" t="s">
        <v>103</v>
      </c>
      <c r="E120" s="1">
        <v>544</v>
      </c>
      <c r="F120" s="1">
        <v>544</v>
      </c>
      <c r="G120" s="1" t="s">
        <v>39</v>
      </c>
      <c r="H120" s="1" t="s">
        <v>40</v>
      </c>
      <c r="I120" s="1">
        <v>55</v>
      </c>
      <c r="J120" s="15">
        <v>28.752386999999999</v>
      </c>
      <c r="K120" s="15">
        <v>-81.559811999999994</v>
      </c>
    </row>
    <row r="121" spans="1:11" x14ac:dyDescent="0.3">
      <c r="A121" s="2" t="s">
        <v>36</v>
      </c>
      <c r="B121" s="2" t="s">
        <v>52</v>
      </c>
      <c r="C121" s="2" t="s">
        <v>55</v>
      </c>
      <c r="D121" s="1" t="s">
        <v>20</v>
      </c>
      <c r="E121" s="1">
        <v>10</v>
      </c>
      <c r="F121" s="1" t="s">
        <v>319</v>
      </c>
      <c r="G121" s="1" t="s">
        <v>39</v>
      </c>
      <c r="H121" s="1" t="s">
        <v>40</v>
      </c>
      <c r="I121" s="1">
        <v>55</v>
      </c>
      <c r="J121" s="15">
        <v>28.726199999999999</v>
      </c>
      <c r="K121" s="15">
        <v>-81.558000000000007</v>
      </c>
    </row>
    <row r="122" spans="1:11" ht="15" customHeight="1" x14ac:dyDescent="0.3">
      <c r="A122" s="2" t="s">
        <v>71</v>
      </c>
      <c r="B122" s="2" t="s">
        <v>87</v>
      </c>
      <c r="C122" s="2" t="s">
        <v>89</v>
      </c>
      <c r="D122" s="1" t="s">
        <v>20</v>
      </c>
      <c r="E122" s="1">
        <v>8115</v>
      </c>
      <c r="F122" s="1" t="s">
        <v>317</v>
      </c>
      <c r="G122" s="1" t="s">
        <v>39</v>
      </c>
      <c r="H122" s="1" t="s">
        <v>40</v>
      </c>
      <c r="I122" s="1">
        <v>45</v>
      </c>
      <c r="J122" s="15">
        <v>28.728179999999998</v>
      </c>
      <c r="K122" s="15">
        <v>-81.542869999999994</v>
      </c>
    </row>
    <row r="123" spans="1:11" x14ac:dyDescent="0.3">
      <c r="A123" s="2" t="s">
        <v>71</v>
      </c>
      <c r="B123" s="2" t="s">
        <v>87</v>
      </c>
      <c r="C123" s="2" t="s">
        <v>88</v>
      </c>
      <c r="D123" s="1" t="s">
        <v>20</v>
      </c>
      <c r="E123" s="1">
        <v>13</v>
      </c>
      <c r="F123" s="1" t="s">
        <v>320</v>
      </c>
      <c r="G123" s="1" t="s">
        <v>39</v>
      </c>
      <c r="H123" s="1" t="s">
        <v>40</v>
      </c>
      <c r="I123" s="1">
        <v>35</v>
      </c>
      <c r="J123" s="15">
        <v>28.727499999999999</v>
      </c>
      <c r="K123" s="15">
        <v>-81.560199999999995</v>
      </c>
    </row>
    <row r="124" spans="1:11" x14ac:dyDescent="0.3">
      <c r="A124" s="2" t="s">
        <v>71</v>
      </c>
      <c r="B124" s="2" t="s">
        <v>87</v>
      </c>
      <c r="C124" s="2" t="s">
        <v>68</v>
      </c>
      <c r="D124" s="1" t="s">
        <v>20</v>
      </c>
      <c r="E124" s="1">
        <v>326</v>
      </c>
      <c r="F124" s="1" t="s">
        <v>321</v>
      </c>
      <c r="G124" s="1" t="s">
        <v>39</v>
      </c>
      <c r="H124" s="1" t="s">
        <v>40</v>
      </c>
      <c r="I124" s="1">
        <v>45</v>
      </c>
      <c r="J124" s="15">
        <v>28.728200000000001</v>
      </c>
      <c r="K124" s="15">
        <v>-81.511399999999995</v>
      </c>
    </row>
    <row r="125" spans="1:11" x14ac:dyDescent="0.3">
      <c r="A125" s="2" t="s">
        <v>71</v>
      </c>
      <c r="B125" s="2" t="s">
        <v>224</v>
      </c>
      <c r="C125" s="2" t="s">
        <v>225</v>
      </c>
      <c r="D125" s="1" t="s">
        <v>103</v>
      </c>
      <c r="E125" s="1">
        <v>540</v>
      </c>
      <c r="F125" s="1">
        <v>540</v>
      </c>
      <c r="G125" s="1" t="s">
        <v>39</v>
      </c>
      <c r="H125" s="1" t="s">
        <v>40</v>
      </c>
      <c r="I125" s="1">
        <v>30</v>
      </c>
      <c r="J125" s="15">
        <v>28.738983999999999</v>
      </c>
      <c r="K125" s="15">
        <v>-81.510805000000005</v>
      </c>
    </row>
    <row r="126" spans="1:11" x14ac:dyDescent="0.3">
      <c r="A126" s="2" t="s">
        <v>71</v>
      </c>
      <c r="B126" s="2" t="s">
        <v>226</v>
      </c>
      <c r="C126" s="2" t="s">
        <v>227</v>
      </c>
      <c r="D126" s="1" t="s">
        <v>103</v>
      </c>
      <c r="E126" s="1">
        <v>613</v>
      </c>
      <c r="F126" s="1">
        <v>613</v>
      </c>
      <c r="G126" s="1" t="s">
        <v>39</v>
      </c>
      <c r="H126" s="1" t="s">
        <v>40</v>
      </c>
      <c r="I126" s="1">
        <v>30</v>
      </c>
      <c r="J126" s="15">
        <v>28.668768</v>
      </c>
      <c r="K126" s="15">
        <v>-81.484694000000005</v>
      </c>
    </row>
    <row r="127" spans="1:11" x14ac:dyDescent="0.3">
      <c r="A127" s="2" t="s">
        <v>71</v>
      </c>
      <c r="B127" s="2" t="s">
        <v>228</v>
      </c>
      <c r="C127" s="2" t="s">
        <v>229</v>
      </c>
      <c r="D127" s="1" t="s">
        <v>103</v>
      </c>
      <c r="E127" s="1">
        <v>976</v>
      </c>
      <c r="F127" s="1">
        <v>976</v>
      </c>
      <c r="G127" s="1" t="s">
        <v>39</v>
      </c>
      <c r="H127" s="1" t="s">
        <v>40</v>
      </c>
      <c r="I127" s="1">
        <v>30</v>
      </c>
      <c r="J127" s="15">
        <v>28.715043999999999</v>
      </c>
      <c r="K127" s="15">
        <v>-81.542322999999996</v>
      </c>
    </row>
    <row r="128" spans="1:11" x14ac:dyDescent="0.3">
      <c r="A128" s="2" t="s">
        <v>71</v>
      </c>
      <c r="B128" s="2" t="s">
        <v>90</v>
      </c>
      <c r="C128" s="2" t="s">
        <v>92</v>
      </c>
      <c r="D128" s="1" t="s">
        <v>20</v>
      </c>
      <c r="E128" s="1">
        <v>8</v>
      </c>
      <c r="F128" s="1" t="s">
        <v>322</v>
      </c>
      <c r="G128" s="1" t="s">
        <v>39</v>
      </c>
      <c r="H128" s="1" t="s">
        <v>40</v>
      </c>
      <c r="I128" s="1">
        <v>55</v>
      </c>
      <c r="J128" s="15">
        <v>28.755400000000002</v>
      </c>
      <c r="K128" s="15">
        <v>-81.593199999999996</v>
      </c>
    </row>
    <row r="129" spans="1:11" x14ac:dyDescent="0.3">
      <c r="A129" s="2" t="s">
        <v>71</v>
      </c>
      <c r="B129" s="2" t="s">
        <v>90</v>
      </c>
      <c r="C129" s="2" t="s">
        <v>91</v>
      </c>
      <c r="D129" s="1" t="s">
        <v>20</v>
      </c>
      <c r="E129" s="1">
        <v>8067</v>
      </c>
      <c r="F129" s="1" t="s">
        <v>323</v>
      </c>
      <c r="G129" s="1" t="s">
        <v>39</v>
      </c>
      <c r="H129" s="1" t="s">
        <v>40</v>
      </c>
      <c r="I129" s="1">
        <v>50</v>
      </c>
      <c r="J129" s="15">
        <v>28.737169999999999</v>
      </c>
      <c r="K129" s="15">
        <v>-81.593040000000002</v>
      </c>
    </row>
    <row r="130" spans="1:11" x14ac:dyDescent="0.3">
      <c r="A130" s="2" t="s">
        <v>71</v>
      </c>
      <c r="B130" s="2" t="s">
        <v>90</v>
      </c>
      <c r="C130" s="2" t="s">
        <v>94</v>
      </c>
      <c r="D130" s="1" t="s">
        <v>20</v>
      </c>
      <c r="E130" s="1">
        <v>8178</v>
      </c>
      <c r="F130" s="1" t="s">
        <v>324</v>
      </c>
      <c r="G130" s="1" t="s">
        <v>39</v>
      </c>
      <c r="H130" s="1" t="s">
        <v>40</v>
      </c>
      <c r="I130" s="1">
        <v>50</v>
      </c>
      <c r="J130" s="15">
        <v>28.757100000000001</v>
      </c>
      <c r="K130" s="15">
        <v>-81.593199999999996</v>
      </c>
    </row>
    <row r="131" spans="1:11" x14ac:dyDescent="0.3">
      <c r="A131" s="2" t="s">
        <v>71</v>
      </c>
      <c r="B131" s="2" t="s">
        <v>90</v>
      </c>
      <c r="C131" s="2" t="s">
        <v>93</v>
      </c>
      <c r="D131" s="1" t="s">
        <v>20</v>
      </c>
      <c r="E131" s="1">
        <v>6</v>
      </c>
      <c r="F131" s="1" t="s">
        <v>324</v>
      </c>
      <c r="G131" s="1" t="s">
        <v>39</v>
      </c>
      <c r="H131" s="1" t="s">
        <v>40</v>
      </c>
      <c r="I131" s="1">
        <v>55</v>
      </c>
      <c r="J131" s="15">
        <v>28.757100000000001</v>
      </c>
      <c r="K131" s="15">
        <v>-81.593199999999996</v>
      </c>
    </row>
    <row r="132" spans="1:11" x14ac:dyDescent="0.3">
      <c r="A132" s="2" t="s">
        <v>71</v>
      </c>
      <c r="B132" s="2" t="s">
        <v>238</v>
      </c>
      <c r="C132" s="2" t="s">
        <v>239</v>
      </c>
      <c r="D132" s="1" t="s">
        <v>103</v>
      </c>
      <c r="E132" s="1">
        <v>980</v>
      </c>
      <c r="F132" s="1">
        <v>980</v>
      </c>
      <c r="G132" s="1" t="s">
        <v>25</v>
      </c>
      <c r="H132" s="1" t="s">
        <v>40</v>
      </c>
      <c r="I132" s="1">
        <v>35</v>
      </c>
      <c r="J132" s="15">
        <v>28.650791000000002</v>
      </c>
      <c r="K132" s="15">
        <v>-81.491611000000006</v>
      </c>
    </row>
    <row r="133" spans="1:11" x14ac:dyDescent="0.3">
      <c r="A133" s="2" t="s">
        <v>71</v>
      </c>
      <c r="B133" s="2" t="s">
        <v>240</v>
      </c>
      <c r="C133" s="2" t="s">
        <v>241</v>
      </c>
      <c r="D133" s="1" t="s">
        <v>103</v>
      </c>
      <c r="E133" s="1">
        <v>3</v>
      </c>
      <c r="F133" s="1">
        <v>3</v>
      </c>
      <c r="G133" s="1" t="s">
        <v>25</v>
      </c>
      <c r="H133" s="1" t="s">
        <v>40</v>
      </c>
      <c r="I133" s="1">
        <v>35</v>
      </c>
      <c r="J133" s="15">
        <v>28.697977999999999</v>
      </c>
      <c r="K133" s="15">
        <v>-81.560530999999997</v>
      </c>
    </row>
    <row r="134" spans="1:11" x14ac:dyDescent="0.3">
      <c r="A134" s="2" t="s">
        <v>12</v>
      </c>
      <c r="B134" s="2" t="s">
        <v>13</v>
      </c>
      <c r="C134" s="2" t="s">
        <v>242</v>
      </c>
      <c r="D134" s="1" t="s">
        <v>103</v>
      </c>
      <c r="E134" s="1">
        <v>608</v>
      </c>
      <c r="F134" s="1">
        <v>608</v>
      </c>
      <c r="G134" s="1" t="s">
        <v>16</v>
      </c>
      <c r="H134" s="1" t="s">
        <v>17</v>
      </c>
      <c r="I134" s="1">
        <v>45</v>
      </c>
      <c r="J134" s="15">
        <v>28.673044999999998</v>
      </c>
      <c r="K134" s="15">
        <v>-81.486682999999999</v>
      </c>
    </row>
    <row r="135" spans="1:11" x14ac:dyDescent="0.3">
      <c r="A135" s="2" t="s">
        <v>12</v>
      </c>
      <c r="B135" s="2" t="s">
        <v>13</v>
      </c>
      <c r="C135" s="2" t="s">
        <v>14</v>
      </c>
      <c r="D135" s="1" t="s">
        <v>15</v>
      </c>
      <c r="E135" s="1">
        <v>607</v>
      </c>
      <c r="F135" s="1">
        <v>295</v>
      </c>
      <c r="G135" s="1" t="s">
        <v>16</v>
      </c>
      <c r="H135" s="1" t="s">
        <v>17</v>
      </c>
      <c r="I135" s="1">
        <v>45</v>
      </c>
      <c r="J135" s="15">
        <v>28.673034999999999</v>
      </c>
      <c r="K135" s="15">
        <v>-81.494208999999998</v>
      </c>
    </row>
    <row r="136" spans="1:11" x14ac:dyDescent="0.3">
      <c r="A136" s="2" t="s">
        <v>12</v>
      </c>
      <c r="B136" s="2" t="s">
        <v>13</v>
      </c>
      <c r="C136" s="2" t="s">
        <v>18</v>
      </c>
      <c r="D136" s="1" t="s">
        <v>15</v>
      </c>
      <c r="E136" s="1">
        <v>620</v>
      </c>
      <c r="F136" s="1">
        <v>295</v>
      </c>
      <c r="G136" s="1" t="s">
        <v>16</v>
      </c>
      <c r="H136" s="1" t="s">
        <v>17</v>
      </c>
      <c r="I136" s="1">
        <v>45</v>
      </c>
      <c r="J136" s="15">
        <v>28.673034999999999</v>
      </c>
      <c r="K136" s="15">
        <v>-81.490388999999993</v>
      </c>
    </row>
    <row r="137" spans="1:11" x14ac:dyDescent="0.3">
      <c r="A137" s="2" t="s">
        <v>12</v>
      </c>
      <c r="B137" s="2" t="s">
        <v>13</v>
      </c>
      <c r="C137" s="2" t="s">
        <v>19</v>
      </c>
      <c r="D137" s="1" t="s">
        <v>20</v>
      </c>
      <c r="E137" s="1">
        <v>621</v>
      </c>
      <c r="F137" s="1" t="s">
        <v>325</v>
      </c>
      <c r="G137" s="1" t="s">
        <v>16</v>
      </c>
      <c r="H137" s="1" t="s">
        <v>17</v>
      </c>
      <c r="I137" s="1">
        <v>45</v>
      </c>
      <c r="J137" s="15">
        <v>28.673020000000001</v>
      </c>
      <c r="K137" s="15">
        <v>-81.474620000000002</v>
      </c>
    </row>
    <row r="138" spans="1:11" x14ac:dyDescent="0.3">
      <c r="A138" s="2" t="s">
        <v>12</v>
      </c>
      <c r="B138" s="2" t="s">
        <v>13</v>
      </c>
      <c r="C138" s="2" t="s">
        <v>21</v>
      </c>
      <c r="D138" s="1" t="s">
        <v>20</v>
      </c>
      <c r="E138" s="1">
        <v>622</v>
      </c>
      <c r="F138" s="1" t="s">
        <v>326</v>
      </c>
      <c r="G138" s="1" t="s">
        <v>22</v>
      </c>
      <c r="H138" s="1" t="s">
        <v>17</v>
      </c>
      <c r="I138" s="1">
        <v>45</v>
      </c>
      <c r="J138" s="15">
        <v>28.672879999999999</v>
      </c>
      <c r="K138" s="15">
        <v>-81.463570000000004</v>
      </c>
    </row>
    <row r="139" spans="1:11" x14ac:dyDescent="0.3">
      <c r="A139" s="2" t="s">
        <v>71</v>
      </c>
      <c r="B139" s="2" t="s">
        <v>230</v>
      </c>
      <c r="C139" s="2" t="s">
        <v>232</v>
      </c>
      <c r="D139" s="1" t="s">
        <v>103</v>
      </c>
      <c r="E139" s="1">
        <v>601</v>
      </c>
      <c r="F139" s="1">
        <v>601</v>
      </c>
      <c r="G139" s="1" t="s">
        <v>39</v>
      </c>
      <c r="H139" s="1" t="s">
        <v>40</v>
      </c>
      <c r="I139" s="1">
        <v>40</v>
      </c>
      <c r="J139" s="15">
        <v>28.694793000000001</v>
      </c>
      <c r="K139" s="15">
        <v>-81.494719000000003</v>
      </c>
    </row>
    <row r="140" spans="1:11" x14ac:dyDescent="0.3">
      <c r="A140" s="2" t="s">
        <v>71</v>
      </c>
      <c r="B140" s="2" t="s">
        <v>230</v>
      </c>
      <c r="C140" s="2" t="s">
        <v>231</v>
      </c>
      <c r="D140" s="1" t="s">
        <v>103</v>
      </c>
      <c r="E140" s="1">
        <v>600</v>
      </c>
      <c r="F140" s="1">
        <v>600</v>
      </c>
      <c r="G140" s="1" t="s">
        <v>39</v>
      </c>
      <c r="H140" s="1" t="s">
        <v>40</v>
      </c>
      <c r="I140" s="1">
        <v>40</v>
      </c>
      <c r="J140" s="15">
        <v>28.694828000000001</v>
      </c>
      <c r="K140" s="15">
        <v>-81.505093000000002</v>
      </c>
    </row>
    <row r="141" spans="1:11" x14ac:dyDescent="0.3">
      <c r="A141" s="2" t="s">
        <v>71</v>
      </c>
      <c r="B141" s="2" t="s">
        <v>233</v>
      </c>
      <c r="C141" s="2" t="s">
        <v>234</v>
      </c>
      <c r="D141" s="1" t="s">
        <v>103</v>
      </c>
      <c r="E141" s="1">
        <v>507</v>
      </c>
      <c r="F141" s="1">
        <v>507</v>
      </c>
      <c r="G141" s="1" t="s">
        <v>39</v>
      </c>
      <c r="H141" s="1" t="s">
        <v>40</v>
      </c>
      <c r="I141" s="1">
        <v>35</v>
      </c>
      <c r="J141" s="15">
        <v>28.701846</v>
      </c>
      <c r="K141" s="15">
        <v>-81.546391999999997</v>
      </c>
    </row>
    <row r="142" spans="1:11" x14ac:dyDescent="0.3">
      <c r="A142" s="2" t="s">
        <v>71</v>
      </c>
      <c r="B142" s="2" t="s">
        <v>235</v>
      </c>
      <c r="C142" s="2" t="s">
        <v>236</v>
      </c>
      <c r="D142" s="1" t="s">
        <v>103</v>
      </c>
      <c r="E142" s="1">
        <v>701</v>
      </c>
      <c r="F142" s="1">
        <v>701</v>
      </c>
      <c r="G142" s="1" t="s">
        <v>39</v>
      </c>
      <c r="H142" s="1" t="s">
        <v>40</v>
      </c>
      <c r="I142" s="1">
        <v>45</v>
      </c>
      <c r="J142" s="15">
        <v>28.650791000000002</v>
      </c>
      <c r="K142" s="15">
        <v>-81.491611000000006</v>
      </c>
    </row>
    <row r="143" spans="1:11" x14ac:dyDescent="0.3">
      <c r="A143" s="2" t="s">
        <v>36</v>
      </c>
      <c r="B143" s="2" t="s">
        <v>56</v>
      </c>
      <c r="C143" s="2" t="s">
        <v>49</v>
      </c>
      <c r="D143" s="1" t="s">
        <v>103</v>
      </c>
      <c r="E143" s="1">
        <v>656</v>
      </c>
      <c r="F143" s="1">
        <v>656</v>
      </c>
      <c r="G143" s="1" t="s">
        <v>39</v>
      </c>
      <c r="H143" s="1" t="s">
        <v>40</v>
      </c>
      <c r="I143" s="1">
        <v>45</v>
      </c>
      <c r="J143" s="15">
        <v>28.648875</v>
      </c>
      <c r="K143" s="15">
        <v>-81.492849000000007</v>
      </c>
    </row>
    <row r="144" spans="1:11" x14ac:dyDescent="0.3">
      <c r="A144" s="2" t="s">
        <v>36</v>
      </c>
      <c r="B144" s="2" t="s">
        <v>56</v>
      </c>
      <c r="C144" s="2" t="s">
        <v>57</v>
      </c>
      <c r="D144" s="1" t="s">
        <v>20</v>
      </c>
      <c r="E144" s="1">
        <v>7006</v>
      </c>
      <c r="F144" s="1" t="s">
        <v>327</v>
      </c>
      <c r="G144" s="1" t="s">
        <v>39</v>
      </c>
      <c r="H144" s="1" t="s">
        <v>40</v>
      </c>
      <c r="I144" s="1">
        <v>45</v>
      </c>
      <c r="J144" s="15">
        <v>28.665299999999998</v>
      </c>
      <c r="K144" s="15">
        <v>-81.492850000000004</v>
      </c>
    </row>
    <row r="145" spans="1:11" x14ac:dyDescent="0.3">
      <c r="A145" s="2" t="s">
        <v>36</v>
      </c>
      <c r="B145" s="2" t="s">
        <v>56</v>
      </c>
      <c r="C145" s="2" t="s">
        <v>237</v>
      </c>
      <c r="D145" s="1" t="s">
        <v>103</v>
      </c>
      <c r="E145" s="1">
        <v>605</v>
      </c>
      <c r="F145" s="1">
        <v>605</v>
      </c>
      <c r="G145" s="1" t="s">
        <v>61</v>
      </c>
      <c r="H145" s="1" t="s">
        <v>40</v>
      </c>
      <c r="I145" s="1">
        <v>35</v>
      </c>
      <c r="J145" s="15">
        <v>28.671673999999999</v>
      </c>
      <c r="K145" s="15">
        <v>-81.492844000000005</v>
      </c>
    </row>
    <row r="146" spans="1:11" x14ac:dyDescent="0.3">
      <c r="A146" s="2" t="s">
        <v>36</v>
      </c>
      <c r="B146" s="2" t="s">
        <v>56</v>
      </c>
      <c r="C146" s="2" t="s">
        <v>58</v>
      </c>
      <c r="D146" s="1" t="s">
        <v>20</v>
      </c>
      <c r="E146" s="1">
        <v>7007</v>
      </c>
      <c r="F146" s="1" t="s">
        <v>328</v>
      </c>
      <c r="G146" s="1" t="s">
        <v>39</v>
      </c>
      <c r="H146" s="1" t="s">
        <v>40</v>
      </c>
      <c r="I146" s="1">
        <v>45</v>
      </c>
      <c r="J146" s="15">
        <v>28.6554</v>
      </c>
      <c r="K146" s="15">
        <v>-81.492900000000006</v>
      </c>
    </row>
    <row r="147" spans="1:11" x14ac:dyDescent="0.3">
      <c r="A147" s="2" t="s">
        <v>71</v>
      </c>
      <c r="B147" s="2" t="s">
        <v>243</v>
      </c>
      <c r="C147" s="2" t="s">
        <v>244</v>
      </c>
      <c r="D147" s="1" t="s">
        <v>103</v>
      </c>
      <c r="E147" s="1">
        <v>521</v>
      </c>
      <c r="F147" s="1">
        <v>521</v>
      </c>
      <c r="G147" s="1" t="s">
        <v>39</v>
      </c>
      <c r="H147" s="1" t="s">
        <v>40</v>
      </c>
      <c r="I147" s="1">
        <v>30</v>
      </c>
      <c r="J147" s="15">
        <v>28.687608999999998</v>
      </c>
      <c r="K147" s="15">
        <v>-81.511615000000006</v>
      </c>
    </row>
    <row r="148" spans="1:11" x14ac:dyDescent="0.3">
      <c r="A148" s="2" t="s">
        <v>71</v>
      </c>
      <c r="B148" s="2" t="s">
        <v>245</v>
      </c>
      <c r="C148" s="2" t="s">
        <v>246</v>
      </c>
      <c r="D148" s="1" t="s">
        <v>103</v>
      </c>
      <c r="E148" s="1">
        <v>611</v>
      </c>
      <c r="F148" s="1">
        <v>611</v>
      </c>
      <c r="G148" s="1" t="s">
        <v>39</v>
      </c>
      <c r="H148" s="1" t="s">
        <v>40</v>
      </c>
      <c r="I148" s="1">
        <v>30</v>
      </c>
      <c r="J148" s="15">
        <v>28.691244000000001</v>
      </c>
      <c r="K148" s="15">
        <v>-81.507973000000007</v>
      </c>
    </row>
    <row r="149" spans="1:11" x14ac:dyDescent="0.3">
      <c r="A149" s="2" t="s">
        <v>71</v>
      </c>
      <c r="B149" s="2" t="s">
        <v>95</v>
      </c>
      <c r="C149" s="2" t="s">
        <v>62</v>
      </c>
      <c r="D149" s="1" t="s">
        <v>20</v>
      </c>
      <c r="E149" s="1">
        <v>24</v>
      </c>
      <c r="F149" s="1" t="s">
        <v>329</v>
      </c>
      <c r="G149" s="1" t="s">
        <v>39</v>
      </c>
      <c r="H149" s="1" t="s">
        <v>40</v>
      </c>
      <c r="I149" s="1">
        <v>35</v>
      </c>
      <c r="J149" s="15">
        <v>28.675000000000001</v>
      </c>
      <c r="K149" s="15">
        <v>-81.488699999999994</v>
      </c>
    </row>
    <row r="150" spans="1:11" x14ac:dyDescent="0.3">
      <c r="A150" s="2" t="s">
        <v>71</v>
      </c>
      <c r="B150" s="2" t="s">
        <v>95</v>
      </c>
      <c r="C150" s="2" t="s">
        <v>60</v>
      </c>
      <c r="D150" s="1" t="s">
        <v>20</v>
      </c>
      <c r="E150" s="1">
        <v>429</v>
      </c>
      <c r="F150" s="1" t="s">
        <v>330</v>
      </c>
      <c r="G150" s="1" t="s">
        <v>39</v>
      </c>
      <c r="H150" s="1" t="s">
        <v>40</v>
      </c>
      <c r="I150" s="1">
        <v>45</v>
      </c>
      <c r="J150" s="15">
        <v>28.6876</v>
      </c>
      <c r="K150" s="15">
        <v>-81.488600000000005</v>
      </c>
    </row>
    <row r="151" spans="1:11" x14ac:dyDescent="0.3">
      <c r="A151" s="2" t="s">
        <v>12</v>
      </c>
      <c r="B151" s="2" t="s">
        <v>23</v>
      </c>
      <c r="C151" s="2" t="s">
        <v>212</v>
      </c>
      <c r="D151" s="1" t="s">
        <v>103</v>
      </c>
      <c r="E151" s="1">
        <v>552</v>
      </c>
      <c r="F151" s="1">
        <v>552</v>
      </c>
      <c r="G151" s="1" t="s">
        <v>31</v>
      </c>
      <c r="H151" s="1" t="s">
        <v>17</v>
      </c>
      <c r="I151" s="1">
        <v>45</v>
      </c>
      <c r="J151" s="15">
        <v>28.677952999999999</v>
      </c>
      <c r="K151" s="15">
        <v>-81.519496000000004</v>
      </c>
    </row>
    <row r="152" spans="1:11" x14ac:dyDescent="0.3">
      <c r="A152" s="2" t="s">
        <v>12</v>
      </c>
      <c r="B152" s="2" t="s">
        <v>23</v>
      </c>
      <c r="C152" s="2" t="s">
        <v>28</v>
      </c>
      <c r="D152" s="1" t="s">
        <v>20</v>
      </c>
      <c r="E152" s="1">
        <v>82.1</v>
      </c>
      <c r="F152" s="1" t="s">
        <v>331</v>
      </c>
      <c r="G152" s="1" t="s">
        <v>25</v>
      </c>
      <c r="H152" s="1" t="s">
        <v>17</v>
      </c>
      <c r="I152" s="1">
        <v>45</v>
      </c>
      <c r="J152" s="15">
        <v>28.689109999999999</v>
      </c>
      <c r="K152" s="15">
        <v>-81.543329999999997</v>
      </c>
    </row>
    <row r="153" spans="1:11" x14ac:dyDescent="0.3">
      <c r="A153" s="2" t="s">
        <v>12</v>
      </c>
      <c r="B153" s="2" t="s">
        <v>23</v>
      </c>
      <c r="C153" s="2" t="s">
        <v>247</v>
      </c>
      <c r="D153" s="1" t="s">
        <v>103</v>
      </c>
      <c r="E153" s="1">
        <v>661</v>
      </c>
      <c r="F153" s="1">
        <v>661</v>
      </c>
      <c r="G153" s="1" t="s">
        <v>25</v>
      </c>
      <c r="H153" s="1" t="s">
        <v>17</v>
      </c>
      <c r="I153" s="1">
        <v>45</v>
      </c>
      <c r="J153" s="15">
        <v>28.670839000000001</v>
      </c>
      <c r="K153" s="15">
        <v>-81.493902000000006</v>
      </c>
    </row>
    <row r="154" spans="1:11" x14ac:dyDescent="0.3">
      <c r="A154" s="2" t="s">
        <v>12</v>
      </c>
      <c r="B154" s="2" t="s">
        <v>23</v>
      </c>
      <c r="C154" s="2" t="s">
        <v>248</v>
      </c>
      <c r="D154" s="1" t="s">
        <v>103</v>
      </c>
      <c r="E154" s="1">
        <v>530</v>
      </c>
      <c r="F154" s="1">
        <v>530</v>
      </c>
      <c r="G154" s="1" t="s">
        <v>25</v>
      </c>
      <c r="H154" s="1" t="s">
        <v>17</v>
      </c>
      <c r="I154" s="1">
        <v>55</v>
      </c>
      <c r="J154" s="15">
        <v>28.699877000000001</v>
      </c>
      <c r="K154" s="15">
        <v>-81.573505999999995</v>
      </c>
    </row>
    <row r="155" spans="1:11" x14ac:dyDescent="0.3">
      <c r="A155" s="2" t="s">
        <v>12</v>
      </c>
      <c r="B155" s="2" t="s">
        <v>23</v>
      </c>
      <c r="C155" s="2" t="s">
        <v>250</v>
      </c>
      <c r="D155" s="1" t="s">
        <v>103</v>
      </c>
      <c r="E155" s="1">
        <v>609</v>
      </c>
      <c r="F155" s="1">
        <v>609</v>
      </c>
      <c r="G155" s="1" t="s">
        <v>31</v>
      </c>
      <c r="H155" s="1" t="s">
        <v>17</v>
      </c>
      <c r="I155" s="1">
        <v>35</v>
      </c>
      <c r="J155" s="15">
        <v>28.673093999999999</v>
      </c>
      <c r="K155" s="15">
        <v>-81.503467999999998</v>
      </c>
    </row>
    <row r="156" spans="1:11" x14ac:dyDescent="0.3">
      <c r="A156" s="2" t="s">
        <v>12</v>
      </c>
      <c r="B156" s="2" t="s">
        <v>23</v>
      </c>
      <c r="C156" s="2" t="s">
        <v>24</v>
      </c>
      <c r="D156" s="1" t="s">
        <v>20</v>
      </c>
      <c r="E156" s="1">
        <v>2.1</v>
      </c>
      <c r="F156" s="1" t="s">
        <v>332</v>
      </c>
      <c r="G156" s="1" t="s">
        <v>25</v>
      </c>
      <c r="H156" s="1" t="s">
        <v>17</v>
      </c>
      <c r="I156" s="1">
        <v>55</v>
      </c>
      <c r="J156" s="15">
        <v>28.725519999999999</v>
      </c>
      <c r="K156" s="15">
        <v>-81.599810000000005</v>
      </c>
    </row>
    <row r="157" spans="1:11" ht="15" customHeight="1" x14ac:dyDescent="0.3">
      <c r="A157" s="2" t="s">
        <v>12</v>
      </c>
      <c r="B157" s="2" t="s">
        <v>23</v>
      </c>
      <c r="C157" s="2" t="s">
        <v>26</v>
      </c>
      <c r="D157" s="1" t="s">
        <v>15</v>
      </c>
      <c r="E157" s="1">
        <v>940</v>
      </c>
      <c r="F157" s="1" t="s">
        <v>27</v>
      </c>
      <c r="G157" s="1" t="s">
        <v>25</v>
      </c>
      <c r="H157" s="1" t="s">
        <v>17</v>
      </c>
      <c r="I157" s="1">
        <v>45</v>
      </c>
      <c r="J157" s="15">
        <v>28.695148</v>
      </c>
      <c r="K157" s="15">
        <v>-81.559980999999993</v>
      </c>
    </row>
    <row r="158" spans="1:11" x14ac:dyDescent="0.3">
      <c r="A158" s="2" t="s">
        <v>12</v>
      </c>
      <c r="B158" s="2" t="s">
        <v>23</v>
      </c>
      <c r="C158" s="2" t="s">
        <v>199</v>
      </c>
      <c r="D158" s="1" t="s">
        <v>103</v>
      </c>
      <c r="E158" s="1">
        <v>531</v>
      </c>
      <c r="F158" s="1">
        <v>531</v>
      </c>
      <c r="G158" s="1" t="s">
        <v>25</v>
      </c>
      <c r="H158" s="1" t="s">
        <v>17</v>
      </c>
      <c r="I158" s="1">
        <v>45</v>
      </c>
      <c r="J158" s="15">
        <v>28.680323000000001</v>
      </c>
      <c r="K158" s="15">
        <v>-81.522827000000007</v>
      </c>
    </row>
    <row r="159" spans="1:11" x14ac:dyDescent="0.3">
      <c r="A159" s="2" t="s">
        <v>12</v>
      </c>
      <c r="B159" s="2" t="s">
        <v>23</v>
      </c>
      <c r="C159" s="2" t="s">
        <v>29</v>
      </c>
      <c r="D159" s="1" t="s">
        <v>15</v>
      </c>
      <c r="E159" s="1">
        <v>551</v>
      </c>
      <c r="F159" s="1" t="s">
        <v>331</v>
      </c>
      <c r="G159" s="1" t="s">
        <v>25</v>
      </c>
      <c r="H159" s="1" t="s">
        <v>17</v>
      </c>
      <c r="I159" s="1">
        <v>45</v>
      </c>
      <c r="J159" s="15">
        <v>28.685047999999998</v>
      </c>
      <c r="K159" s="15">
        <v>-81.532719</v>
      </c>
    </row>
    <row r="160" spans="1:11" x14ac:dyDescent="0.3">
      <c r="A160" s="2" t="s">
        <v>12</v>
      </c>
      <c r="B160" s="2" t="s">
        <v>23</v>
      </c>
      <c r="C160" s="2" t="s">
        <v>32</v>
      </c>
      <c r="D160" s="1" t="s">
        <v>15</v>
      </c>
      <c r="E160" s="1">
        <v>5099</v>
      </c>
      <c r="F160" s="1" t="s">
        <v>333</v>
      </c>
      <c r="G160" s="1" t="s">
        <v>31</v>
      </c>
      <c r="H160" s="1" t="s">
        <v>17</v>
      </c>
      <c r="I160" s="1">
        <v>35</v>
      </c>
      <c r="J160" s="15">
        <v>28.673113000000001</v>
      </c>
      <c r="K160" s="15">
        <v>-81.510487999999995</v>
      </c>
    </row>
    <row r="161" spans="1:11" x14ac:dyDescent="0.3">
      <c r="A161" s="2" t="s">
        <v>12</v>
      </c>
      <c r="B161" s="2" t="s">
        <v>23</v>
      </c>
      <c r="C161" s="2" t="s">
        <v>30</v>
      </c>
      <c r="D161" s="1" t="s">
        <v>15</v>
      </c>
      <c r="E161" s="1">
        <v>287</v>
      </c>
      <c r="F161" s="1" t="s">
        <v>333</v>
      </c>
      <c r="G161" s="1" t="s">
        <v>31</v>
      </c>
      <c r="H161" s="1" t="s">
        <v>17</v>
      </c>
      <c r="I161" s="1">
        <v>35</v>
      </c>
      <c r="J161" s="15">
        <v>28.675775999999999</v>
      </c>
      <c r="K161" s="15">
        <v>-81.516276000000005</v>
      </c>
    </row>
    <row r="162" spans="1:11" x14ac:dyDescent="0.3">
      <c r="A162" s="2" t="s">
        <v>12</v>
      </c>
      <c r="B162" s="2" t="s">
        <v>23</v>
      </c>
      <c r="C162" s="2" t="s">
        <v>21</v>
      </c>
      <c r="D162" s="1" t="s">
        <v>20</v>
      </c>
      <c r="E162" s="1">
        <v>33</v>
      </c>
      <c r="F162" s="1" t="s">
        <v>296</v>
      </c>
      <c r="G162" s="1" t="s">
        <v>25</v>
      </c>
      <c r="H162" s="1" t="s">
        <v>17</v>
      </c>
      <c r="I162" s="1">
        <v>55</v>
      </c>
      <c r="J162" s="15">
        <v>28.644515999999999</v>
      </c>
      <c r="K162" s="15">
        <v>-81.459744999999998</v>
      </c>
    </row>
    <row r="163" spans="1:11" x14ac:dyDescent="0.3">
      <c r="A163" s="2" t="s">
        <v>12</v>
      </c>
      <c r="B163" s="2" t="s">
        <v>23</v>
      </c>
      <c r="C163" s="2" t="s">
        <v>19</v>
      </c>
      <c r="D163" s="1" t="s">
        <v>20</v>
      </c>
      <c r="E163" s="1">
        <v>660</v>
      </c>
      <c r="F163" s="1" t="s">
        <v>334</v>
      </c>
      <c r="G163" s="1" t="s">
        <v>25</v>
      </c>
      <c r="H163" s="1" t="s">
        <v>17</v>
      </c>
      <c r="I163" s="1">
        <v>55</v>
      </c>
      <c r="J163" s="15">
        <v>28.657240000000002</v>
      </c>
      <c r="K163" s="15">
        <v>-81.473680000000002</v>
      </c>
    </row>
    <row r="164" spans="1:11" x14ac:dyDescent="0.3">
      <c r="A164" s="2" t="s">
        <v>12</v>
      </c>
      <c r="B164" s="2" t="s">
        <v>23</v>
      </c>
      <c r="C164" s="2" t="s">
        <v>249</v>
      </c>
      <c r="D164" s="1" t="s">
        <v>103</v>
      </c>
      <c r="E164" s="1">
        <v>550</v>
      </c>
      <c r="F164" s="1">
        <v>550</v>
      </c>
      <c r="G164" s="1" t="s">
        <v>25</v>
      </c>
      <c r="H164" s="1" t="s">
        <v>17</v>
      </c>
      <c r="I164" s="1">
        <v>45</v>
      </c>
      <c r="J164" s="15">
        <v>28.691621999999999</v>
      </c>
      <c r="K164" s="15">
        <v>-81.551488000000006</v>
      </c>
    </row>
    <row r="165" spans="1:11" x14ac:dyDescent="0.3">
      <c r="A165" s="2" t="s">
        <v>12</v>
      </c>
      <c r="B165" s="2" t="s">
        <v>23</v>
      </c>
      <c r="C165" s="2" t="s">
        <v>34</v>
      </c>
      <c r="D165" s="1" t="s">
        <v>15</v>
      </c>
      <c r="E165" s="1">
        <v>5096</v>
      </c>
      <c r="F165" s="1" t="s">
        <v>335</v>
      </c>
      <c r="G165" s="1" t="s">
        <v>25</v>
      </c>
      <c r="H165" s="1" t="s">
        <v>17</v>
      </c>
      <c r="I165" s="1">
        <v>35</v>
      </c>
      <c r="J165" s="15">
        <v>28.673138999999999</v>
      </c>
      <c r="K165" s="15">
        <v>-81.499674999999996</v>
      </c>
    </row>
    <row r="166" spans="1:11" x14ac:dyDescent="0.3">
      <c r="A166" s="2" t="s">
        <v>12</v>
      </c>
      <c r="B166" s="2" t="s">
        <v>23</v>
      </c>
      <c r="C166" s="2" t="s">
        <v>33</v>
      </c>
      <c r="D166" s="1" t="s">
        <v>20</v>
      </c>
      <c r="E166" s="1">
        <v>5098</v>
      </c>
      <c r="F166" s="1" t="s">
        <v>335</v>
      </c>
      <c r="G166" s="1" t="s">
        <v>31</v>
      </c>
      <c r="H166" s="1" t="s">
        <v>17</v>
      </c>
      <c r="I166" s="1">
        <v>35</v>
      </c>
      <c r="J166" s="15">
        <v>28.673114000000002</v>
      </c>
      <c r="K166" s="15">
        <v>-81.508020999999999</v>
      </c>
    </row>
    <row r="167" spans="1:11" x14ac:dyDescent="0.3">
      <c r="A167" s="2" t="s">
        <v>12</v>
      </c>
      <c r="B167" s="2" t="s">
        <v>23</v>
      </c>
      <c r="C167" s="2" t="s">
        <v>35</v>
      </c>
      <c r="D167" s="1" t="s">
        <v>20</v>
      </c>
      <c r="E167" s="1">
        <v>7075</v>
      </c>
      <c r="F167" s="1" t="s">
        <v>336</v>
      </c>
      <c r="G167" s="1" t="s">
        <v>25</v>
      </c>
      <c r="H167" s="1" t="s">
        <v>17</v>
      </c>
      <c r="I167" s="1">
        <v>45</v>
      </c>
      <c r="J167" s="15">
        <v>28.667459999999998</v>
      </c>
      <c r="K167" s="15">
        <v>-81.488020000000006</v>
      </c>
    </row>
    <row r="168" spans="1:11" x14ac:dyDescent="0.3">
      <c r="A168" s="2" t="s">
        <v>71</v>
      </c>
      <c r="B168" s="2" t="s">
        <v>251</v>
      </c>
      <c r="C168" s="2" t="s">
        <v>46</v>
      </c>
      <c r="D168" s="1" t="s">
        <v>103</v>
      </c>
      <c r="E168" s="1">
        <v>610</v>
      </c>
      <c r="F168" s="1">
        <v>610</v>
      </c>
      <c r="G168" s="1" t="s">
        <v>39</v>
      </c>
      <c r="H168" s="1" t="s">
        <v>40</v>
      </c>
      <c r="I168" s="1">
        <v>30</v>
      </c>
      <c r="J168" s="15">
        <v>28.698481000000001</v>
      </c>
      <c r="K168" s="15">
        <v>-81.500912999999997</v>
      </c>
    </row>
    <row r="169" spans="1:11" x14ac:dyDescent="0.3">
      <c r="A169" s="2" t="s">
        <v>71</v>
      </c>
      <c r="B169" s="2" t="s">
        <v>251</v>
      </c>
      <c r="C169" s="2" t="s">
        <v>252</v>
      </c>
      <c r="D169" s="1" t="s">
        <v>103</v>
      </c>
      <c r="E169" s="1">
        <v>612</v>
      </c>
      <c r="F169" s="1">
        <v>612</v>
      </c>
      <c r="G169" s="1" t="s">
        <v>39</v>
      </c>
      <c r="H169" s="1" t="s">
        <v>40</v>
      </c>
      <c r="I169" s="1">
        <v>30</v>
      </c>
      <c r="J169" s="15">
        <v>28.692568999999999</v>
      </c>
      <c r="K169" s="15">
        <v>-81.500943000000007</v>
      </c>
    </row>
    <row r="170" spans="1:11" x14ac:dyDescent="0.3">
      <c r="A170" s="2" t="s">
        <v>71</v>
      </c>
      <c r="B170" s="2" t="s">
        <v>96</v>
      </c>
      <c r="C170" s="2" t="s">
        <v>253</v>
      </c>
      <c r="D170" s="1" t="s">
        <v>103</v>
      </c>
      <c r="E170" s="1">
        <v>502</v>
      </c>
      <c r="F170" s="1">
        <v>502</v>
      </c>
      <c r="G170" s="1" t="s">
        <v>254</v>
      </c>
      <c r="H170" s="1" t="s">
        <v>40</v>
      </c>
      <c r="I170" s="1">
        <v>35</v>
      </c>
      <c r="J170" s="15">
        <v>28.701483</v>
      </c>
      <c r="K170" s="15">
        <v>-81.525636000000006</v>
      </c>
    </row>
    <row r="171" spans="1:11" x14ac:dyDescent="0.3">
      <c r="A171" s="2" t="s">
        <v>71</v>
      </c>
      <c r="B171" s="2" t="s">
        <v>96</v>
      </c>
      <c r="C171" s="2" t="s">
        <v>97</v>
      </c>
      <c r="D171" s="1" t="s">
        <v>20</v>
      </c>
      <c r="E171" s="1">
        <v>8150</v>
      </c>
      <c r="F171" s="1" t="s">
        <v>337</v>
      </c>
      <c r="G171" s="1" t="s">
        <v>25</v>
      </c>
      <c r="H171" s="1" t="s">
        <v>40</v>
      </c>
      <c r="I171" s="1">
        <v>35</v>
      </c>
      <c r="J171" s="15">
        <v>28.690321999999998</v>
      </c>
      <c r="K171" s="15">
        <v>-81.525852999999998</v>
      </c>
    </row>
    <row r="172" spans="1:11" x14ac:dyDescent="0.3">
      <c r="A172" s="2" t="s">
        <v>71</v>
      </c>
      <c r="B172" s="2" t="s">
        <v>96</v>
      </c>
      <c r="C172" s="2" t="s">
        <v>98</v>
      </c>
      <c r="D172" s="1" t="s">
        <v>20</v>
      </c>
      <c r="E172" s="1">
        <v>8151</v>
      </c>
      <c r="F172" s="1" t="s">
        <v>338</v>
      </c>
      <c r="G172" s="1" t="s">
        <v>39</v>
      </c>
      <c r="H172" s="1" t="s">
        <v>40</v>
      </c>
      <c r="I172" s="1">
        <v>35</v>
      </c>
      <c r="J172" s="15">
        <v>28.719294999999999</v>
      </c>
      <c r="K172" s="15">
        <v>-81.525531000000001</v>
      </c>
    </row>
    <row r="173" spans="1:11" x14ac:dyDescent="0.3">
      <c r="A173" s="2" t="s">
        <v>71</v>
      </c>
      <c r="B173" s="2" t="s">
        <v>96</v>
      </c>
      <c r="C173" s="2" t="s">
        <v>255</v>
      </c>
      <c r="D173" s="1" t="s">
        <v>103</v>
      </c>
      <c r="E173" s="1">
        <v>503</v>
      </c>
      <c r="F173" s="1">
        <v>503</v>
      </c>
      <c r="G173" s="1" t="s">
        <v>39</v>
      </c>
      <c r="H173" s="1" t="s">
        <v>40</v>
      </c>
      <c r="I173" s="1">
        <v>35</v>
      </c>
      <c r="J173" s="15">
        <v>28.707992999999998</v>
      </c>
      <c r="K173" s="15">
        <v>-81.525825999999995</v>
      </c>
    </row>
    <row r="174" spans="1:11" x14ac:dyDescent="0.3">
      <c r="A174" s="2" t="s">
        <v>71</v>
      </c>
      <c r="B174" s="2" t="s">
        <v>96</v>
      </c>
      <c r="C174" s="2" t="s">
        <v>256</v>
      </c>
      <c r="D174" s="1" t="s">
        <v>103</v>
      </c>
      <c r="E174" s="1">
        <v>532</v>
      </c>
      <c r="F174" s="1">
        <v>532</v>
      </c>
      <c r="G174" s="1" t="s">
        <v>254</v>
      </c>
      <c r="H174" s="1" t="s">
        <v>40</v>
      </c>
      <c r="I174" s="1">
        <v>35</v>
      </c>
      <c r="J174" s="15">
        <v>28.690321999999998</v>
      </c>
      <c r="K174" s="15">
        <v>-81.525852999999998</v>
      </c>
    </row>
    <row r="175" spans="1:11" x14ac:dyDescent="0.3">
      <c r="A175" s="2" t="s">
        <v>71</v>
      </c>
      <c r="B175" s="2" t="s">
        <v>96</v>
      </c>
      <c r="C175" s="2" t="s">
        <v>257</v>
      </c>
      <c r="D175" s="1" t="s">
        <v>103</v>
      </c>
      <c r="E175" s="1">
        <v>533</v>
      </c>
      <c r="F175" s="1">
        <v>533</v>
      </c>
      <c r="G175" s="1" t="s">
        <v>39</v>
      </c>
      <c r="H175" s="1" t="s">
        <v>40</v>
      </c>
      <c r="I175" s="1">
        <v>35</v>
      </c>
      <c r="J175" s="15">
        <v>28.712257000000001</v>
      </c>
      <c r="K175" s="15">
        <v>-81.525497000000001</v>
      </c>
    </row>
    <row r="176" spans="1:11" x14ac:dyDescent="0.3">
      <c r="A176" s="2" t="s">
        <v>71</v>
      </c>
      <c r="B176" s="2" t="s">
        <v>96</v>
      </c>
      <c r="C176" s="2" t="s">
        <v>258</v>
      </c>
      <c r="D176" s="1" t="s">
        <v>103</v>
      </c>
      <c r="E176" s="1">
        <v>525</v>
      </c>
      <c r="F176" s="1">
        <v>525</v>
      </c>
      <c r="G176" s="1" t="s">
        <v>25</v>
      </c>
      <c r="H176" s="1" t="s">
        <v>40</v>
      </c>
      <c r="I176" s="1">
        <v>35</v>
      </c>
      <c r="J176" s="15">
        <v>28.683391</v>
      </c>
      <c r="K176" s="15">
        <v>-81.526646999999997</v>
      </c>
    </row>
    <row r="177" spans="1:11" x14ac:dyDescent="0.3">
      <c r="A177" s="2" t="s">
        <v>71</v>
      </c>
      <c r="B177" s="2" t="s">
        <v>259</v>
      </c>
      <c r="C177" s="2" t="s">
        <v>260</v>
      </c>
      <c r="D177" s="1" t="s">
        <v>103</v>
      </c>
      <c r="E177" s="1">
        <v>534</v>
      </c>
      <c r="F177" s="1">
        <v>534</v>
      </c>
      <c r="G177" s="1" t="s">
        <v>39</v>
      </c>
      <c r="H177" s="1" t="s">
        <v>40</v>
      </c>
      <c r="I177" s="1">
        <v>35</v>
      </c>
      <c r="J177" s="15">
        <v>28.721450000000001</v>
      </c>
      <c r="K177" s="15">
        <v>-81.525713999999994</v>
      </c>
    </row>
    <row r="178" spans="1:11" x14ac:dyDescent="0.3">
      <c r="A178" s="2" t="s">
        <v>71</v>
      </c>
      <c r="B178" s="2" t="s">
        <v>261</v>
      </c>
      <c r="C178" s="2" t="s">
        <v>70</v>
      </c>
      <c r="D178" s="1" t="s">
        <v>103</v>
      </c>
      <c r="E178" s="1">
        <v>627</v>
      </c>
      <c r="F178" s="1">
        <v>627</v>
      </c>
      <c r="G178" s="1" t="s">
        <v>39</v>
      </c>
      <c r="H178" s="1" t="s">
        <v>40</v>
      </c>
      <c r="I178" s="1">
        <v>45</v>
      </c>
      <c r="J178" s="15">
        <v>28.683800000000002</v>
      </c>
      <c r="K178" s="15">
        <v>-81.474836999999994</v>
      </c>
    </row>
    <row r="179" spans="1:11" x14ac:dyDescent="0.3">
      <c r="A179" s="2" t="s">
        <v>71</v>
      </c>
      <c r="B179" s="2" t="s">
        <v>261</v>
      </c>
      <c r="C179" s="2" t="s">
        <v>263</v>
      </c>
      <c r="D179" s="1" t="s">
        <v>103</v>
      </c>
      <c r="E179" s="1">
        <v>626</v>
      </c>
      <c r="F179" s="1">
        <v>626</v>
      </c>
      <c r="G179" s="1" t="s">
        <v>39</v>
      </c>
      <c r="H179" s="1" t="s">
        <v>40</v>
      </c>
      <c r="I179" s="1">
        <v>45</v>
      </c>
      <c r="J179" s="15">
        <v>28.683873999999999</v>
      </c>
      <c r="K179" s="15">
        <v>-81.493853999999999</v>
      </c>
    </row>
    <row r="180" spans="1:11" x14ac:dyDescent="0.3">
      <c r="A180" s="2" t="s">
        <v>71</v>
      </c>
      <c r="B180" s="2" t="s">
        <v>261</v>
      </c>
      <c r="C180" s="2" t="s">
        <v>262</v>
      </c>
      <c r="D180" s="1" t="s">
        <v>103</v>
      </c>
      <c r="E180" s="1">
        <v>625</v>
      </c>
      <c r="F180" s="1">
        <v>625</v>
      </c>
      <c r="G180" s="1" t="s">
        <v>39</v>
      </c>
      <c r="H180" s="1" t="s">
        <v>40</v>
      </c>
      <c r="I180" s="1">
        <v>45</v>
      </c>
      <c r="J180" s="15">
        <v>28.683903999999998</v>
      </c>
      <c r="K180" s="15">
        <v>-81.501125999999999</v>
      </c>
    </row>
    <row r="181" spans="1:11" x14ac:dyDescent="0.3">
      <c r="A181" s="2" t="s">
        <v>36</v>
      </c>
      <c r="B181" s="2" t="s">
        <v>59</v>
      </c>
      <c r="C181" s="2" t="s">
        <v>265</v>
      </c>
      <c r="D181" s="1" t="s">
        <v>103</v>
      </c>
      <c r="E181" s="1">
        <v>606</v>
      </c>
      <c r="F181" s="1">
        <v>606</v>
      </c>
      <c r="G181" s="1" t="s">
        <v>31</v>
      </c>
      <c r="H181" s="1" t="s">
        <v>40</v>
      </c>
      <c r="I181" s="1">
        <v>45</v>
      </c>
      <c r="J181" s="15">
        <v>28.66001</v>
      </c>
      <c r="K181" s="15">
        <v>-81.470015000000004</v>
      </c>
    </row>
    <row r="182" spans="1:11" x14ac:dyDescent="0.3">
      <c r="A182" s="2" t="s">
        <v>36</v>
      </c>
      <c r="B182" s="2" t="s">
        <v>59</v>
      </c>
      <c r="C182" s="2" t="s">
        <v>60</v>
      </c>
      <c r="D182" s="1" t="s">
        <v>20</v>
      </c>
      <c r="E182" s="1">
        <v>799</v>
      </c>
      <c r="F182" s="1" t="s">
        <v>339</v>
      </c>
      <c r="G182" s="1" t="s">
        <v>61</v>
      </c>
      <c r="H182" s="1" t="s">
        <v>40</v>
      </c>
      <c r="I182" s="1">
        <v>45</v>
      </c>
      <c r="J182" s="15">
        <v>28.705749999999998</v>
      </c>
      <c r="K182" s="15">
        <v>-81.467699999999994</v>
      </c>
    </row>
    <row r="183" spans="1:11" x14ac:dyDescent="0.3">
      <c r="A183" s="2" t="s">
        <v>36</v>
      </c>
      <c r="B183" s="2" t="s">
        <v>59</v>
      </c>
      <c r="C183" s="2" t="s">
        <v>62</v>
      </c>
      <c r="D183" s="1" t="s">
        <v>20</v>
      </c>
      <c r="E183" s="1">
        <v>25</v>
      </c>
      <c r="F183" s="1" t="s">
        <v>340</v>
      </c>
      <c r="G183" s="1" t="s">
        <v>31</v>
      </c>
      <c r="H183" s="1" t="s">
        <v>40</v>
      </c>
      <c r="I183" s="1">
        <v>45</v>
      </c>
      <c r="J183" s="15">
        <v>28.680720000000001</v>
      </c>
      <c r="K183" s="15">
        <v>-81.468170000000001</v>
      </c>
    </row>
    <row r="184" spans="1:11" x14ac:dyDescent="0.3">
      <c r="A184" s="2" t="s">
        <v>36</v>
      </c>
      <c r="B184" s="2" t="s">
        <v>59</v>
      </c>
      <c r="C184" s="2" t="s">
        <v>63</v>
      </c>
      <c r="D184" s="1" t="s">
        <v>20</v>
      </c>
      <c r="E184" s="1">
        <v>330</v>
      </c>
      <c r="F184" s="1" t="s">
        <v>341</v>
      </c>
      <c r="G184" s="1" t="s">
        <v>31</v>
      </c>
      <c r="H184" s="1" t="s">
        <v>40</v>
      </c>
      <c r="I184" s="1">
        <v>45</v>
      </c>
      <c r="J184" s="15">
        <v>28.668800000000001</v>
      </c>
      <c r="K184" s="15">
        <v>-81.4679</v>
      </c>
    </row>
    <row r="185" spans="1:11" x14ac:dyDescent="0.3">
      <c r="A185" s="2" t="s">
        <v>36</v>
      </c>
      <c r="B185" s="2" t="s">
        <v>59</v>
      </c>
      <c r="C185" s="2" t="s">
        <v>64</v>
      </c>
      <c r="D185" s="1" t="s">
        <v>20</v>
      </c>
      <c r="E185" s="1">
        <v>331</v>
      </c>
      <c r="F185" s="1" t="s">
        <v>342</v>
      </c>
      <c r="G185" s="1" t="s">
        <v>25</v>
      </c>
      <c r="H185" s="1" t="s">
        <v>40</v>
      </c>
      <c r="I185" s="1">
        <v>45</v>
      </c>
      <c r="J185" s="15">
        <v>28.649847999999999</v>
      </c>
      <c r="K185" s="15">
        <v>-81.470854000000003</v>
      </c>
    </row>
    <row r="186" spans="1:11" x14ac:dyDescent="0.3">
      <c r="A186" s="2" t="s">
        <v>36</v>
      </c>
      <c r="B186" s="2" t="s">
        <v>59</v>
      </c>
      <c r="C186" s="2" t="s">
        <v>65</v>
      </c>
      <c r="D186" s="1" t="s">
        <v>20</v>
      </c>
      <c r="E186" s="1">
        <v>222</v>
      </c>
      <c r="F186" s="1" t="s">
        <v>343</v>
      </c>
      <c r="G186" s="1" t="s">
        <v>25</v>
      </c>
      <c r="H186" s="1" t="s">
        <v>40</v>
      </c>
      <c r="I186" s="1">
        <v>45</v>
      </c>
      <c r="J186" s="15">
        <v>28.639026000000001</v>
      </c>
      <c r="K186" s="15">
        <v>-81.474743000000004</v>
      </c>
    </row>
    <row r="187" spans="1:11" x14ac:dyDescent="0.3">
      <c r="A187" s="2" t="s">
        <v>36</v>
      </c>
      <c r="B187" s="2" t="s">
        <v>59</v>
      </c>
      <c r="C187" s="2" t="s">
        <v>66</v>
      </c>
      <c r="D187" s="1" t="s">
        <v>20</v>
      </c>
      <c r="E187" s="1">
        <v>65</v>
      </c>
      <c r="F187" s="1" t="s">
        <v>344</v>
      </c>
      <c r="G187" s="1" t="s">
        <v>25</v>
      </c>
      <c r="H187" s="1" t="s">
        <v>40</v>
      </c>
      <c r="I187" s="1">
        <v>45</v>
      </c>
      <c r="J187" s="15">
        <v>28.619543</v>
      </c>
      <c r="K187" s="15">
        <v>-81.476222000000007</v>
      </c>
    </row>
    <row r="188" spans="1:11" x14ac:dyDescent="0.3">
      <c r="A188" s="2" t="s">
        <v>36</v>
      </c>
      <c r="B188" s="2" t="s">
        <v>59</v>
      </c>
      <c r="C188" s="2" t="s">
        <v>264</v>
      </c>
      <c r="D188" s="1" t="s">
        <v>103</v>
      </c>
      <c r="E188" s="1">
        <v>223</v>
      </c>
      <c r="F188" s="1">
        <v>223</v>
      </c>
      <c r="G188" s="1" t="s">
        <v>25</v>
      </c>
      <c r="H188" s="1" t="s">
        <v>40</v>
      </c>
      <c r="I188" s="1">
        <v>45</v>
      </c>
      <c r="J188" s="15">
        <v>28.629557999999999</v>
      </c>
      <c r="K188" s="15">
        <v>-81.476451999999995</v>
      </c>
    </row>
    <row r="189" spans="1:11" x14ac:dyDescent="0.3">
      <c r="A189" s="2" t="s">
        <v>36</v>
      </c>
      <c r="B189" s="2" t="s">
        <v>67</v>
      </c>
      <c r="C189" s="2" t="s">
        <v>69</v>
      </c>
      <c r="D189" s="1" t="s">
        <v>20</v>
      </c>
      <c r="E189" s="1">
        <v>7049</v>
      </c>
      <c r="F189" s="1" t="s">
        <v>345</v>
      </c>
      <c r="G189" s="1" t="s">
        <v>39</v>
      </c>
      <c r="H189" s="1" t="s">
        <v>40</v>
      </c>
      <c r="I189" s="1">
        <v>45</v>
      </c>
      <c r="J189" s="15">
        <v>28.70598</v>
      </c>
      <c r="K189" s="15">
        <v>-81.498900000000006</v>
      </c>
    </row>
    <row r="190" spans="1:11" x14ac:dyDescent="0.3">
      <c r="A190" s="2" t="s">
        <v>36</v>
      </c>
      <c r="B190" s="2" t="s">
        <v>67</v>
      </c>
      <c r="C190" s="2" t="s">
        <v>68</v>
      </c>
      <c r="D190" s="1" t="s">
        <v>20</v>
      </c>
      <c r="E190" s="1">
        <v>501</v>
      </c>
      <c r="F190" s="1" t="s">
        <v>346</v>
      </c>
      <c r="G190" s="1" t="s">
        <v>39</v>
      </c>
      <c r="H190" s="1" t="s">
        <v>40</v>
      </c>
      <c r="I190" s="1">
        <v>35</v>
      </c>
      <c r="J190" s="15">
        <v>28.70599</v>
      </c>
      <c r="K190" s="15">
        <v>-81.515240000000006</v>
      </c>
    </row>
    <row r="191" spans="1:11" x14ac:dyDescent="0.3">
      <c r="A191" s="2" t="s">
        <v>36</v>
      </c>
      <c r="B191" s="2" t="s">
        <v>67</v>
      </c>
      <c r="C191" s="2" t="s">
        <v>70</v>
      </c>
      <c r="D191" s="1" t="s">
        <v>20</v>
      </c>
      <c r="E191" s="1">
        <v>22</v>
      </c>
      <c r="F191" s="1" t="s">
        <v>345</v>
      </c>
      <c r="G191" s="1" t="s">
        <v>39</v>
      </c>
      <c r="H191" s="1" t="s">
        <v>40</v>
      </c>
      <c r="I191" s="1">
        <v>45</v>
      </c>
      <c r="J191" s="15">
        <v>28.705670000000001</v>
      </c>
      <c r="K191" s="15">
        <v>-81.486220000000003</v>
      </c>
    </row>
    <row r="192" spans="1:11" x14ac:dyDescent="0.3">
      <c r="A192" s="2" t="s">
        <v>36</v>
      </c>
      <c r="B192" s="2" t="s">
        <v>67</v>
      </c>
      <c r="C192" s="2" t="s">
        <v>266</v>
      </c>
      <c r="D192" s="1" t="s">
        <v>103</v>
      </c>
      <c r="E192" s="1">
        <v>624</v>
      </c>
      <c r="F192" s="1">
        <v>624</v>
      </c>
      <c r="G192" s="1" t="s">
        <v>61</v>
      </c>
      <c r="H192" s="1" t="s">
        <v>40</v>
      </c>
      <c r="I192" s="1">
        <v>45</v>
      </c>
      <c r="J192" s="15">
        <v>28.675533999999999</v>
      </c>
      <c r="K192" s="15">
        <v>-81.511075000000005</v>
      </c>
    </row>
    <row r="193" spans="1:11" x14ac:dyDescent="0.3">
      <c r="A193" s="2" t="s">
        <v>71</v>
      </c>
      <c r="B193" s="2" t="s">
        <v>267</v>
      </c>
      <c r="C193" s="2" t="s">
        <v>268</v>
      </c>
      <c r="D193" s="1" t="s">
        <v>103</v>
      </c>
      <c r="E193" s="1">
        <v>700</v>
      </c>
      <c r="F193" s="1">
        <v>700</v>
      </c>
      <c r="G193" s="1" t="s">
        <v>39</v>
      </c>
      <c r="H193" s="1" t="s">
        <v>40</v>
      </c>
      <c r="I193" s="1">
        <v>25</v>
      </c>
      <c r="J193" s="15">
        <v>28.644290999999999</v>
      </c>
      <c r="K193" s="15">
        <v>-81.484661000000003</v>
      </c>
    </row>
    <row r="194" spans="1:11" x14ac:dyDescent="0.3">
      <c r="A194" s="2" t="s">
        <v>71</v>
      </c>
      <c r="B194" s="2" t="s">
        <v>99</v>
      </c>
      <c r="C194" s="2" t="s">
        <v>100</v>
      </c>
      <c r="D194" s="1" t="s">
        <v>20</v>
      </c>
      <c r="E194" s="1">
        <v>8152</v>
      </c>
      <c r="F194" s="1" t="s">
        <v>347</v>
      </c>
      <c r="G194" s="1" t="s">
        <v>39</v>
      </c>
      <c r="H194" s="1" t="s">
        <v>40</v>
      </c>
      <c r="I194" s="1">
        <v>35</v>
      </c>
      <c r="J194" s="15">
        <v>28.712869999999999</v>
      </c>
      <c r="K194" s="15">
        <v>-81.558440000000004</v>
      </c>
    </row>
    <row r="195" spans="1:11" x14ac:dyDescent="0.3">
      <c r="A195" s="2" t="s">
        <v>71</v>
      </c>
      <c r="B195" s="2" t="s">
        <v>99</v>
      </c>
      <c r="C195" s="2" t="s">
        <v>269</v>
      </c>
      <c r="D195" s="1" t="s">
        <v>103</v>
      </c>
      <c r="E195" s="1">
        <v>800</v>
      </c>
      <c r="F195" s="1">
        <v>800</v>
      </c>
      <c r="G195" s="1" t="s">
        <v>39</v>
      </c>
      <c r="H195" s="1" t="s">
        <v>40</v>
      </c>
      <c r="I195" s="1">
        <v>35</v>
      </c>
      <c r="J195" s="15">
        <v>28.712693000000002</v>
      </c>
      <c r="K195" s="15">
        <v>-81.574134999999998</v>
      </c>
    </row>
    <row r="196" spans="1:11" x14ac:dyDescent="0.3">
      <c r="A196" s="19" t="s">
        <v>348</v>
      </c>
      <c r="B196" s="19"/>
      <c r="C196" s="16"/>
      <c r="D196" s="17"/>
      <c r="E196" s="17"/>
      <c r="F196" s="17"/>
      <c r="G196" s="17"/>
      <c r="H196" s="17"/>
      <c r="I196" s="17"/>
      <c r="J196" s="17"/>
      <c r="K196" s="17"/>
    </row>
    <row r="197" spans="1:11" x14ac:dyDescent="0.3">
      <c r="A197" s="19" t="s">
        <v>349</v>
      </c>
      <c r="B197" s="19"/>
      <c r="C197" s="16"/>
      <c r="D197" s="17"/>
      <c r="E197" s="17"/>
      <c r="F197" s="17"/>
      <c r="G197" s="17"/>
      <c r="H197" s="17"/>
      <c r="I197" s="17"/>
      <c r="J197" s="17"/>
      <c r="K197" s="17"/>
    </row>
    <row r="198" spans="1:11" x14ac:dyDescent="0.3">
      <c r="B198" s="16"/>
      <c r="C198" s="16"/>
      <c r="D198" s="17"/>
      <c r="E198" s="17"/>
      <c r="F198" s="17"/>
      <c r="G198" s="17"/>
      <c r="H198" s="17"/>
      <c r="I198" s="17"/>
      <c r="J198" s="17"/>
      <c r="K198" s="17"/>
    </row>
  </sheetData>
  <sheetProtection algorithmName="SHA-512" hashValue="XM/hMMsjGkH1tsQ4x9gtkpH1lbWxAglvHlFHiE91jvJAJ1ex4NZVWQ3LgokuvvgXIouFjlved0o/tcER4d3x8A==" saltValue="GKsmy0+QhOb4UEp2/8RiIw==" spinCount="100000" sheet="1" objects="1" scenarios="1"/>
  <mergeCells count="10">
    <mergeCell ref="J1:K1"/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left="0.75" right="0.75" top="1" bottom="1" header="0.5" footer="0.5"/>
  <pageSetup scale="41" fitToHeight="0" orientation="portrait" r:id="rId1"/>
  <headerFooter>
    <oddHeader>&amp;C&amp;"Arial,Bold"&amp;12City of Apopka
2025 CMS Tables
Count Stations and Roadway Segments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7491F-2330-4567-AE1B-AF90226B6091}">
  <sheetPr>
    <tabColor theme="4" tint="0.59999389629810485"/>
    <pageSetUpPr fitToPage="1"/>
  </sheetPr>
  <dimension ref="A1:AM801"/>
  <sheetViews>
    <sheetView tabSelected="1" topLeftCell="H1" workbookViewId="0">
      <selection activeCell="AI2" sqref="AI2"/>
    </sheetView>
  </sheetViews>
  <sheetFormatPr defaultColWidth="9.109375" defaultRowHeight="13.8" x14ac:dyDescent="0.25"/>
  <cols>
    <col min="1" max="1" width="9.109375" style="5"/>
    <col min="2" max="2" width="7.5546875" style="5" customWidth="1"/>
    <col min="3" max="5" width="22.5546875" style="5" customWidth="1"/>
    <col min="6" max="8" width="5.5546875" style="5" customWidth="1"/>
    <col min="9" max="9" width="11.6640625" style="5" bestFit="1" customWidth="1"/>
    <col min="10" max="10" width="8.5546875" style="5" bestFit="1" customWidth="1"/>
    <col min="11" max="11" width="8.5546875" style="5" customWidth="1"/>
    <col min="12" max="12" width="13.88671875" style="5" customWidth="1"/>
    <col min="13" max="13" width="7.5546875" style="5" customWidth="1"/>
    <col min="14" max="14" width="8.88671875" style="5" customWidth="1"/>
    <col min="15" max="15" width="7.5546875" style="5" bestFit="1" customWidth="1"/>
    <col min="16" max="17" width="6.5546875" style="5" customWidth="1"/>
    <col min="18" max="18" width="9.33203125" style="5" bestFit="1" customWidth="1"/>
    <col min="19" max="19" width="6.5546875" style="5" customWidth="1"/>
    <col min="20" max="20" width="5.5546875" style="5" customWidth="1"/>
    <col min="21" max="21" width="7" style="5" customWidth="1"/>
    <col min="22" max="23" width="5.5546875" style="5" customWidth="1"/>
    <col min="24" max="24" width="7" style="5" customWidth="1"/>
    <col min="25" max="26" width="5.5546875" style="5" customWidth="1"/>
    <col min="27" max="28" width="9.33203125" style="5" bestFit="1" customWidth="1"/>
    <col min="29" max="29" width="6.5546875" style="5" customWidth="1"/>
    <col min="30" max="30" width="5.5546875" style="5" customWidth="1"/>
    <col min="31" max="32" width="9.33203125" style="5" bestFit="1" customWidth="1"/>
    <col min="33" max="33" width="6.5546875" style="5" customWidth="1"/>
    <col min="34" max="34" width="5.5546875" style="5" customWidth="1"/>
    <col min="35" max="35" width="19" style="79" customWidth="1"/>
    <col min="36" max="39" width="9.33203125" style="5" bestFit="1" customWidth="1"/>
    <col min="40" max="16384" width="9.109375" style="5"/>
  </cols>
  <sheetData>
    <row r="1" spans="1:39" ht="15" customHeight="1" x14ac:dyDescent="0.25">
      <c r="A1" s="74"/>
      <c r="B1" s="73"/>
      <c r="Y1" s="76" t="s">
        <v>396</v>
      </c>
    </row>
    <row r="2" spans="1:39" x14ac:dyDescent="0.25">
      <c r="A2" s="74"/>
      <c r="B2" s="73"/>
      <c r="Y2" s="75">
        <v>2024</v>
      </c>
    </row>
    <row r="3" spans="1:39" x14ac:dyDescent="0.25">
      <c r="A3" s="74"/>
      <c r="B3" s="73"/>
      <c r="E3" s="72"/>
      <c r="G3" s="71"/>
      <c r="I3" s="71"/>
      <c r="J3" s="71"/>
      <c r="K3" s="71"/>
      <c r="L3" s="71"/>
      <c r="M3" s="71"/>
      <c r="O3" s="71"/>
    </row>
    <row r="4" spans="1:39" x14ac:dyDescent="0.25">
      <c r="A4" s="70"/>
    </row>
    <row r="5" spans="1:39" x14ac:dyDescent="0.25">
      <c r="A5" s="49"/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80"/>
      <c r="AJ5" s="69"/>
      <c r="AK5" s="69"/>
      <c r="AL5" s="69"/>
      <c r="AM5" s="69"/>
    </row>
    <row r="6" spans="1:39" x14ac:dyDescent="0.25">
      <c r="A6" s="49"/>
      <c r="B6" s="59"/>
      <c r="C6" s="68"/>
      <c r="D6" s="68"/>
      <c r="E6" s="67"/>
      <c r="F6" s="59"/>
      <c r="G6" s="59"/>
      <c r="H6" s="59"/>
      <c r="I6" s="59"/>
      <c r="J6" s="59"/>
      <c r="K6" s="59"/>
      <c r="L6" s="66" t="s">
        <v>395</v>
      </c>
      <c r="M6" s="65"/>
      <c r="N6" s="65"/>
      <c r="O6" s="66" t="s">
        <v>394</v>
      </c>
      <c r="P6" s="65"/>
      <c r="Q6" s="65"/>
      <c r="R6" s="92" t="str">
        <f>$AA$3&amp;" Existing Conditions"</f>
        <v xml:space="preserve"> Existing Conditions</v>
      </c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4"/>
      <c r="AJ6" s="89" t="s">
        <v>393</v>
      </c>
      <c r="AK6" s="90"/>
      <c r="AL6" s="90"/>
      <c r="AM6" s="91"/>
    </row>
    <row r="7" spans="1:39" x14ac:dyDescent="0.25">
      <c r="A7" s="49"/>
      <c r="B7" s="51" t="s">
        <v>392</v>
      </c>
      <c r="C7" s="64" t="s">
        <v>391</v>
      </c>
      <c r="D7" s="64"/>
      <c r="E7" s="63"/>
      <c r="F7" s="51" t="s">
        <v>390</v>
      </c>
      <c r="G7" s="51" t="s">
        <v>389</v>
      </c>
      <c r="H7" s="51" t="s">
        <v>279</v>
      </c>
      <c r="I7" s="51" t="s">
        <v>388</v>
      </c>
      <c r="J7" s="51" t="s">
        <v>387</v>
      </c>
      <c r="K7" s="51" t="s">
        <v>386</v>
      </c>
      <c r="L7" s="62" t="s">
        <v>275</v>
      </c>
      <c r="M7" s="61" t="s">
        <v>385</v>
      </c>
      <c r="N7" s="60" t="s">
        <v>383</v>
      </c>
      <c r="O7" s="62" t="s">
        <v>275</v>
      </c>
      <c r="P7" s="61" t="s">
        <v>384</v>
      </c>
      <c r="Q7" s="60" t="s">
        <v>383</v>
      </c>
      <c r="R7" s="95" t="s">
        <v>275</v>
      </c>
      <c r="S7" s="95"/>
      <c r="T7" s="95"/>
      <c r="U7" s="96" t="s">
        <v>382</v>
      </c>
      <c r="V7" s="97"/>
      <c r="W7" s="98"/>
      <c r="X7" s="96" t="s">
        <v>381</v>
      </c>
      <c r="Y7" s="97"/>
      <c r="Z7" s="98"/>
      <c r="AA7" s="99" t="s">
        <v>380</v>
      </c>
      <c r="AB7" s="100"/>
      <c r="AC7" s="100"/>
      <c r="AD7" s="101"/>
      <c r="AE7" s="99" t="s">
        <v>379</v>
      </c>
      <c r="AF7" s="100"/>
      <c r="AG7" s="100"/>
      <c r="AH7" s="101"/>
      <c r="AI7" s="102" t="s">
        <v>378</v>
      </c>
      <c r="AJ7" s="89" t="s">
        <v>377</v>
      </c>
      <c r="AK7" s="90"/>
      <c r="AL7" s="90"/>
      <c r="AM7" s="91"/>
    </row>
    <row r="8" spans="1:39" ht="25.5" customHeight="1" x14ac:dyDescent="0.25">
      <c r="A8" s="49"/>
      <c r="B8" s="57" t="s">
        <v>376</v>
      </c>
      <c r="C8" s="58" t="s">
        <v>1</v>
      </c>
      <c r="D8" s="58" t="s">
        <v>375</v>
      </c>
      <c r="E8" s="58" t="s">
        <v>374</v>
      </c>
      <c r="F8" s="57" t="s">
        <v>6</v>
      </c>
      <c r="G8" s="57" t="s">
        <v>6</v>
      </c>
      <c r="H8" s="57" t="s">
        <v>373</v>
      </c>
      <c r="I8" s="57" t="s">
        <v>0</v>
      </c>
      <c r="J8" s="57" t="s">
        <v>372</v>
      </c>
      <c r="K8" s="57" t="s">
        <v>371</v>
      </c>
      <c r="L8" s="56" t="s">
        <v>370</v>
      </c>
      <c r="M8" s="55" t="s">
        <v>370</v>
      </c>
      <c r="N8" s="53" t="s">
        <v>370</v>
      </c>
      <c r="O8" s="56" t="s">
        <v>370</v>
      </c>
      <c r="P8" s="55" t="s">
        <v>370</v>
      </c>
      <c r="Q8" s="53" t="s">
        <v>370</v>
      </c>
      <c r="R8" s="56" t="s">
        <v>278</v>
      </c>
      <c r="S8" s="56" t="s">
        <v>368</v>
      </c>
      <c r="T8" s="56" t="s">
        <v>279</v>
      </c>
      <c r="U8" s="55" t="s">
        <v>369</v>
      </c>
      <c r="V8" s="55" t="s">
        <v>368</v>
      </c>
      <c r="W8" s="55" t="s">
        <v>279</v>
      </c>
      <c r="X8" s="55" t="s">
        <v>369</v>
      </c>
      <c r="Y8" s="55" t="s">
        <v>368</v>
      </c>
      <c r="Z8" s="55" t="s">
        <v>279</v>
      </c>
      <c r="AA8" s="54" t="s">
        <v>280</v>
      </c>
      <c r="AB8" s="54" t="s">
        <v>281</v>
      </c>
      <c r="AC8" s="53" t="s">
        <v>368</v>
      </c>
      <c r="AD8" s="52" t="s">
        <v>279</v>
      </c>
      <c r="AE8" s="54" t="s">
        <v>280</v>
      </c>
      <c r="AF8" s="54" t="s">
        <v>281</v>
      </c>
      <c r="AG8" s="53" t="s">
        <v>368</v>
      </c>
      <c r="AH8" s="52" t="s">
        <v>279</v>
      </c>
      <c r="AI8" s="103"/>
      <c r="AJ8" s="50" t="s">
        <v>273</v>
      </c>
      <c r="AK8" s="50" t="s">
        <v>274</v>
      </c>
      <c r="AL8" s="50" t="s">
        <v>17</v>
      </c>
      <c r="AM8" s="50" t="s">
        <v>40</v>
      </c>
    </row>
    <row r="9" spans="1:39" ht="21.75" customHeight="1" x14ac:dyDescent="0.25">
      <c r="A9" s="49"/>
      <c r="B9" s="48">
        <f>'2025MasterFile-Stat'!F3</f>
        <v>411</v>
      </c>
      <c r="C9" s="47" t="str">
        <f>'2025MasterFile-Stat'!B3</f>
        <v>10th St</v>
      </c>
      <c r="D9" s="47" t="str">
        <f>LEFT('2025MasterFile-Stat'!C3,FIND(" to ",'2025MasterFile-Stat'!C3)-1)</f>
        <v>Alabama Ave</v>
      </c>
      <c r="E9" s="47" t="str">
        <f>RIGHT('2025MasterFile-Stat'!C3,LEN('2025MasterFile-Stat'!C3)-FIND(" to ",'2025MasterFile-Stat'!C3)-3)</f>
        <v>Sheeler Ave</v>
      </c>
      <c r="F9" s="44" t="str">
        <f>'2025MasterFile-Stat'!G3</f>
        <v>2L</v>
      </c>
      <c r="G9" s="44"/>
      <c r="H9" s="46" t="str">
        <f>'2025MasterFile-Stat'!H3</f>
        <v>E</v>
      </c>
      <c r="I9" s="44" t="str">
        <f>'2025MasterFile-Stat'!A3</f>
        <v>Min Coll</v>
      </c>
      <c r="J9" s="44"/>
      <c r="K9" s="44"/>
      <c r="L9" s="26">
        <f>IF(Cap!H3="A",Cap!O3,
 IF(Cap!H3="B",Cap!P3,
 IF(Cap!H3="C",Cap!Q3,
 IF(Cap!H3="D",Cap!R3,
 IF(Cap!H3="E",Cap!S3,"")))))</f>
        <v>10100</v>
      </c>
      <c r="M9" s="44"/>
      <c r="N9" s="44">
        <f>IF(Cap!H3="A",Cap!J3,
 IF(Cap!H3="B",Cap!K3,
 IF(Cap!H3="C",Cap!L3,
 IF(Cap!H3="D",Cap!M3,
 IF(Cap!H3="E",Cap!N3,"")))))</f>
        <v>520</v>
      </c>
      <c r="O9" s="44"/>
      <c r="P9" s="44"/>
      <c r="Q9" s="44"/>
      <c r="R9" s="44">
        <f>LOS!J3</f>
        <v>467</v>
      </c>
      <c r="S9" s="45"/>
      <c r="T9" s="44" t="str">
        <f>LOS!K3</f>
        <v>C</v>
      </c>
      <c r="U9" s="44"/>
      <c r="V9" s="44"/>
      <c r="W9" s="44"/>
      <c r="X9" s="44"/>
      <c r="Y9" s="44"/>
      <c r="Z9" s="44"/>
      <c r="AA9" s="44">
        <f>LOS!L3</f>
        <v>18</v>
      </c>
      <c r="AB9" s="44">
        <f>LOS!M3</f>
        <v>19</v>
      </c>
      <c r="AC9" s="45"/>
      <c r="AD9" s="44" t="str">
        <f>LOS!Q3</f>
        <v>C</v>
      </c>
      <c r="AE9" s="44">
        <f>LOS!R3</f>
        <v>18</v>
      </c>
      <c r="AF9" s="44">
        <f>LOS!S3</f>
        <v>18</v>
      </c>
      <c r="AG9" s="45"/>
      <c r="AH9" s="44" t="str">
        <f>LOS!W3</f>
        <v>C</v>
      </c>
      <c r="AI9" s="82">
        <f>(Trend!L3)</f>
        <v>-0.81370449678826495</v>
      </c>
      <c r="AJ9" s="77">
        <f>Cap!K3</f>
        <v>0</v>
      </c>
      <c r="AK9" s="77">
        <f>Cap!L3</f>
        <v>240</v>
      </c>
      <c r="AL9" s="77">
        <f>Cap!M3</f>
        <v>490</v>
      </c>
      <c r="AM9" s="77">
        <f>Cap!N3</f>
        <v>520</v>
      </c>
    </row>
    <row r="10" spans="1:39" ht="18" customHeight="1" x14ac:dyDescent="0.25">
      <c r="A10" s="49"/>
      <c r="B10" s="48">
        <f>'2025MasterFile-Stat'!F4</f>
        <v>840</v>
      </c>
      <c r="C10" s="47" t="str">
        <f>'2025MasterFile-Stat'!B4</f>
        <v>13th St</v>
      </c>
      <c r="D10" s="47" t="str">
        <f>LEFT('2025MasterFile-Stat'!C4,FIND(" to ",'2025MasterFile-Stat'!C4)-1)</f>
        <v>Ocoee-Apopka Rd</v>
      </c>
      <c r="E10" s="47" t="str">
        <f>RIGHT('2025MasterFile-Stat'!C4,LEN('2025MasterFile-Stat'!C4)-FIND(" to ",'2025MasterFile-Stat'!C4)-3)</f>
        <v>Park Ave</v>
      </c>
      <c r="F10" s="44" t="str">
        <f>'2025MasterFile-Stat'!G4</f>
        <v>2L</v>
      </c>
      <c r="G10" s="44"/>
      <c r="H10" s="46" t="str">
        <f>'2025MasterFile-Stat'!H4</f>
        <v>E</v>
      </c>
      <c r="I10" s="44" t="str">
        <f>'2025MasterFile-Stat'!A4</f>
        <v>Min Coll</v>
      </c>
      <c r="J10" s="44"/>
      <c r="K10" s="44"/>
      <c r="L10" s="26">
        <f>IF(Cap!H4="A",Cap!O4,
 IF(Cap!H4="B",Cap!P4,
 IF(Cap!H4="C",Cap!Q4,
 IF(Cap!H4="D",Cap!R4,
 IF(Cap!H4="E",Cap!S4,"")))))</f>
        <v>10100</v>
      </c>
      <c r="M10" s="44"/>
      <c r="N10" s="44">
        <f>IF(Cap!H4="A",Cap!J4,
 IF(Cap!H4="B",Cap!K4,
 IF(Cap!H4="C",Cap!L4,
 IF(Cap!H4="D",Cap!M4,
 IF(Cap!H4="E",Cap!N4,"")))))</f>
        <v>520</v>
      </c>
      <c r="O10" s="44"/>
      <c r="P10" s="44"/>
      <c r="Q10" s="44"/>
      <c r="R10" s="44">
        <f>LOS!J4</f>
        <v>3017</v>
      </c>
      <c r="S10" s="45"/>
      <c r="T10" s="44" t="str">
        <f>LOS!K4</f>
        <v>C</v>
      </c>
      <c r="U10" s="44"/>
      <c r="V10" s="44"/>
      <c r="W10" s="44"/>
      <c r="X10" s="44"/>
      <c r="Y10" s="44"/>
      <c r="Z10" s="44"/>
      <c r="AA10" s="44">
        <f>LOS!L4</f>
        <v>101</v>
      </c>
      <c r="AB10" s="44">
        <f>LOS!M4</f>
        <v>130</v>
      </c>
      <c r="AC10" s="45"/>
      <c r="AD10" s="44" t="str">
        <f>LOS!Q4</f>
        <v>C</v>
      </c>
      <c r="AE10" s="44">
        <f>LOS!R4</f>
        <v>137</v>
      </c>
      <c r="AF10" s="44">
        <f>LOS!S4</f>
        <v>120</v>
      </c>
      <c r="AG10" s="45"/>
      <c r="AH10" s="44" t="str">
        <f>LOS!W4</f>
        <v>C</v>
      </c>
      <c r="AI10" s="82">
        <f>(Trend!L4)</f>
        <v>4.0835266821357399</v>
      </c>
      <c r="AJ10" s="77">
        <f>Cap!K4</f>
        <v>0</v>
      </c>
      <c r="AK10" s="77">
        <f>Cap!L4</f>
        <v>240</v>
      </c>
      <c r="AL10" s="77">
        <f>Cap!M4</f>
        <v>490</v>
      </c>
      <c r="AM10" s="77">
        <f>Cap!N4</f>
        <v>520</v>
      </c>
    </row>
    <row r="11" spans="1:39" ht="18" customHeight="1" x14ac:dyDescent="0.25">
      <c r="A11" s="49"/>
      <c r="B11" s="48">
        <f>'2025MasterFile-Stat'!F5</f>
        <v>841</v>
      </c>
      <c r="C11" s="47" t="str">
        <f>'2025MasterFile-Stat'!B5</f>
        <v>13th St</v>
      </c>
      <c r="D11" s="47" t="str">
        <f>LEFT('2025MasterFile-Stat'!C5,FIND(" to ",'2025MasterFile-Stat'!C5)-1)</f>
        <v>Park Ave</v>
      </c>
      <c r="E11" s="47" t="str">
        <f>RIGHT('2025MasterFile-Stat'!C5,LEN('2025MasterFile-Stat'!C5)-FIND(" to ",'2025MasterFile-Stat'!C5)-3)</f>
        <v>Apopka Blvd</v>
      </c>
      <c r="F11" s="44" t="str">
        <f>'2025MasterFile-Stat'!G5</f>
        <v>2L</v>
      </c>
      <c r="G11" s="44"/>
      <c r="H11" s="46" t="str">
        <f>'2025MasterFile-Stat'!H5</f>
        <v>E</v>
      </c>
      <c r="I11" s="44" t="str">
        <f>'2025MasterFile-Stat'!A5</f>
        <v>Min Coll</v>
      </c>
      <c r="J11" s="44"/>
      <c r="K11" s="44"/>
      <c r="L11" s="26">
        <f>IF(Cap!H5="A",Cap!O5,
 IF(Cap!H5="B",Cap!P5,
 IF(Cap!H5="C",Cap!Q5,
 IF(Cap!H5="D",Cap!R5,
 IF(Cap!H5="E",Cap!S5,"")))))</f>
        <v>10100</v>
      </c>
      <c r="M11" s="44"/>
      <c r="N11" s="44">
        <f>IF(Cap!H5="A",Cap!J5,
 IF(Cap!H5="B",Cap!K5,
 IF(Cap!H5="C",Cap!L5,
 IF(Cap!H5="D",Cap!M5,
 IF(Cap!H5="E",Cap!N5,"")))))</f>
        <v>520</v>
      </c>
      <c r="O11" s="44"/>
      <c r="P11" s="44"/>
      <c r="Q11" s="44"/>
      <c r="R11" s="44">
        <f>LOS!J5</f>
        <v>3788</v>
      </c>
      <c r="S11" s="45"/>
      <c r="T11" s="44" t="str">
        <f>LOS!K5</f>
        <v>C</v>
      </c>
      <c r="U11" s="44"/>
      <c r="V11" s="44"/>
      <c r="W11" s="44"/>
      <c r="X11" s="44"/>
      <c r="Y11" s="44"/>
      <c r="Z11" s="44"/>
      <c r="AA11" s="44">
        <f>LOS!L5</f>
        <v>150</v>
      </c>
      <c r="AB11" s="44">
        <f>LOS!M5</f>
        <v>88</v>
      </c>
      <c r="AC11" s="45"/>
      <c r="AD11" s="44" t="str">
        <f>LOS!Q5</f>
        <v>C</v>
      </c>
      <c r="AE11" s="44">
        <f>LOS!R5</f>
        <v>129</v>
      </c>
      <c r="AF11" s="44">
        <f>LOS!S5</f>
        <v>196</v>
      </c>
      <c r="AG11" s="45"/>
      <c r="AH11" s="44" t="str">
        <f>LOS!W5</f>
        <v>C</v>
      </c>
      <c r="AI11" s="82">
        <f>(Trend!L5)</f>
        <v>1.92449841605123</v>
      </c>
      <c r="AJ11" s="77">
        <f>Cap!K5</f>
        <v>0</v>
      </c>
      <c r="AK11" s="77">
        <f>Cap!L5</f>
        <v>240</v>
      </c>
      <c r="AL11" s="77">
        <f>Cap!M5</f>
        <v>490</v>
      </c>
      <c r="AM11" s="77">
        <f>Cap!N5</f>
        <v>520</v>
      </c>
    </row>
    <row r="12" spans="1:39" ht="18" customHeight="1" x14ac:dyDescent="0.25">
      <c r="A12" s="49"/>
      <c r="B12" s="48">
        <f>'2025MasterFile-Stat'!F6</f>
        <v>401</v>
      </c>
      <c r="C12" s="47" t="str">
        <f>'2025MasterFile-Stat'!B6</f>
        <v>2nd St (Monroe Ave)</v>
      </c>
      <c r="D12" s="47" t="str">
        <f>LEFT('2025MasterFile-Stat'!C6,FIND(" to ",'2025MasterFile-Stat'!C6)-1)</f>
        <v>Central Ave</v>
      </c>
      <c r="E12" s="47" t="str">
        <f>RIGHT('2025MasterFile-Stat'!C6,LEN('2025MasterFile-Stat'!C6)-FIND(" to ",'2025MasterFile-Stat'!C6)-3)</f>
        <v>Park Ave</v>
      </c>
      <c r="F12" s="44" t="str">
        <f>'2025MasterFile-Stat'!G6</f>
        <v>2L</v>
      </c>
      <c r="G12" s="44"/>
      <c r="H12" s="46" t="str">
        <f>'2025MasterFile-Stat'!H6</f>
        <v>D</v>
      </c>
      <c r="I12" s="44" t="str">
        <f>'2025MasterFile-Stat'!A6</f>
        <v>Min Coll</v>
      </c>
      <c r="J12" s="44"/>
      <c r="K12" s="44"/>
      <c r="L12" s="26">
        <f>IF(Cap!H6="A",Cap!O6,
 IF(Cap!H6="B",Cap!P6,
 IF(Cap!H6="C",Cap!Q6,
 IF(Cap!H6="D",Cap!R6,
 IF(Cap!H6="E",Cap!S6,"")))))</f>
        <v>9600</v>
      </c>
      <c r="M12" s="44"/>
      <c r="N12" s="44">
        <f>IF(Cap!H6="A",Cap!J6,
 IF(Cap!H6="B",Cap!K6,
 IF(Cap!H6="C",Cap!L6,
 IF(Cap!H6="D",Cap!M6,
 IF(Cap!H6="E",Cap!N6,"")))))</f>
        <v>490</v>
      </c>
      <c r="O12" s="44"/>
      <c r="P12" s="44"/>
      <c r="Q12" s="44"/>
      <c r="R12" s="44">
        <f>LOS!J6</f>
        <v>897</v>
      </c>
      <c r="S12" s="45"/>
      <c r="T12" s="44" t="str">
        <f>LOS!K6</f>
        <v>C</v>
      </c>
      <c r="U12" s="44"/>
      <c r="V12" s="44"/>
      <c r="W12" s="44"/>
      <c r="X12" s="44"/>
      <c r="Y12" s="44"/>
      <c r="Z12" s="44"/>
      <c r="AA12" s="44">
        <f>LOS!L6</f>
        <v>31</v>
      </c>
      <c r="AB12" s="44">
        <f>LOS!M6</f>
        <v>32</v>
      </c>
      <c r="AC12" s="45"/>
      <c r="AD12" s="44" t="str">
        <f>LOS!Q6</f>
        <v>C</v>
      </c>
      <c r="AE12" s="44">
        <f>LOS!R6</f>
        <v>40</v>
      </c>
      <c r="AF12" s="44">
        <f>LOS!S6</f>
        <v>50</v>
      </c>
      <c r="AG12" s="45"/>
      <c r="AH12" s="44" t="str">
        <f>LOS!W6</f>
        <v>C</v>
      </c>
      <c r="AI12" s="82">
        <f>(Trend!L6)</f>
        <v>-5.39576365663478</v>
      </c>
      <c r="AJ12" s="77">
        <f>Cap!K6</f>
        <v>0</v>
      </c>
      <c r="AK12" s="77">
        <f>Cap!L6</f>
        <v>240</v>
      </c>
      <c r="AL12" s="77">
        <f>Cap!M6</f>
        <v>490</v>
      </c>
      <c r="AM12" s="77">
        <f>Cap!N6</f>
        <v>520</v>
      </c>
    </row>
    <row r="13" spans="1:39" ht="18" customHeight="1" x14ac:dyDescent="0.25">
      <c r="A13" s="49"/>
      <c r="B13" s="48">
        <f>'2025MasterFile-Stat'!F7</f>
        <v>403</v>
      </c>
      <c r="C13" s="47" t="str">
        <f>'2025MasterFile-Stat'!B7</f>
        <v>5th St</v>
      </c>
      <c r="D13" s="47" t="str">
        <f>LEFT('2025MasterFile-Stat'!C7,FIND(" to ",'2025MasterFile-Stat'!C7)-1)</f>
        <v>Park Ave</v>
      </c>
      <c r="E13" s="47" t="str">
        <f>RIGHT('2025MasterFile-Stat'!C7,LEN('2025MasterFile-Stat'!C7)-FIND(" to ",'2025MasterFile-Stat'!C7)-3)</f>
        <v>Highland Ave</v>
      </c>
      <c r="F13" s="44" t="str">
        <f>'2025MasterFile-Stat'!G7</f>
        <v>2L</v>
      </c>
      <c r="G13" s="44"/>
      <c r="H13" s="46" t="str">
        <f>'2025MasterFile-Stat'!H7</f>
        <v>D</v>
      </c>
      <c r="I13" s="44" t="str">
        <f>'2025MasterFile-Stat'!A7</f>
        <v>Min Coll</v>
      </c>
      <c r="J13" s="44"/>
      <c r="K13" s="44"/>
      <c r="L13" s="26">
        <f>IF(Cap!H7="A",Cap!O7,
 IF(Cap!H7="B",Cap!P7,
 IF(Cap!H7="C",Cap!Q7,
 IF(Cap!H7="D",Cap!R7,
 IF(Cap!H7="E",Cap!S7,"")))))</f>
        <v>9600</v>
      </c>
      <c r="M13" s="44"/>
      <c r="N13" s="44">
        <f>IF(Cap!H7="A",Cap!J7,
 IF(Cap!H7="B",Cap!K7,
 IF(Cap!H7="C",Cap!L7,
 IF(Cap!H7="D",Cap!M7,
 IF(Cap!H7="E",Cap!N7,"")))))</f>
        <v>490</v>
      </c>
      <c r="O13" s="44"/>
      <c r="P13" s="44"/>
      <c r="Q13" s="44"/>
      <c r="R13" s="44">
        <f>LOS!J7</f>
        <v>1778</v>
      </c>
      <c r="S13" s="45"/>
      <c r="T13" s="44" t="str">
        <f>LOS!K7</f>
        <v>C</v>
      </c>
      <c r="U13" s="44"/>
      <c r="V13" s="44"/>
      <c r="W13" s="44"/>
      <c r="X13" s="44"/>
      <c r="Y13" s="44"/>
      <c r="Z13" s="44"/>
      <c r="AA13" s="44">
        <f>LOS!L7</f>
        <v>113</v>
      </c>
      <c r="AB13" s="44">
        <f>LOS!M7</f>
        <v>96</v>
      </c>
      <c r="AC13" s="45"/>
      <c r="AD13" s="44" t="str">
        <f>LOS!Q7</f>
        <v>C</v>
      </c>
      <c r="AE13" s="44">
        <f>LOS!R7</f>
        <v>83</v>
      </c>
      <c r="AF13" s="44">
        <f>LOS!S7</f>
        <v>63</v>
      </c>
      <c r="AG13" s="45"/>
      <c r="AH13" s="44" t="str">
        <f>LOS!W7</f>
        <v>C</v>
      </c>
      <c r="AI13" s="82">
        <f>(Trend!L7)</f>
        <v>-29.769403824529501</v>
      </c>
      <c r="AJ13" s="77">
        <f>Cap!K7</f>
        <v>0</v>
      </c>
      <c r="AK13" s="77">
        <f>Cap!L7</f>
        <v>240</v>
      </c>
      <c r="AL13" s="77">
        <f>Cap!M7</f>
        <v>490</v>
      </c>
      <c r="AM13" s="77">
        <f>Cap!N7</f>
        <v>520</v>
      </c>
    </row>
    <row r="14" spans="1:39" ht="18" customHeight="1" x14ac:dyDescent="0.25">
      <c r="A14" s="49"/>
      <c r="B14" s="48">
        <f>'2025MasterFile-Stat'!F8</f>
        <v>650</v>
      </c>
      <c r="C14" s="47" t="str">
        <f>'2025MasterFile-Stat'!B8</f>
        <v>6th St</v>
      </c>
      <c r="D14" s="47" t="str">
        <f>LEFT('2025MasterFile-Stat'!C8,FIND(" to ",'2025MasterFile-Stat'!C8)-1)</f>
        <v>Park Ave</v>
      </c>
      <c r="E14" s="47" t="str">
        <f>RIGHT('2025MasterFile-Stat'!C8,LEN('2025MasterFile-Stat'!C8)-FIND(" to ",'2025MasterFile-Stat'!C8)-3)</f>
        <v>Alabama Ave</v>
      </c>
      <c r="F14" s="44" t="str">
        <f>'2025MasterFile-Stat'!G8</f>
        <v>2L</v>
      </c>
      <c r="G14" s="44"/>
      <c r="H14" s="46" t="str">
        <f>'2025MasterFile-Stat'!H8</f>
        <v>D</v>
      </c>
      <c r="I14" s="44" t="str">
        <f>'2025MasterFile-Stat'!A8</f>
        <v>Min Coll</v>
      </c>
      <c r="J14" s="44"/>
      <c r="K14" s="44"/>
      <c r="L14" s="26">
        <f>IF(Cap!H8="A",Cap!O8,
 IF(Cap!H8="B",Cap!P8,
 IF(Cap!H8="C",Cap!Q8,
 IF(Cap!H8="D",Cap!R8,
 IF(Cap!H8="E",Cap!S8,"")))))</f>
        <v>9600</v>
      </c>
      <c r="M14" s="44"/>
      <c r="N14" s="44">
        <f>IF(Cap!H8="A",Cap!J8,
 IF(Cap!H8="B",Cap!K8,
 IF(Cap!H8="C",Cap!L8,
 IF(Cap!H8="D",Cap!M8,
 IF(Cap!H8="E",Cap!N8,"")))))</f>
        <v>490</v>
      </c>
      <c r="O14" s="44"/>
      <c r="P14" s="44"/>
      <c r="Q14" s="44"/>
      <c r="R14" s="44">
        <f>LOS!J8</f>
        <v>2283</v>
      </c>
      <c r="S14" s="45"/>
      <c r="T14" s="44" t="str">
        <f>LOS!K8</f>
        <v>C</v>
      </c>
      <c r="U14" s="44"/>
      <c r="V14" s="44"/>
      <c r="W14" s="44"/>
      <c r="X14" s="44"/>
      <c r="Y14" s="44"/>
      <c r="Z14" s="44"/>
      <c r="AA14" s="44">
        <f>LOS!L8</f>
        <v>48</v>
      </c>
      <c r="AB14" s="44">
        <f>LOS!M8</f>
        <v>115</v>
      </c>
      <c r="AC14" s="45"/>
      <c r="AD14" s="44" t="str">
        <f>LOS!Q8</f>
        <v>C</v>
      </c>
      <c r="AE14" s="44">
        <f>LOS!R8</f>
        <v>69</v>
      </c>
      <c r="AF14" s="44">
        <f>LOS!S8</f>
        <v>165</v>
      </c>
      <c r="AG14" s="45"/>
      <c r="AH14" s="44" t="str">
        <f>LOS!W8</f>
        <v>C</v>
      </c>
      <c r="AI14" s="82">
        <f>(Trend!L8)</f>
        <v>-17.542706964524399</v>
      </c>
      <c r="AJ14" s="77">
        <f>Cap!K8</f>
        <v>0</v>
      </c>
      <c r="AK14" s="77">
        <f>Cap!L8</f>
        <v>240</v>
      </c>
      <c r="AL14" s="77">
        <f>Cap!M8</f>
        <v>490</v>
      </c>
      <c r="AM14" s="77">
        <f>Cap!N8</f>
        <v>520</v>
      </c>
    </row>
    <row r="15" spans="1:39" ht="18" customHeight="1" x14ac:dyDescent="0.25">
      <c r="A15" s="49"/>
      <c r="B15" s="48">
        <f>'2025MasterFile-Stat'!F9</f>
        <v>410</v>
      </c>
      <c r="C15" s="47" t="str">
        <f>'2025MasterFile-Stat'!B9</f>
        <v>6th St</v>
      </c>
      <c r="D15" s="47" t="str">
        <f>LEFT('2025MasterFile-Stat'!C9,FIND(" to ",'2025MasterFile-Stat'!C9)-1)</f>
        <v>Alabama Ave</v>
      </c>
      <c r="E15" s="47" t="str">
        <f>RIGHT('2025MasterFile-Stat'!C9,LEN('2025MasterFile-Stat'!C9)-FIND(" to ",'2025MasterFile-Stat'!C9)-3)</f>
        <v>US 441</v>
      </c>
      <c r="F15" s="44" t="str">
        <f>'2025MasterFile-Stat'!G9</f>
        <v>2L</v>
      </c>
      <c r="G15" s="44"/>
      <c r="H15" s="46" t="str">
        <f>'2025MasterFile-Stat'!H9</f>
        <v>D</v>
      </c>
      <c r="I15" s="44" t="str">
        <f>'2025MasterFile-Stat'!A9</f>
        <v>Min Coll</v>
      </c>
      <c r="J15" s="44"/>
      <c r="K15" s="44"/>
      <c r="L15" s="26">
        <f>IF(Cap!H9="A",Cap!O9,
 IF(Cap!H9="B",Cap!P9,
 IF(Cap!H9="C",Cap!Q9,
 IF(Cap!H9="D",Cap!R9,
 IF(Cap!H9="E",Cap!S9,"")))))</f>
        <v>9600</v>
      </c>
      <c r="M15" s="44"/>
      <c r="N15" s="44">
        <f>IF(Cap!H9="A",Cap!J9,
 IF(Cap!H9="B",Cap!K9,
 IF(Cap!H9="C",Cap!L9,
 IF(Cap!H9="D",Cap!M9,
 IF(Cap!H9="E",Cap!N9,"")))))</f>
        <v>490</v>
      </c>
      <c r="O15" s="44"/>
      <c r="P15" s="44"/>
      <c r="Q15" s="44"/>
      <c r="R15" s="44">
        <f>LOS!J9</f>
        <v>1435</v>
      </c>
      <c r="S15" s="45"/>
      <c r="T15" s="44" t="str">
        <f>LOS!K9</f>
        <v>C</v>
      </c>
      <c r="U15" s="44"/>
      <c r="V15" s="44"/>
      <c r="W15" s="44"/>
      <c r="X15" s="44"/>
      <c r="Y15" s="44"/>
      <c r="Z15" s="44"/>
      <c r="AA15" s="44">
        <f>LOS!L9</f>
        <v>50</v>
      </c>
      <c r="AB15" s="44">
        <f>LOS!M9</f>
        <v>57</v>
      </c>
      <c r="AC15" s="45"/>
      <c r="AD15" s="44" t="str">
        <f>LOS!Q9</f>
        <v>C</v>
      </c>
      <c r="AE15" s="44">
        <f>LOS!R9</f>
        <v>57</v>
      </c>
      <c r="AF15" s="44">
        <f>LOS!S9</f>
        <v>87</v>
      </c>
      <c r="AG15" s="45"/>
      <c r="AH15" s="44" t="str">
        <f>LOS!W9</f>
        <v>C</v>
      </c>
      <c r="AI15" s="82">
        <f>(Trend!L9)</f>
        <v>-8.2926829268305209</v>
      </c>
      <c r="AJ15" s="77">
        <f>Cap!K9</f>
        <v>0</v>
      </c>
      <c r="AK15" s="77">
        <f>Cap!L9</f>
        <v>240</v>
      </c>
      <c r="AL15" s="77">
        <f>Cap!M9</f>
        <v>490</v>
      </c>
      <c r="AM15" s="77">
        <f>Cap!N9</f>
        <v>520</v>
      </c>
    </row>
    <row r="16" spans="1:39" ht="18" customHeight="1" x14ac:dyDescent="0.25">
      <c r="A16" s="49"/>
      <c r="B16" s="48">
        <f>'2025MasterFile-Stat'!F10</f>
        <v>404</v>
      </c>
      <c r="C16" s="47" t="str">
        <f>'2025MasterFile-Stat'!B10</f>
        <v>8th St</v>
      </c>
      <c r="D16" s="47" t="str">
        <f>LEFT('2025MasterFile-Stat'!C10,FIND(" to ",'2025MasterFile-Stat'!C10)-1)</f>
        <v>Park Ave</v>
      </c>
      <c r="E16" s="47" t="str">
        <f>RIGHT('2025MasterFile-Stat'!C10,LEN('2025MasterFile-Stat'!C10)-FIND(" to ",'2025MasterFile-Stat'!C10)-3)</f>
        <v>Highland Ave</v>
      </c>
      <c r="F16" s="44" t="str">
        <f>'2025MasterFile-Stat'!G10</f>
        <v>2L</v>
      </c>
      <c r="G16" s="44"/>
      <c r="H16" s="46" t="str">
        <f>'2025MasterFile-Stat'!H10</f>
        <v>D</v>
      </c>
      <c r="I16" s="44" t="str">
        <f>'2025MasterFile-Stat'!A10</f>
        <v>Min Coll</v>
      </c>
      <c r="J16" s="44"/>
      <c r="K16" s="44"/>
      <c r="L16" s="26">
        <f>IF(Cap!H10="A",Cap!O10,
 IF(Cap!H10="B",Cap!P10,
 IF(Cap!H10="C",Cap!Q10,
 IF(Cap!H10="D",Cap!R10,
 IF(Cap!H10="E",Cap!S10,"")))))</f>
        <v>9600</v>
      </c>
      <c r="M16" s="44"/>
      <c r="N16" s="44">
        <f>IF(Cap!H10="A",Cap!J10,
 IF(Cap!H10="B",Cap!K10,
 IF(Cap!H10="C",Cap!L10,
 IF(Cap!H10="D",Cap!M10,
 IF(Cap!H10="E",Cap!N10,"")))))</f>
        <v>490</v>
      </c>
      <c r="O16" s="44"/>
      <c r="P16" s="44"/>
      <c r="Q16" s="44"/>
      <c r="R16" s="44">
        <f>LOS!J10</f>
        <v>3069</v>
      </c>
      <c r="S16" s="45"/>
      <c r="T16" s="44" t="str">
        <f>LOS!K10</f>
        <v>C</v>
      </c>
      <c r="U16" s="44"/>
      <c r="V16" s="44"/>
      <c r="W16" s="44"/>
      <c r="X16" s="44"/>
      <c r="Y16" s="44"/>
      <c r="Z16" s="44"/>
      <c r="AA16" s="44">
        <f>LOS!L10</f>
        <v>86</v>
      </c>
      <c r="AB16" s="44">
        <f>LOS!M10</f>
        <v>92</v>
      </c>
      <c r="AC16" s="45"/>
      <c r="AD16" s="44" t="str">
        <f>LOS!Q10</f>
        <v>C</v>
      </c>
      <c r="AE16" s="44">
        <f>LOS!R10</f>
        <v>127</v>
      </c>
      <c r="AF16" s="44">
        <f>LOS!S10</f>
        <v>164</v>
      </c>
      <c r="AG16" s="45"/>
      <c r="AH16" s="44" t="str">
        <f>LOS!W10</f>
        <v>C</v>
      </c>
      <c r="AI16" s="82">
        <f>(Trend!L10)</f>
        <v>-16.741609644839102</v>
      </c>
      <c r="AJ16" s="77">
        <f>Cap!K10</f>
        <v>0</v>
      </c>
      <c r="AK16" s="77">
        <f>Cap!L10</f>
        <v>240</v>
      </c>
      <c r="AL16" s="77">
        <f>Cap!M10</f>
        <v>490</v>
      </c>
      <c r="AM16" s="77">
        <f>Cap!N10</f>
        <v>520</v>
      </c>
    </row>
    <row r="17" spans="1:39" ht="18" customHeight="1" x14ac:dyDescent="0.25">
      <c r="A17" s="49"/>
      <c r="B17" s="48">
        <f>'2025MasterFile-Stat'!F11</f>
        <v>333</v>
      </c>
      <c r="C17" s="47" t="str">
        <f>'2025MasterFile-Stat'!B11</f>
        <v>9th St</v>
      </c>
      <c r="D17" s="47" t="str">
        <f>LEFT('2025MasterFile-Stat'!C11,FIND(" to ",'2025MasterFile-Stat'!C11)-1)</f>
        <v>Central Ave</v>
      </c>
      <c r="E17" s="47" t="str">
        <f>RIGHT('2025MasterFile-Stat'!C11,LEN('2025MasterFile-Stat'!C11)-FIND(" to ",'2025MasterFile-Stat'!C11)-3)</f>
        <v>Park Ave</v>
      </c>
      <c r="F17" s="44" t="str">
        <f>'2025MasterFile-Stat'!G11</f>
        <v>2L</v>
      </c>
      <c r="G17" s="44"/>
      <c r="H17" s="46" t="str">
        <f>'2025MasterFile-Stat'!H11</f>
        <v>E</v>
      </c>
      <c r="I17" s="44" t="str">
        <f>'2025MasterFile-Stat'!A11</f>
        <v>Min Coll</v>
      </c>
      <c r="J17" s="44"/>
      <c r="K17" s="44"/>
      <c r="L17" s="26">
        <f>IF(Cap!H11="A",Cap!O11,
 IF(Cap!H11="B",Cap!P11,
 IF(Cap!H11="C",Cap!Q11,
 IF(Cap!H11="D",Cap!R11,
 IF(Cap!H11="E",Cap!S11,"")))))</f>
        <v>10100</v>
      </c>
      <c r="M17" s="44"/>
      <c r="N17" s="44">
        <f>IF(Cap!H11="A",Cap!J11,
 IF(Cap!H11="B",Cap!K11,
 IF(Cap!H11="C",Cap!L11,
 IF(Cap!H11="D",Cap!M11,
 IF(Cap!H11="E",Cap!N11,"")))))</f>
        <v>520</v>
      </c>
      <c r="O17" s="44"/>
      <c r="P17" s="44"/>
      <c r="Q17" s="44"/>
      <c r="R17" s="44">
        <f>LOS!J11</f>
        <v>3797</v>
      </c>
      <c r="S17" s="45"/>
      <c r="T17" s="44" t="str">
        <f>LOS!K11</f>
        <v>C</v>
      </c>
      <c r="U17" s="44"/>
      <c r="V17" s="44"/>
      <c r="W17" s="44"/>
      <c r="X17" s="44"/>
      <c r="Y17" s="44"/>
      <c r="Z17" s="44"/>
      <c r="AA17" s="44">
        <f>LOS!L11</f>
        <v>134</v>
      </c>
      <c r="AB17" s="44">
        <f>LOS!M11</f>
        <v>114</v>
      </c>
      <c r="AC17" s="45"/>
      <c r="AD17" s="44" t="str">
        <f>LOS!Q11</f>
        <v>C</v>
      </c>
      <c r="AE17" s="44">
        <f>LOS!R11</f>
        <v>181</v>
      </c>
      <c r="AF17" s="44">
        <f>LOS!S11</f>
        <v>130</v>
      </c>
      <c r="AG17" s="45"/>
      <c r="AH17" s="44" t="str">
        <f>LOS!W11</f>
        <v>C</v>
      </c>
      <c r="AI17" s="82">
        <f>(Trend!L11)</f>
        <v>-6.1416908085347899</v>
      </c>
      <c r="AJ17" s="77">
        <f>Cap!K11</f>
        <v>0</v>
      </c>
      <c r="AK17" s="77">
        <f>Cap!L11</f>
        <v>240</v>
      </c>
      <c r="AL17" s="77">
        <f>Cap!M11</f>
        <v>490</v>
      </c>
      <c r="AM17" s="77">
        <f>Cap!N11</f>
        <v>520</v>
      </c>
    </row>
    <row r="18" spans="1:39" ht="18" customHeight="1" x14ac:dyDescent="0.25">
      <c r="A18" s="49"/>
      <c r="B18" s="48">
        <f>'2025MasterFile-Stat'!F12</f>
        <v>409</v>
      </c>
      <c r="C18" s="47" t="str">
        <f>'2025MasterFile-Stat'!B12</f>
        <v>Alabama Ave</v>
      </c>
      <c r="D18" s="47" t="str">
        <f>LEFT('2025MasterFile-Stat'!C12,FIND(" to ",'2025MasterFile-Stat'!C12)-1)</f>
        <v>Monroe Ave</v>
      </c>
      <c r="E18" s="47" t="str">
        <f>RIGHT('2025MasterFile-Stat'!C12,LEN('2025MasterFile-Stat'!C12)-FIND(" to ",'2025MasterFile-Stat'!C12)-3)</f>
        <v>US 441</v>
      </c>
      <c r="F18" s="44" t="str">
        <f>'2025MasterFile-Stat'!G12</f>
        <v>2L</v>
      </c>
      <c r="G18" s="44"/>
      <c r="H18" s="46" t="str">
        <f>'2025MasterFile-Stat'!H12</f>
        <v>E</v>
      </c>
      <c r="I18" s="44" t="str">
        <f>'2025MasterFile-Stat'!A12</f>
        <v>Min Coll</v>
      </c>
      <c r="J18" s="44"/>
      <c r="K18" s="44"/>
      <c r="L18" s="26">
        <f>IF(Cap!H12="A",Cap!O12,
 IF(Cap!H12="B",Cap!P12,
 IF(Cap!H12="C",Cap!Q12,
 IF(Cap!H12="D",Cap!R12,
 IF(Cap!H12="E",Cap!S12,"")))))</f>
        <v>10100</v>
      </c>
      <c r="M18" s="44"/>
      <c r="N18" s="44">
        <f>IF(Cap!H12="A",Cap!J12,
 IF(Cap!H12="B",Cap!K12,
 IF(Cap!H12="C",Cap!L12,
 IF(Cap!H12="D",Cap!M12,
 IF(Cap!H12="E",Cap!N12,"")))))</f>
        <v>520</v>
      </c>
      <c r="O18" s="44"/>
      <c r="P18" s="44"/>
      <c r="Q18" s="44"/>
      <c r="R18" s="44">
        <f>LOS!J12</f>
        <v>297</v>
      </c>
      <c r="S18" s="45"/>
      <c r="T18" s="44" t="str">
        <f>LOS!K12</f>
        <v>C</v>
      </c>
      <c r="U18" s="44"/>
      <c r="V18" s="44"/>
      <c r="W18" s="44"/>
      <c r="X18" s="44"/>
      <c r="Y18" s="44"/>
      <c r="Z18" s="44"/>
      <c r="AA18" s="44">
        <f>LOS!L12</f>
        <v>9</v>
      </c>
      <c r="AB18" s="44">
        <f>LOS!M12</f>
        <v>8</v>
      </c>
      <c r="AC18" s="45"/>
      <c r="AD18" s="44" t="str">
        <f>LOS!Q12</f>
        <v>C</v>
      </c>
      <c r="AE18" s="44">
        <f>LOS!R12</f>
        <v>20</v>
      </c>
      <c r="AF18" s="44">
        <f>LOS!S12</f>
        <v>7</v>
      </c>
      <c r="AG18" s="45"/>
      <c r="AH18" s="44" t="str">
        <f>LOS!W12</f>
        <v>C</v>
      </c>
      <c r="AI18" s="82">
        <f>(Trend!L12)</f>
        <v>-9.4276094276120794</v>
      </c>
      <c r="AJ18" s="77">
        <f>Cap!K12</f>
        <v>0</v>
      </c>
      <c r="AK18" s="77">
        <f>Cap!L12</f>
        <v>240</v>
      </c>
      <c r="AL18" s="77">
        <f>Cap!M12</f>
        <v>490</v>
      </c>
      <c r="AM18" s="77">
        <f>Cap!N12</f>
        <v>520</v>
      </c>
    </row>
    <row r="19" spans="1:39" ht="18" customHeight="1" x14ac:dyDescent="0.25">
      <c r="A19" s="49"/>
      <c r="B19" s="48">
        <f>'2025MasterFile-Stat'!F13</f>
        <v>971</v>
      </c>
      <c r="C19" s="47" t="str">
        <f>'2025MasterFile-Stat'!B13</f>
        <v>Appy Ln</v>
      </c>
      <c r="D19" s="47" t="str">
        <f>LEFT('2025MasterFile-Stat'!C13,FIND(" to ",'2025MasterFile-Stat'!C13)-1)</f>
        <v>Plymouth-Sorrento Rd (CR 437)</v>
      </c>
      <c r="E19" s="47" t="str">
        <f>RIGHT('2025MasterFile-Stat'!C13,LEN('2025MasterFile-Stat'!C13)-FIND(" to ",'2025MasterFile-Stat'!C13)-3)</f>
        <v>Jason Dwelley Pkwy</v>
      </c>
      <c r="F19" s="44" t="str">
        <f>'2025MasterFile-Stat'!G13</f>
        <v>2L</v>
      </c>
      <c r="G19" s="44"/>
      <c r="H19" s="46" t="str">
        <f>'2025MasterFile-Stat'!H13</f>
        <v>E</v>
      </c>
      <c r="I19" s="44" t="str">
        <f>'2025MasterFile-Stat'!A13</f>
        <v>Min Coll</v>
      </c>
      <c r="J19" s="44"/>
      <c r="K19" s="44"/>
      <c r="L19" s="26">
        <f>IF(Cap!H13="A",Cap!O13,
 IF(Cap!H13="B",Cap!P13,
 IF(Cap!H13="C",Cap!Q13,
 IF(Cap!H13="D",Cap!R13,
 IF(Cap!H13="E",Cap!S13,"")))))</f>
        <v>14000</v>
      </c>
      <c r="M19" s="44"/>
      <c r="N19" s="44">
        <f>IF(Cap!H13="A",Cap!J13,
 IF(Cap!H13="B",Cap!K13,
 IF(Cap!H13="C",Cap!L13,
 IF(Cap!H13="D",Cap!M13,
 IF(Cap!H13="E",Cap!N13,"")))))</f>
        <v>720</v>
      </c>
      <c r="O19" s="44"/>
      <c r="P19" s="44"/>
      <c r="Q19" s="44"/>
      <c r="R19" s="44">
        <f>LOS!J13</f>
        <v>1224</v>
      </c>
      <c r="S19" s="45"/>
      <c r="T19" s="44" t="str">
        <f>LOS!K13</f>
        <v>C</v>
      </c>
      <c r="U19" s="44"/>
      <c r="V19" s="44"/>
      <c r="W19" s="44"/>
      <c r="X19" s="44"/>
      <c r="Y19" s="44"/>
      <c r="Z19" s="44"/>
      <c r="AA19" s="44">
        <f>LOS!L13</f>
        <v>89</v>
      </c>
      <c r="AB19" s="44">
        <f>LOS!M13</f>
        <v>95</v>
      </c>
      <c r="AC19" s="45"/>
      <c r="AD19" s="44" t="str">
        <f>LOS!Q13</f>
        <v>C</v>
      </c>
      <c r="AE19" s="44">
        <f>LOS!R13</f>
        <v>49</v>
      </c>
      <c r="AF19" s="44">
        <f>LOS!S13</f>
        <v>36</v>
      </c>
      <c r="AG19" s="45"/>
      <c r="AH19" s="44" t="str">
        <f>LOS!W13</f>
        <v>C</v>
      </c>
      <c r="AI19" s="82">
        <f>(Trend!L13)</f>
        <v>-2.9983660130724501</v>
      </c>
      <c r="AJ19" s="77">
        <f>Cap!K13</f>
        <v>0</v>
      </c>
      <c r="AK19" s="77">
        <f>Cap!L13</f>
        <v>330</v>
      </c>
      <c r="AL19" s="77">
        <f>Cap!M13</f>
        <v>680</v>
      </c>
      <c r="AM19" s="77">
        <f>Cap!N13</f>
        <v>720</v>
      </c>
    </row>
    <row r="20" spans="1:39" ht="18" customHeight="1" x14ac:dyDescent="0.25">
      <c r="A20" s="49"/>
      <c r="B20" s="48" t="str">
        <f>'2025MasterFile-Stat'!F14</f>
        <v>404*</v>
      </c>
      <c r="C20" s="47" t="str">
        <f>'2025MasterFile-Stat'!B14</f>
        <v>Binion Rd/Orange Ave</v>
      </c>
      <c r="D20" s="47" t="str">
        <f>LEFT('2025MasterFile-Stat'!C14,FIND(" to ",'2025MasterFile-Stat'!C14)-1)</f>
        <v>Lakeview Dr</v>
      </c>
      <c r="E20" s="47" t="str">
        <f>RIGHT('2025MasterFile-Stat'!C14,LEN('2025MasterFile-Stat'!C14)-FIND(" to ",'2025MasterFile-Stat'!C14)-3)</f>
        <v>US 441</v>
      </c>
      <c r="F20" s="44" t="str">
        <f>'2025MasterFile-Stat'!G14</f>
        <v>2L</v>
      </c>
      <c r="G20" s="44"/>
      <c r="H20" s="46" t="str">
        <f>'2025MasterFile-Stat'!H14</f>
        <v>E</v>
      </c>
      <c r="I20" s="44" t="str">
        <f>'2025MasterFile-Stat'!A14</f>
        <v>Min Coll</v>
      </c>
      <c r="J20" s="44"/>
      <c r="K20" s="44"/>
      <c r="L20" s="26">
        <f>IF(Cap!H14="A",Cap!O14,
 IF(Cap!H14="B",Cap!P14,
 IF(Cap!H14="C",Cap!Q14,
 IF(Cap!H14="D",Cap!R14,
 IF(Cap!H14="E",Cap!S14,"")))))</f>
        <v>17700</v>
      </c>
      <c r="M20" s="44"/>
      <c r="N20" s="44">
        <f>IF(Cap!H14="A",Cap!J14,
 IF(Cap!H14="B",Cap!K14,
 IF(Cap!H14="C",Cap!L14,
 IF(Cap!H14="D",Cap!M14,
 IF(Cap!H14="E",Cap!N14,"")))))</f>
        <v>880</v>
      </c>
      <c r="O20" s="44"/>
      <c r="P20" s="44"/>
      <c r="Q20" s="44"/>
      <c r="R20" s="44">
        <f>LOS!J14</f>
        <v>6029</v>
      </c>
      <c r="S20" s="45"/>
      <c r="T20" s="44" t="str">
        <f>LOS!K14</f>
        <v>C</v>
      </c>
      <c r="U20" s="44"/>
      <c r="V20" s="44"/>
      <c r="W20" s="44"/>
      <c r="X20" s="44"/>
      <c r="Y20" s="44"/>
      <c r="Z20" s="44"/>
      <c r="AA20" s="44">
        <f>LOS!L14</f>
        <v>239</v>
      </c>
      <c r="AB20" s="44">
        <f>LOS!M14</f>
        <v>348</v>
      </c>
      <c r="AC20" s="45"/>
      <c r="AD20" s="44" t="str">
        <f>LOS!Q14</f>
        <v>C</v>
      </c>
      <c r="AE20" s="44">
        <f>LOS!R14</f>
        <v>320</v>
      </c>
      <c r="AF20" s="44">
        <f>LOS!S14</f>
        <v>230</v>
      </c>
      <c r="AG20" s="45"/>
      <c r="AH20" s="44" t="str">
        <f>LOS!W14</f>
        <v>C</v>
      </c>
      <c r="AI20" s="82">
        <f>(Trend!L14)</f>
        <v>3.9645843580925</v>
      </c>
      <c r="AJ20" s="77">
        <f>Cap!K14</f>
        <v>0</v>
      </c>
      <c r="AK20" s="77">
        <f>Cap!L14</f>
        <v>830</v>
      </c>
      <c r="AL20" s="77">
        <f>Cap!M14</f>
        <v>880</v>
      </c>
      <c r="AM20" s="77">
        <f>Cap!N14</f>
        <v>880</v>
      </c>
    </row>
    <row r="21" spans="1:39" ht="18" customHeight="1" x14ac:dyDescent="0.25">
      <c r="A21" s="49"/>
      <c r="B21" s="48" t="str">
        <f>'2025MasterFile-Stat'!F15</f>
        <v>(404, 327)*</v>
      </c>
      <c r="C21" s="47" t="str">
        <f>'2025MasterFile-Stat'!B15</f>
        <v>Binion Rd/Orange Ave</v>
      </c>
      <c r="D21" s="47" t="str">
        <f>LEFT('2025MasterFile-Stat'!C15,FIND(" to ",'2025MasterFile-Stat'!C15)-1)</f>
        <v>Boy Scout Rd</v>
      </c>
      <c r="E21" s="47" t="str">
        <f>RIGHT('2025MasterFile-Stat'!C15,LEN('2025MasterFile-Stat'!C15)-FIND(" to ",'2025MasterFile-Stat'!C15)-3)</f>
        <v>Lakeview Dr</v>
      </c>
      <c r="F21" s="44" t="str">
        <f>'2025MasterFile-Stat'!G15</f>
        <v>2L</v>
      </c>
      <c r="G21" s="44"/>
      <c r="H21" s="46" t="str">
        <f>'2025MasterFile-Stat'!H15</f>
        <v>E</v>
      </c>
      <c r="I21" s="44" t="str">
        <f>'2025MasterFile-Stat'!A15</f>
        <v>Min Coll</v>
      </c>
      <c r="J21" s="44"/>
      <c r="K21" s="44"/>
      <c r="L21" s="26">
        <f>IF(Cap!H15="A",Cap!O15,
 IF(Cap!H15="B",Cap!P15,
 IF(Cap!H15="C",Cap!Q15,
 IF(Cap!H15="D",Cap!R15,
 IF(Cap!H15="E",Cap!S15,"")))))</f>
        <v>17700</v>
      </c>
      <c r="M21" s="44"/>
      <c r="N21" s="44">
        <f>IF(Cap!H15="A",Cap!J15,
 IF(Cap!H15="B",Cap!K15,
 IF(Cap!H15="C",Cap!L15,
 IF(Cap!H15="D",Cap!M15,
 IF(Cap!H15="E",Cap!N15,"")))))</f>
        <v>880</v>
      </c>
      <c r="O21" s="44"/>
      <c r="P21" s="44"/>
      <c r="Q21" s="44"/>
      <c r="R21" s="44">
        <f>LOS!J15</f>
        <v>11510</v>
      </c>
      <c r="S21" s="45"/>
      <c r="T21" s="44" t="str">
        <f>LOS!K15</f>
        <v>C</v>
      </c>
      <c r="U21" s="44"/>
      <c r="V21" s="44"/>
      <c r="W21" s="44"/>
      <c r="X21" s="44"/>
      <c r="Y21" s="44"/>
      <c r="Z21" s="44"/>
      <c r="AA21" s="44">
        <f>LOS!L15</f>
        <v>414</v>
      </c>
      <c r="AB21" s="44">
        <f>LOS!M15</f>
        <v>565</v>
      </c>
      <c r="AC21" s="45"/>
      <c r="AD21" s="44" t="str">
        <f>LOS!Q15</f>
        <v>C</v>
      </c>
      <c r="AE21" s="44">
        <f>LOS!R15</f>
        <v>566</v>
      </c>
      <c r="AF21" s="44">
        <f>LOS!S15</f>
        <v>447</v>
      </c>
      <c r="AG21" s="45"/>
      <c r="AH21" s="44" t="str">
        <f>LOS!W15</f>
        <v>C</v>
      </c>
      <c r="AI21" s="82">
        <f>(Trend!L15)</f>
        <v>3.2003857937137701</v>
      </c>
      <c r="AJ21" s="77">
        <f>Cap!K15</f>
        <v>0</v>
      </c>
      <c r="AK21" s="77">
        <f>Cap!L15</f>
        <v>830</v>
      </c>
      <c r="AL21" s="77">
        <f>Cap!M15</f>
        <v>880</v>
      </c>
      <c r="AM21" s="77">
        <f>Cap!N15</f>
        <v>880</v>
      </c>
    </row>
    <row r="22" spans="1:39" ht="18" customHeight="1" x14ac:dyDescent="0.25">
      <c r="A22" s="49"/>
      <c r="B22" s="48" t="str">
        <f>'2025MasterFile-Stat'!F16</f>
        <v>28*</v>
      </c>
      <c r="C22" s="47" t="str">
        <f>'2025MasterFile-Stat'!B16</f>
        <v>Binion Rd/Orange Ave</v>
      </c>
      <c r="D22" s="47" t="str">
        <f>LEFT('2025MasterFile-Stat'!C16,FIND(" to ",'2025MasterFile-Stat'!C16)-1)</f>
        <v>Ocoee-Apopka Rd</v>
      </c>
      <c r="E22" s="47" t="str">
        <f>RIGHT('2025MasterFile-Stat'!C16,LEN('2025MasterFile-Stat'!C16)-FIND(" to ",'2025MasterFile-Stat'!C16)-3)</f>
        <v>Harmon Rd</v>
      </c>
      <c r="F22" s="44" t="str">
        <f>'2025MasterFile-Stat'!G16</f>
        <v>2L</v>
      </c>
      <c r="G22" s="44"/>
      <c r="H22" s="46" t="str">
        <f>'2025MasterFile-Stat'!H16</f>
        <v>E</v>
      </c>
      <c r="I22" s="44" t="str">
        <f>'2025MasterFile-Stat'!A16</f>
        <v>Min Coll</v>
      </c>
      <c r="J22" s="44"/>
      <c r="K22" s="44"/>
      <c r="L22" s="26">
        <f>IF(Cap!H16="A",Cap!O16,
 IF(Cap!H16="B",Cap!P16,
 IF(Cap!H16="C",Cap!Q16,
 IF(Cap!H16="D",Cap!R16,
 IF(Cap!H16="E",Cap!S16,"")))))</f>
        <v>17700</v>
      </c>
      <c r="M22" s="44"/>
      <c r="N22" s="44">
        <f>IF(Cap!H16="A",Cap!J16,
 IF(Cap!H16="B",Cap!K16,
 IF(Cap!H16="C",Cap!L16,
 IF(Cap!H16="D",Cap!M16,
 IF(Cap!H16="E",Cap!N16,"")))))</f>
        <v>880</v>
      </c>
      <c r="O22" s="44"/>
      <c r="P22" s="44"/>
      <c r="Q22" s="44"/>
      <c r="R22" s="44">
        <f>LOS!J16</f>
        <v>7257</v>
      </c>
      <c r="S22" s="45"/>
      <c r="T22" s="44" t="str">
        <f>LOS!K16</f>
        <v>C</v>
      </c>
      <c r="U22" s="44"/>
      <c r="V22" s="44"/>
      <c r="W22" s="44"/>
      <c r="X22" s="44"/>
      <c r="Y22" s="44"/>
      <c r="Z22" s="44"/>
      <c r="AA22" s="44">
        <f>LOS!L16</f>
        <v>357</v>
      </c>
      <c r="AB22" s="44">
        <f>LOS!M16</f>
        <v>216</v>
      </c>
      <c r="AC22" s="45"/>
      <c r="AD22" s="44" t="str">
        <f>LOS!Q16</f>
        <v>C</v>
      </c>
      <c r="AE22" s="44">
        <f>LOS!R16</f>
        <v>308</v>
      </c>
      <c r="AF22" s="44">
        <f>LOS!S16</f>
        <v>367</v>
      </c>
      <c r="AG22" s="45"/>
      <c r="AH22" s="44" t="str">
        <f>LOS!W16</f>
        <v>C</v>
      </c>
      <c r="AI22" s="82">
        <f>(Trend!L16)</f>
        <v>6.4652567975841704</v>
      </c>
      <c r="AJ22" s="77">
        <f>Cap!K16</f>
        <v>0</v>
      </c>
      <c r="AK22" s="77">
        <f>Cap!L16</f>
        <v>830</v>
      </c>
      <c r="AL22" s="77">
        <f>Cap!M16</f>
        <v>880</v>
      </c>
      <c r="AM22" s="77">
        <f>Cap!N16</f>
        <v>880</v>
      </c>
    </row>
    <row r="23" spans="1:39" ht="18" customHeight="1" x14ac:dyDescent="0.25">
      <c r="A23" s="49"/>
      <c r="B23" s="48">
        <f>'2025MasterFile-Stat'!F17</f>
        <v>673</v>
      </c>
      <c r="C23" s="47" t="str">
        <f>'2025MasterFile-Stat'!B17</f>
        <v>Binion Rd/Orange Ave</v>
      </c>
      <c r="D23" s="47" t="str">
        <f>LEFT('2025MasterFile-Stat'!C17,FIND(" to ",'2025MasterFile-Stat'!C17)-1)</f>
        <v>Harmon Rd</v>
      </c>
      <c r="E23" s="47" t="str">
        <f>RIGHT('2025MasterFile-Stat'!C17,LEN('2025MasterFile-Stat'!C17)-FIND(" to ",'2025MasterFile-Stat'!C17)-3)</f>
        <v>Boy Scout Rd</v>
      </c>
      <c r="F23" s="44" t="str">
        <f>'2025MasterFile-Stat'!G17</f>
        <v>2L</v>
      </c>
      <c r="G23" s="44"/>
      <c r="H23" s="46" t="str">
        <f>'2025MasterFile-Stat'!H17</f>
        <v>E</v>
      </c>
      <c r="I23" s="44" t="str">
        <f>'2025MasterFile-Stat'!A17</f>
        <v>Min Coll</v>
      </c>
      <c r="J23" s="44"/>
      <c r="K23" s="44"/>
      <c r="L23" s="26">
        <f>IF(Cap!H17="A",Cap!O17,
 IF(Cap!H17="B",Cap!P17,
 IF(Cap!H17="C",Cap!Q17,
 IF(Cap!H17="D",Cap!R17,
 IF(Cap!H17="E",Cap!S17,"")))))</f>
        <v>17700</v>
      </c>
      <c r="M23" s="44"/>
      <c r="N23" s="44">
        <f>IF(Cap!H17="A",Cap!J17,
 IF(Cap!H17="B",Cap!K17,
 IF(Cap!H17="C",Cap!L17,
 IF(Cap!H17="D",Cap!M17,
 IF(Cap!H17="E",Cap!N17,"")))))</f>
        <v>880</v>
      </c>
      <c r="O23" s="44"/>
      <c r="P23" s="44"/>
      <c r="Q23" s="44"/>
      <c r="R23" s="44">
        <f>LOS!J17</f>
        <v>9014</v>
      </c>
      <c r="S23" s="45"/>
      <c r="T23" s="44" t="str">
        <f>LOS!K17</f>
        <v>C</v>
      </c>
      <c r="U23" s="44"/>
      <c r="V23" s="44"/>
      <c r="W23" s="44"/>
      <c r="X23" s="44"/>
      <c r="Y23" s="44"/>
      <c r="Z23" s="44"/>
      <c r="AA23" s="44">
        <f>LOS!L17</f>
        <v>314</v>
      </c>
      <c r="AB23" s="44">
        <f>LOS!M17</f>
        <v>484</v>
      </c>
      <c r="AC23" s="45"/>
      <c r="AD23" s="44" t="str">
        <f>LOS!Q17</f>
        <v>C</v>
      </c>
      <c r="AE23" s="44">
        <f>LOS!R17</f>
        <v>376</v>
      </c>
      <c r="AF23" s="44">
        <f>LOS!S17</f>
        <v>341</v>
      </c>
      <c r="AG23" s="45"/>
      <c r="AH23" s="44" t="str">
        <f>LOS!W17</f>
        <v>C</v>
      </c>
      <c r="AI23" s="82">
        <f>(Trend!L17)</f>
        <v>9.21788329265841</v>
      </c>
      <c r="AJ23" s="77">
        <f>Cap!K17</f>
        <v>0</v>
      </c>
      <c r="AK23" s="77">
        <f>Cap!L17</f>
        <v>830</v>
      </c>
      <c r="AL23" s="77">
        <f>Cap!M17</f>
        <v>880</v>
      </c>
      <c r="AM23" s="77">
        <f>Cap!N17</f>
        <v>880</v>
      </c>
    </row>
    <row r="24" spans="1:39" ht="18" customHeight="1" x14ac:dyDescent="0.25">
      <c r="A24" s="49"/>
      <c r="B24" s="48">
        <f>'2025MasterFile-Stat'!F18</f>
        <v>556</v>
      </c>
      <c r="C24" s="47" t="str">
        <f>'2025MasterFile-Stat'!B18</f>
        <v>Boy Scout Rd</v>
      </c>
      <c r="D24" s="47" t="str">
        <f>LEFT('2025MasterFile-Stat'!C18,FIND(" to ",'2025MasterFile-Stat'!C18)-1)</f>
        <v>Binion Rd</v>
      </c>
      <c r="E24" s="47" t="str">
        <f>RIGHT('2025MasterFile-Stat'!C18,LEN('2025MasterFile-Stat'!C18)-FIND(" to ",'2025MasterFile-Stat'!C18)-3)</f>
        <v>Ocoee-Apopka Rd</v>
      </c>
      <c r="F24" s="44" t="str">
        <f>'2025MasterFile-Stat'!G18</f>
        <v>2L</v>
      </c>
      <c r="G24" s="44"/>
      <c r="H24" s="46" t="str">
        <f>'2025MasterFile-Stat'!H18</f>
        <v>E</v>
      </c>
      <c r="I24" s="44" t="str">
        <f>'2025MasterFile-Stat'!A18</f>
        <v>Min Coll</v>
      </c>
      <c r="J24" s="44"/>
      <c r="K24" s="44"/>
      <c r="L24" s="26">
        <f>IF(Cap!H18="A",Cap!O18,
 IF(Cap!H18="B",Cap!P18,
 IF(Cap!H18="C",Cap!Q18,
 IF(Cap!H18="D",Cap!R18,
 IF(Cap!H18="E",Cap!S18,"")))))</f>
        <v>15900</v>
      </c>
      <c r="M24" s="44"/>
      <c r="N24" s="44">
        <f>IF(Cap!H18="A",Cap!J18,
 IF(Cap!H18="B",Cap!K18,
 IF(Cap!H18="C",Cap!L18,
 IF(Cap!H18="D",Cap!M18,
 IF(Cap!H18="E",Cap!N18,"")))))</f>
        <v>790</v>
      </c>
      <c r="O24" s="44"/>
      <c r="P24" s="44"/>
      <c r="Q24" s="44"/>
      <c r="R24" s="44">
        <f>LOS!J18</f>
        <v>2992</v>
      </c>
      <c r="S24" s="45"/>
      <c r="T24" s="44" t="str">
        <f>LOS!K18</f>
        <v>C</v>
      </c>
      <c r="U24" s="44"/>
      <c r="V24" s="44"/>
      <c r="W24" s="44"/>
      <c r="X24" s="44"/>
      <c r="Y24" s="44"/>
      <c r="Z24" s="44"/>
      <c r="AA24" s="44">
        <f>LOS!L18</f>
        <v>111</v>
      </c>
      <c r="AB24" s="44">
        <f>LOS!M18</f>
        <v>111</v>
      </c>
      <c r="AC24" s="45"/>
      <c r="AD24" s="44" t="str">
        <f>LOS!Q18</f>
        <v>C</v>
      </c>
      <c r="AE24" s="44">
        <f>LOS!R18</f>
        <v>129</v>
      </c>
      <c r="AF24" s="44">
        <f>LOS!S18</f>
        <v>133</v>
      </c>
      <c r="AG24" s="45"/>
      <c r="AH24" s="44" t="str">
        <f>LOS!W18</f>
        <v>C</v>
      </c>
      <c r="AI24" s="82">
        <f>(Trend!L18)</f>
        <v>11.6143048128374</v>
      </c>
      <c r="AJ24" s="77">
        <f>Cap!K18</f>
        <v>0</v>
      </c>
      <c r="AK24" s="77">
        <f>Cap!L18</f>
        <v>750</v>
      </c>
      <c r="AL24" s="77">
        <f>Cap!M18</f>
        <v>790</v>
      </c>
      <c r="AM24" s="77">
        <f>Cap!N18</f>
        <v>790</v>
      </c>
    </row>
    <row r="25" spans="1:39" ht="18" customHeight="1" x14ac:dyDescent="0.25">
      <c r="A25" s="49"/>
      <c r="B25" s="48">
        <f>'2025MasterFile-Stat'!F19</f>
        <v>557</v>
      </c>
      <c r="C25" s="47" t="str">
        <f>'2025MasterFile-Stat'!B19</f>
        <v>Bradshaw Rd</v>
      </c>
      <c r="D25" s="47" t="str">
        <f>LEFT('2025MasterFile-Stat'!C19,FIND(" to ",'2025MasterFile-Stat'!C19)-1)</f>
        <v>US 441</v>
      </c>
      <c r="E25" s="47" t="str">
        <f>RIGHT('2025MasterFile-Stat'!C19,LEN('2025MasterFile-Stat'!C19)-FIND(" to ",'2025MasterFile-Stat'!C19)-3)</f>
        <v>Ocoee-Apopka Rd</v>
      </c>
      <c r="F25" s="44" t="str">
        <f>'2025MasterFile-Stat'!G19</f>
        <v>2L</v>
      </c>
      <c r="G25" s="44"/>
      <c r="H25" s="46" t="str">
        <f>'2025MasterFile-Stat'!H19</f>
        <v>E</v>
      </c>
      <c r="I25" s="44" t="str">
        <f>'2025MasterFile-Stat'!A19</f>
        <v>Min Coll</v>
      </c>
      <c r="J25" s="44"/>
      <c r="K25" s="44"/>
      <c r="L25" s="26">
        <f>IF(Cap!H19="A",Cap!O19,
 IF(Cap!H19="B",Cap!P19,
 IF(Cap!H19="C",Cap!Q19,
 IF(Cap!H19="D",Cap!R19,
 IF(Cap!H19="E",Cap!S19,"")))))</f>
        <v>15900</v>
      </c>
      <c r="M25" s="44"/>
      <c r="N25" s="44">
        <f>IF(Cap!H19="A",Cap!J19,
 IF(Cap!H19="B",Cap!K19,
 IF(Cap!H19="C",Cap!L19,
 IF(Cap!H19="D",Cap!M19,
 IF(Cap!H19="E",Cap!N19,"")))))</f>
        <v>790</v>
      </c>
      <c r="O25" s="44"/>
      <c r="P25" s="44"/>
      <c r="Q25" s="44"/>
      <c r="R25" s="44">
        <f>LOS!J19</f>
        <v>8963</v>
      </c>
      <c r="S25" s="45"/>
      <c r="T25" s="44" t="str">
        <f>LOS!K19</f>
        <v>C</v>
      </c>
      <c r="U25" s="44"/>
      <c r="V25" s="44"/>
      <c r="W25" s="44"/>
      <c r="X25" s="44"/>
      <c r="Y25" s="44"/>
      <c r="Z25" s="44"/>
      <c r="AA25" s="44">
        <f>LOS!L19</f>
        <v>347</v>
      </c>
      <c r="AB25" s="44">
        <f>LOS!M19</f>
        <v>277</v>
      </c>
      <c r="AC25" s="45"/>
      <c r="AD25" s="44" t="str">
        <f>LOS!Q19</f>
        <v>C</v>
      </c>
      <c r="AE25" s="44">
        <f>LOS!R19</f>
        <v>405</v>
      </c>
      <c r="AF25" s="44">
        <f>LOS!S19</f>
        <v>292</v>
      </c>
      <c r="AG25" s="45"/>
      <c r="AH25" s="44" t="str">
        <f>LOS!W19</f>
        <v>C</v>
      </c>
      <c r="AI25" s="82">
        <f>(Trend!L19)</f>
        <v>6.21443713042685</v>
      </c>
      <c r="AJ25" s="77">
        <f>Cap!K19</f>
        <v>0</v>
      </c>
      <c r="AK25" s="77">
        <f>Cap!L19</f>
        <v>750</v>
      </c>
      <c r="AL25" s="77">
        <f>Cap!M19</f>
        <v>790</v>
      </c>
      <c r="AM25" s="77">
        <f>Cap!N19</f>
        <v>790</v>
      </c>
    </row>
    <row r="26" spans="1:39" ht="18" customHeight="1" x14ac:dyDescent="0.25">
      <c r="A26" s="49"/>
      <c r="B26" s="48" t="str">
        <f>'2025MasterFile-Stat'!F20</f>
        <v>33*</v>
      </c>
      <c r="C26" s="47" t="str">
        <f>'2025MasterFile-Stat'!B20</f>
        <v>CR 424 (Alabama Ave/Apopka Blvd)</v>
      </c>
      <c r="D26" s="47" t="str">
        <f>LEFT('2025MasterFile-Stat'!C20,FIND(" to ",'2025MasterFile-Stat'!C20)-1)</f>
        <v>Hiawassee Rd</v>
      </c>
      <c r="E26" s="47" t="str">
        <f>RIGHT('2025MasterFile-Stat'!C20,LEN('2025MasterFile-Stat'!C20)-FIND(" to ",'2025MasterFile-Stat'!C20)-3)</f>
        <v>Overland Rd</v>
      </c>
      <c r="F26" s="44" t="str">
        <f>'2025MasterFile-Stat'!G20</f>
        <v>2L</v>
      </c>
      <c r="G26" s="44"/>
      <c r="H26" s="46" t="str">
        <f>'2025MasterFile-Stat'!H20</f>
        <v>E</v>
      </c>
      <c r="I26" s="44" t="str">
        <f>'2025MasterFile-Stat'!A20</f>
        <v>Min Art</v>
      </c>
      <c r="J26" s="44"/>
      <c r="K26" s="44"/>
      <c r="L26" s="26">
        <f>IF(Cap!H20="A",Cap!O20,
 IF(Cap!H20="B",Cap!P20,
 IF(Cap!H20="C",Cap!Q20,
 IF(Cap!H20="D",Cap!R20,
 IF(Cap!H20="E",Cap!S20,"")))))</f>
        <v>15600</v>
      </c>
      <c r="M26" s="44"/>
      <c r="N26" s="44">
        <f>IF(Cap!H20="A",Cap!J20,
 IF(Cap!H20="B",Cap!K20,
 IF(Cap!H20="C",Cap!L20,
 IF(Cap!H20="D",Cap!M20,
 IF(Cap!H20="E",Cap!N20,"")))))</f>
        <v>800</v>
      </c>
      <c r="O26" s="44"/>
      <c r="P26" s="44"/>
      <c r="Q26" s="44"/>
      <c r="R26" s="44">
        <f>LOS!J20</f>
        <v>7400</v>
      </c>
      <c r="S26" s="45"/>
      <c r="T26" s="44" t="str">
        <f>LOS!K20</f>
        <v>D</v>
      </c>
      <c r="U26" s="44"/>
      <c r="V26" s="44"/>
      <c r="W26" s="44"/>
      <c r="X26" s="44"/>
      <c r="Y26" s="44"/>
      <c r="Z26" s="44"/>
      <c r="AA26" s="44">
        <f>LOS!L20</f>
        <v>440</v>
      </c>
      <c r="AB26" s="44">
        <f>LOS!M20</f>
        <v>160</v>
      </c>
      <c r="AC26" s="45"/>
      <c r="AD26" s="44" t="str">
        <f>LOS!Q20</f>
        <v>D</v>
      </c>
      <c r="AE26" s="44">
        <f>LOS!R20</f>
        <v>200</v>
      </c>
      <c r="AF26" s="44">
        <f>LOS!S20</f>
        <v>350</v>
      </c>
      <c r="AG26" s="45"/>
      <c r="AH26" s="44" t="str">
        <f>LOS!W20</f>
        <v>C</v>
      </c>
      <c r="AI26" s="82">
        <f>(Trend!L20)</f>
        <v>2.6480836236940699</v>
      </c>
      <c r="AJ26" s="77">
        <f>Cap!K20</f>
        <v>0</v>
      </c>
      <c r="AK26" s="77">
        <f>Cap!L20</f>
        <v>370</v>
      </c>
      <c r="AL26" s="77">
        <f>Cap!M20</f>
        <v>750</v>
      </c>
      <c r="AM26" s="77">
        <f>Cap!N20</f>
        <v>800</v>
      </c>
    </row>
    <row r="27" spans="1:39" ht="18" customHeight="1" x14ac:dyDescent="0.25">
      <c r="A27" s="49"/>
      <c r="B27" s="48" t="str">
        <f>'2025MasterFile-Stat'!F21</f>
        <v>1008*</v>
      </c>
      <c r="C27" s="47" t="str">
        <f>'2025MasterFile-Stat'!B21</f>
        <v>CR 424 (Alabama Ave/Apopka Blvd)</v>
      </c>
      <c r="D27" s="47" t="str">
        <f>LEFT('2025MasterFile-Stat'!C21,FIND(" to ",'2025MasterFile-Stat'!C21)-1)</f>
        <v>8th St</v>
      </c>
      <c r="E27" s="47" t="str">
        <f>RIGHT('2025MasterFile-Stat'!C21,LEN('2025MasterFile-Stat'!C21)-FIND(" to ",'2025MasterFile-Stat'!C21)-3)</f>
        <v>Sheeler Rd</v>
      </c>
      <c r="F27" s="44" t="str">
        <f>'2025MasterFile-Stat'!G21</f>
        <v>2L</v>
      </c>
      <c r="G27" s="44"/>
      <c r="H27" s="46" t="str">
        <f>'2025MasterFile-Stat'!H21</f>
        <v>E</v>
      </c>
      <c r="I27" s="44" t="str">
        <f>'2025MasterFile-Stat'!A21</f>
        <v>Min Art</v>
      </c>
      <c r="J27" s="44"/>
      <c r="K27" s="44"/>
      <c r="L27" s="26">
        <f>IF(Cap!H21="A",Cap!O21,
 IF(Cap!H21="B",Cap!P21,
 IF(Cap!H21="C",Cap!Q21,
 IF(Cap!H21="D",Cap!R21,
 IF(Cap!H21="E",Cap!S21,"")))))</f>
        <v>17700</v>
      </c>
      <c r="M27" s="44"/>
      <c r="N27" s="44">
        <f>IF(Cap!H21="A",Cap!J21,
 IF(Cap!H21="B",Cap!K21,
 IF(Cap!H21="C",Cap!L21,
 IF(Cap!H21="D",Cap!M21,
 IF(Cap!H21="E",Cap!N21,"")))))</f>
        <v>880</v>
      </c>
      <c r="O27" s="44"/>
      <c r="P27" s="44"/>
      <c r="Q27" s="44"/>
      <c r="R27" s="44">
        <f>LOS!J21</f>
        <v>5068</v>
      </c>
      <c r="S27" s="45"/>
      <c r="T27" s="44" t="str">
        <f>LOS!K21</f>
        <v>C</v>
      </c>
      <c r="U27" s="44"/>
      <c r="V27" s="44"/>
      <c r="W27" s="44"/>
      <c r="X27" s="44"/>
      <c r="Y27" s="44"/>
      <c r="Z27" s="44"/>
      <c r="AA27" s="44">
        <f>LOS!L21</f>
        <v>166</v>
      </c>
      <c r="AB27" s="44">
        <f>LOS!M21</f>
        <v>223</v>
      </c>
      <c r="AC27" s="45"/>
      <c r="AD27" s="44" t="str">
        <f>LOS!Q21</f>
        <v>C</v>
      </c>
      <c r="AE27" s="44">
        <f>LOS!R21</f>
        <v>212</v>
      </c>
      <c r="AF27" s="44">
        <f>LOS!S21</f>
        <v>280</v>
      </c>
      <c r="AG27" s="45"/>
      <c r="AH27" s="44" t="str">
        <f>LOS!W21</f>
        <v>C</v>
      </c>
      <c r="AI27" s="82">
        <f>(Trend!L21)</f>
        <v>2.1003009027088102</v>
      </c>
      <c r="AJ27" s="77">
        <f>Cap!K21</f>
        <v>0</v>
      </c>
      <c r="AK27" s="77">
        <f>Cap!L21</f>
        <v>830</v>
      </c>
      <c r="AL27" s="77">
        <f>Cap!M21</f>
        <v>880</v>
      </c>
      <c r="AM27" s="77">
        <f>Cap!N21</f>
        <v>880</v>
      </c>
    </row>
    <row r="28" spans="1:39" ht="18" customHeight="1" x14ac:dyDescent="0.25">
      <c r="A28" s="49"/>
      <c r="B28" s="48">
        <f>'2025MasterFile-Stat'!F22</f>
        <v>671</v>
      </c>
      <c r="C28" s="47" t="str">
        <f>'2025MasterFile-Stat'!B22</f>
        <v>CR 424 (Alabama Ave/Apopka Blvd)</v>
      </c>
      <c r="D28" s="47" t="str">
        <f>LEFT('2025MasterFile-Stat'!C22,FIND(" to ",'2025MasterFile-Stat'!C22)-1)</f>
        <v>Overland Rd</v>
      </c>
      <c r="E28" s="47" t="str">
        <f>RIGHT('2025MasterFile-Stat'!C22,LEN('2025MasterFile-Stat'!C22)-FIND(" to ",'2025MasterFile-Stat'!C22)-3)</f>
        <v>US 441</v>
      </c>
      <c r="F28" s="44" t="str">
        <f>'2025MasterFile-Stat'!G22</f>
        <v>2L</v>
      </c>
      <c r="G28" s="44"/>
      <c r="H28" s="46" t="str">
        <f>'2025MasterFile-Stat'!H22</f>
        <v>E</v>
      </c>
      <c r="I28" s="44" t="str">
        <f>'2025MasterFile-Stat'!A22</f>
        <v>Min Art</v>
      </c>
      <c r="J28" s="44"/>
      <c r="K28" s="44"/>
      <c r="L28" s="26">
        <f>IF(Cap!H22="A",Cap!O22,
 IF(Cap!H22="B",Cap!P22,
 IF(Cap!H22="C",Cap!Q22,
 IF(Cap!H22="D",Cap!R22,
 IF(Cap!H22="E",Cap!S22,"")))))</f>
        <v>15600</v>
      </c>
      <c r="M28" s="44"/>
      <c r="N28" s="44">
        <f>IF(Cap!H22="A",Cap!J22,
 IF(Cap!H22="B",Cap!K22,
 IF(Cap!H22="C",Cap!L22,
 IF(Cap!H22="D",Cap!M22,
 IF(Cap!H22="E",Cap!N22,"")))))</f>
        <v>800</v>
      </c>
      <c r="O28" s="44"/>
      <c r="P28" s="44"/>
      <c r="Q28" s="44"/>
      <c r="R28" s="44">
        <f>LOS!J22</f>
        <v>6157</v>
      </c>
      <c r="S28" s="45"/>
      <c r="T28" s="44" t="str">
        <f>LOS!K22</f>
        <v>C</v>
      </c>
      <c r="U28" s="44"/>
      <c r="V28" s="44"/>
      <c r="W28" s="44"/>
      <c r="X28" s="44"/>
      <c r="Y28" s="44"/>
      <c r="Z28" s="44"/>
      <c r="AA28" s="44">
        <f>LOS!L22</f>
        <v>259</v>
      </c>
      <c r="AB28" s="44">
        <f>LOS!M22</f>
        <v>216</v>
      </c>
      <c r="AC28" s="45"/>
      <c r="AD28" s="44" t="str">
        <f>LOS!Q22</f>
        <v>C</v>
      </c>
      <c r="AE28" s="44">
        <f>LOS!R22</f>
        <v>282</v>
      </c>
      <c r="AF28" s="44">
        <f>LOS!S22</f>
        <v>157</v>
      </c>
      <c r="AG28" s="45"/>
      <c r="AH28" s="44" t="str">
        <f>LOS!W22</f>
        <v>C</v>
      </c>
      <c r="AI28" s="82">
        <f>(Trend!L22)</f>
        <v>2.4443722592178601</v>
      </c>
      <c r="AJ28" s="77">
        <f>Cap!K22</f>
        <v>0</v>
      </c>
      <c r="AK28" s="77">
        <f>Cap!L22</f>
        <v>370</v>
      </c>
      <c r="AL28" s="77">
        <f>Cap!M22</f>
        <v>750</v>
      </c>
      <c r="AM28" s="77">
        <f>Cap!N22</f>
        <v>800</v>
      </c>
    </row>
    <row r="29" spans="1:39" ht="18" customHeight="1" x14ac:dyDescent="0.25">
      <c r="A29" s="49"/>
      <c r="B29" s="48">
        <f>'2025MasterFile-Stat'!F23</f>
        <v>658</v>
      </c>
      <c r="C29" s="47" t="str">
        <f>'2025MasterFile-Stat'!B23</f>
        <v>CR 424 (Alabama Ave/Apopka Blvd)</v>
      </c>
      <c r="D29" s="47" t="str">
        <f>LEFT('2025MasterFile-Stat'!C23,FIND(" to ",'2025MasterFile-Stat'!C23)-1)</f>
        <v>Lakeville Rd</v>
      </c>
      <c r="E29" s="47" t="str">
        <f>RIGHT('2025MasterFile-Stat'!C23,LEN('2025MasterFile-Stat'!C23)-FIND(" to ",'2025MasterFile-Stat'!C23)-3)</f>
        <v>Hiawassee Rd</v>
      </c>
      <c r="F29" s="44" t="str">
        <f>'2025MasterFile-Stat'!G23</f>
        <v>3L</v>
      </c>
      <c r="G29" s="44"/>
      <c r="H29" s="46" t="str">
        <f>'2025MasterFile-Stat'!H23</f>
        <v>E</v>
      </c>
      <c r="I29" s="44" t="str">
        <f>'2025MasterFile-Stat'!A23</f>
        <v>Min Art</v>
      </c>
      <c r="J29" s="44"/>
      <c r="K29" s="44"/>
      <c r="L29" s="26">
        <f>IF(Cap!H23="A",Cap!O23,
 IF(Cap!H23="B",Cap!P23,
 IF(Cap!H23="C",Cap!Q23,
 IF(Cap!H23="D",Cap!R23,
 IF(Cap!H23="E",Cap!S23,"")))))</f>
        <v>18600</v>
      </c>
      <c r="M29" s="44"/>
      <c r="N29" s="44">
        <f>IF(Cap!H23="A",Cap!J23,
 IF(Cap!H23="B",Cap!K23,
 IF(Cap!H23="C",Cap!L23,
 IF(Cap!H23="D",Cap!M23,
 IF(Cap!H23="E",Cap!N23,"")))))</f>
        <v>920</v>
      </c>
      <c r="O29" s="44"/>
      <c r="P29" s="44"/>
      <c r="Q29" s="44"/>
      <c r="R29" s="44">
        <f>LOS!J23</f>
        <v>12357</v>
      </c>
      <c r="S29" s="45"/>
      <c r="T29" s="44" t="str">
        <f>LOS!K23</f>
        <v>C</v>
      </c>
      <c r="U29" s="44"/>
      <c r="V29" s="44"/>
      <c r="W29" s="44"/>
      <c r="X29" s="44"/>
      <c r="Y29" s="44"/>
      <c r="Z29" s="44"/>
      <c r="AA29" s="44">
        <f>LOS!L23</f>
        <v>491</v>
      </c>
      <c r="AB29" s="44">
        <f>LOS!M23</f>
        <v>333</v>
      </c>
      <c r="AC29" s="45"/>
      <c r="AD29" s="44" t="str">
        <f>LOS!Q23</f>
        <v>C</v>
      </c>
      <c r="AE29" s="44">
        <f>LOS!R23</f>
        <v>421</v>
      </c>
      <c r="AF29" s="44">
        <f>LOS!S23</f>
        <v>667</v>
      </c>
      <c r="AG29" s="45"/>
      <c r="AH29" s="44" t="str">
        <f>LOS!W23</f>
        <v>C</v>
      </c>
      <c r="AI29" s="82">
        <f>(Trend!L23)</f>
        <v>1.2729626932107201</v>
      </c>
      <c r="AJ29" s="77">
        <f>Cap!K23</f>
        <v>0</v>
      </c>
      <c r="AK29" s="77">
        <f>Cap!L23</f>
        <v>870</v>
      </c>
      <c r="AL29" s="77">
        <f>Cap!M23</f>
        <v>920</v>
      </c>
      <c r="AM29" s="77">
        <f>Cap!N23</f>
        <v>920</v>
      </c>
    </row>
    <row r="30" spans="1:39" ht="18" customHeight="1" x14ac:dyDescent="0.25">
      <c r="A30" s="49"/>
      <c r="B30" s="48" t="str">
        <f>'2025MasterFile-Stat'!F24</f>
        <v>7033*</v>
      </c>
      <c r="C30" s="47" t="str">
        <f>'2025MasterFile-Stat'!B24</f>
        <v>CR 424 (Alabama Ave/Apopka Blvd)</v>
      </c>
      <c r="D30" s="47" t="str">
        <f>LEFT('2025MasterFile-Stat'!C24,FIND(" to ",'2025MasterFile-Stat'!C24)-1)</f>
        <v>Sheeler Rd</v>
      </c>
      <c r="E30" s="47" t="str">
        <f>RIGHT('2025MasterFile-Stat'!C24,LEN('2025MasterFile-Stat'!C24)-FIND(" to ",'2025MasterFile-Stat'!C24)-3)</f>
        <v>Lakeville Rd</v>
      </c>
      <c r="F30" s="44" t="str">
        <f>'2025MasterFile-Stat'!G24</f>
        <v>2L</v>
      </c>
      <c r="G30" s="44"/>
      <c r="H30" s="46" t="str">
        <f>'2025MasterFile-Stat'!H24</f>
        <v>E</v>
      </c>
      <c r="I30" s="44" t="str">
        <f>'2025MasterFile-Stat'!A24</f>
        <v>Min Art</v>
      </c>
      <c r="J30" s="44"/>
      <c r="K30" s="44"/>
      <c r="L30" s="26">
        <f>IF(Cap!H24="A",Cap!O24,
 IF(Cap!H24="B",Cap!P24,
 IF(Cap!H24="C",Cap!Q24,
 IF(Cap!H24="D",Cap!R24,
 IF(Cap!H24="E",Cap!S24,"")))))</f>
        <v>17700</v>
      </c>
      <c r="M30" s="44"/>
      <c r="N30" s="44">
        <f>IF(Cap!H24="A",Cap!J24,
 IF(Cap!H24="B",Cap!K24,
 IF(Cap!H24="C",Cap!L24,
 IF(Cap!H24="D",Cap!M24,
 IF(Cap!H24="E",Cap!N24,"")))))</f>
        <v>880</v>
      </c>
      <c r="O30" s="44"/>
      <c r="P30" s="44"/>
      <c r="Q30" s="44"/>
      <c r="R30" s="44">
        <f>LOS!J24</f>
        <v>9481</v>
      </c>
      <c r="S30" s="45"/>
      <c r="T30" s="44" t="str">
        <f>LOS!K24</f>
        <v>C</v>
      </c>
      <c r="U30" s="44"/>
      <c r="V30" s="44"/>
      <c r="W30" s="44"/>
      <c r="X30" s="44"/>
      <c r="Y30" s="44"/>
      <c r="Z30" s="44"/>
      <c r="AA30" s="44">
        <f>LOS!L24</f>
        <v>364</v>
      </c>
      <c r="AB30" s="44">
        <f>LOS!M24</f>
        <v>306</v>
      </c>
      <c r="AC30" s="45"/>
      <c r="AD30" s="44" t="str">
        <f>LOS!Q24</f>
        <v>C</v>
      </c>
      <c r="AE30" s="44">
        <f>LOS!R24</f>
        <v>405</v>
      </c>
      <c r="AF30" s="44">
        <f>LOS!S24</f>
        <v>465</v>
      </c>
      <c r="AG30" s="45"/>
      <c r="AH30" s="44" t="str">
        <f>LOS!W24</f>
        <v>C</v>
      </c>
      <c r="AI30" s="82">
        <f>(Trend!L24)</f>
        <v>1.5300084530856899</v>
      </c>
      <c r="AJ30" s="77">
        <f>Cap!K24</f>
        <v>0</v>
      </c>
      <c r="AK30" s="77">
        <f>Cap!L24</f>
        <v>830</v>
      </c>
      <c r="AL30" s="77">
        <f>Cap!M24</f>
        <v>880</v>
      </c>
      <c r="AM30" s="77">
        <f>Cap!N24</f>
        <v>880</v>
      </c>
    </row>
    <row r="31" spans="1:39" ht="18" customHeight="1" x14ac:dyDescent="0.25">
      <c r="A31" s="49"/>
      <c r="B31" s="48">
        <f>'2025MasterFile-Stat'!F25</f>
        <v>670</v>
      </c>
      <c r="C31" s="47" t="str">
        <f>'2025MasterFile-Stat'!B25</f>
        <v>CR 424 (Alabama Ave/Apopka Blvd)</v>
      </c>
      <c r="D31" s="47" t="str">
        <f>LEFT('2025MasterFile-Stat'!C25,FIND(" to ",'2025MasterFile-Stat'!C25)-1)</f>
        <v>US 441</v>
      </c>
      <c r="E31" s="47" t="str">
        <f>RIGHT('2025MasterFile-Stat'!C25,LEN('2025MasterFile-Stat'!C25)-FIND(" to ",'2025MasterFile-Stat'!C25)-3)</f>
        <v>8th St</v>
      </c>
      <c r="F31" s="44" t="str">
        <f>'2025MasterFile-Stat'!G25</f>
        <v>2L</v>
      </c>
      <c r="G31" s="44"/>
      <c r="H31" s="46" t="str">
        <f>'2025MasterFile-Stat'!H25</f>
        <v>E</v>
      </c>
      <c r="I31" s="44" t="str">
        <f>'2025MasterFile-Stat'!A25</f>
        <v>Min Art</v>
      </c>
      <c r="J31" s="44"/>
      <c r="K31" s="44"/>
      <c r="L31" s="26">
        <f>IF(Cap!H25="A",Cap!O25,
 IF(Cap!H25="B",Cap!P25,
 IF(Cap!H25="C",Cap!Q25,
 IF(Cap!H25="D",Cap!R25,
 IF(Cap!H25="E",Cap!S25,"")))))</f>
        <v>15600</v>
      </c>
      <c r="M31" s="44"/>
      <c r="N31" s="44">
        <f>IF(Cap!H25="A",Cap!J25,
 IF(Cap!H25="B",Cap!K25,
 IF(Cap!H25="C",Cap!L25,
 IF(Cap!H25="D",Cap!M25,
 IF(Cap!H25="E",Cap!N25,"")))))</f>
        <v>800</v>
      </c>
      <c r="O31" s="44"/>
      <c r="P31" s="44"/>
      <c r="Q31" s="44"/>
      <c r="R31" s="44">
        <f>LOS!J25</f>
        <v>2343</v>
      </c>
      <c r="S31" s="45"/>
      <c r="T31" s="44" t="str">
        <f>LOS!K25</f>
        <v>C</v>
      </c>
      <c r="U31" s="44"/>
      <c r="V31" s="44"/>
      <c r="W31" s="44"/>
      <c r="X31" s="44"/>
      <c r="Y31" s="44"/>
      <c r="Z31" s="44"/>
      <c r="AA31" s="44">
        <f>LOS!L25</f>
        <v>42</v>
      </c>
      <c r="AB31" s="44">
        <f>LOS!M25</f>
        <v>80</v>
      </c>
      <c r="AC31" s="45"/>
      <c r="AD31" s="44" t="str">
        <f>LOS!Q25</f>
        <v>C</v>
      </c>
      <c r="AE31" s="44">
        <f>LOS!R25</f>
        <v>97</v>
      </c>
      <c r="AF31" s="44">
        <f>LOS!S25</f>
        <v>136</v>
      </c>
      <c r="AG31" s="45"/>
      <c r="AH31" s="44" t="str">
        <f>LOS!W25</f>
        <v>C</v>
      </c>
      <c r="AI31" s="82">
        <f>(Trend!L25)</f>
        <v>-2.5437473324805202</v>
      </c>
      <c r="AJ31" s="77">
        <f>Cap!K25</f>
        <v>0</v>
      </c>
      <c r="AK31" s="77">
        <f>Cap!L25</f>
        <v>370</v>
      </c>
      <c r="AL31" s="77">
        <f>Cap!M25</f>
        <v>750</v>
      </c>
      <c r="AM31" s="77">
        <f>Cap!N25</f>
        <v>800</v>
      </c>
    </row>
    <row r="32" spans="1:39" ht="18" customHeight="1" x14ac:dyDescent="0.25">
      <c r="A32" s="49"/>
      <c r="B32" s="48" t="str">
        <f>'2025MasterFile-Stat'!F26</f>
        <v>(32, 7004)*</v>
      </c>
      <c r="C32" s="47" t="str">
        <f>'2025MasterFile-Stat'!B26</f>
        <v>CR 435 (Rock Spring Rd/Park Ave/Clarcona Rd)</v>
      </c>
      <c r="D32" s="47" t="str">
        <f>LEFT('2025MasterFile-Stat'!C26,FIND(" to ",'2025MasterFile-Stat'!C26)-1)</f>
        <v>Keene Rd</v>
      </c>
      <c r="E32" s="47" t="str">
        <f>RIGHT('2025MasterFile-Stat'!C26,LEN('2025MasterFile-Stat'!C26)-FIND(" to ",'2025MasterFile-Stat'!C26)-3)</f>
        <v>McCormick Rd</v>
      </c>
      <c r="F32" s="44" t="str">
        <f>'2025MasterFile-Stat'!G26</f>
        <v>2L</v>
      </c>
      <c r="G32" s="44"/>
      <c r="H32" s="46" t="str">
        <f>'2025MasterFile-Stat'!H26</f>
        <v>E</v>
      </c>
      <c r="I32" s="44" t="str">
        <f>'2025MasterFile-Stat'!A26</f>
        <v>Min Art</v>
      </c>
      <c r="J32" s="44"/>
      <c r="K32" s="44"/>
      <c r="L32" s="26">
        <f>IF(Cap!H26="A",Cap!O26,
 IF(Cap!H26="B",Cap!P26,
 IF(Cap!H26="C",Cap!Q26,
 IF(Cap!H26="D",Cap!R26,
 IF(Cap!H26="E",Cap!S26,"")))))</f>
        <v>17700</v>
      </c>
      <c r="M32" s="44"/>
      <c r="N32" s="44">
        <f>IF(Cap!H26="A",Cap!J26,
 IF(Cap!H26="B",Cap!K26,
 IF(Cap!H26="C",Cap!L26,
 IF(Cap!H26="D",Cap!M26,
 IF(Cap!H26="E",Cap!N26,"")))))</f>
        <v>880</v>
      </c>
      <c r="O32" s="44"/>
      <c r="P32" s="44"/>
      <c r="Q32" s="44"/>
      <c r="R32" s="44">
        <f>LOS!J26</f>
        <v>34702</v>
      </c>
      <c r="S32" s="45"/>
      <c r="T32" s="44" t="str">
        <f>LOS!K26</f>
        <v>F</v>
      </c>
      <c r="U32" s="44"/>
      <c r="V32" s="44"/>
      <c r="W32" s="44"/>
      <c r="X32" s="44"/>
      <c r="Y32" s="44"/>
      <c r="Z32" s="44"/>
      <c r="AA32" s="44">
        <f>LOS!L26</f>
        <v>1239</v>
      </c>
      <c r="AB32" s="44">
        <f>LOS!M26</f>
        <v>1353</v>
      </c>
      <c r="AC32" s="45"/>
      <c r="AD32" s="44" t="str">
        <f>LOS!Q26</f>
        <v>F</v>
      </c>
      <c r="AE32" s="44">
        <f>LOS!R26</f>
        <v>1445</v>
      </c>
      <c r="AF32" s="44">
        <f>LOS!S26</f>
        <v>1556</v>
      </c>
      <c r="AG32" s="45"/>
      <c r="AH32" s="44" t="str">
        <f>LOS!W26</f>
        <v>F</v>
      </c>
      <c r="AI32" s="82">
        <f>(Trend!L26)</f>
        <v>4.5313838597307097</v>
      </c>
      <c r="AJ32" s="77">
        <f>Cap!K26</f>
        <v>0</v>
      </c>
      <c r="AK32" s="77">
        <f>Cap!L26</f>
        <v>830</v>
      </c>
      <c r="AL32" s="77">
        <f>Cap!M26</f>
        <v>880</v>
      </c>
      <c r="AM32" s="77">
        <f>Cap!N26</f>
        <v>880</v>
      </c>
    </row>
    <row r="33" spans="1:39" ht="18" customHeight="1" x14ac:dyDescent="0.25">
      <c r="A33" s="49"/>
      <c r="B33" s="48" t="str">
        <f>'2025MasterFile-Stat'!F27</f>
        <v>328*</v>
      </c>
      <c r="C33" s="47" t="str">
        <f>'2025MasterFile-Stat'!B27</f>
        <v>CR 435 (Rock Spring Rd/Park Ave/Clarcona Rd)</v>
      </c>
      <c r="D33" s="47" t="str">
        <f>LEFT('2025MasterFile-Stat'!C27,FIND(" to ",'2025MasterFile-Stat'!C27)-1)</f>
        <v>M. Gladden Blvd</v>
      </c>
      <c r="E33" s="47" t="str">
        <f>RIGHT('2025MasterFile-Stat'!C27,LEN('2025MasterFile-Stat'!C27)-FIND(" to ",'2025MasterFile-Stat'!C27)-3)</f>
        <v>Cleveland St</v>
      </c>
      <c r="F33" s="44" t="str">
        <f>'2025MasterFile-Stat'!G27</f>
        <v>2L</v>
      </c>
      <c r="G33" s="44"/>
      <c r="H33" s="46" t="str">
        <f>'2025MasterFile-Stat'!H27</f>
        <v>E</v>
      </c>
      <c r="I33" s="44" t="str">
        <f>'2025MasterFile-Stat'!A27</f>
        <v>Min Art</v>
      </c>
      <c r="J33" s="44"/>
      <c r="K33" s="44"/>
      <c r="L33" s="26">
        <f>IF(Cap!H27="A",Cap!O27,
 IF(Cap!H27="B",Cap!P27,
 IF(Cap!H27="C",Cap!Q27,
 IF(Cap!H27="D",Cap!R27,
 IF(Cap!H27="E",Cap!S27,"")))))</f>
        <v>15600</v>
      </c>
      <c r="M33" s="44"/>
      <c r="N33" s="44">
        <f>IF(Cap!H27="A",Cap!J27,
 IF(Cap!H27="B",Cap!K27,
 IF(Cap!H27="C",Cap!L27,
 IF(Cap!H27="D",Cap!M27,
 IF(Cap!H27="E",Cap!N27,"")))))</f>
        <v>800</v>
      </c>
      <c r="O33" s="44"/>
      <c r="P33" s="44"/>
      <c r="Q33" s="44"/>
      <c r="R33" s="44">
        <f>LOS!J27</f>
        <v>10804</v>
      </c>
      <c r="S33" s="45"/>
      <c r="T33" s="44" t="str">
        <f>LOS!K27</f>
        <v>D</v>
      </c>
      <c r="U33" s="44"/>
      <c r="V33" s="44"/>
      <c r="W33" s="44"/>
      <c r="X33" s="44"/>
      <c r="Y33" s="44"/>
      <c r="Z33" s="44"/>
      <c r="AA33" s="44">
        <f>LOS!L27</f>
        <v>361</v>
      </c>
      <c r="AB33" s="44">
        <f>LOS!M27</f>
        <v>353</v>
      </c>
      <c r="AC33" s="45"/>
      <c r="AD33" s="44" t="str">
        <f>LOS!Q27</f>
        <v>C</v>
      </c>
      <c r="AE33" s="44">
        <f>LOS!R27</f>
        <v>436</v>
      </c>
      <c r="AF33" s="44">
        <f>LOS!S27</f>
        <v>389</v>
      </c>
      <c r="AG33" s="45"/>
      <c r="AH33" s="44" t="str">
        <f>LOS!W27</f>
        <v>D</v>
      </c>
      <c r="AI33" s="82">
        <f>(Trend!L27)</f>
        <v>8.0109239872754506E-2</v>
      </c>
      <c r="AJ33" s="77">
        <f>Cap!K27</f>
        <v>0</v>
      </c>
      <c r="AK33" s="77">
        <f>Cap!L27</f>
        <v>370</v>
      </c>
      <c r="AL33" s="77">
        <f>Cap!M27</f>
        <v>750</v>
      </c>
      <c r="AM33" s="77">
        <f>Cap!N27</f>
        <v>800</v>
      </c>
    </row>
    <row r="34" spans="1:39" ht="18" customHeight="1" x14ac:dyDescent="0.25">
      <c r="A34" s="49"/>
      <c r="B34" s="48" t="str">
        <f>'2025MasterFile-Stat'!F28</f>
        <v>426*</v>
      </c>
      <c r="C34" s="47" t="str">
        <f>'2025MasterFile-Stat'!B28</f>
        <v>CR 435 (Rock Spring Rd/Park Ave/Clarcona Rd)</v>
      </c>
      <c r="D34" s="47" t="str">
        <f>LEFT('2025MasterFile-Stat'!C28,FIND(" to ",'2025MasterFile-Stat'!C28)-1)</f>
        <v>Votaw Rd</v>
      </c>
      <c r="E34" s="47" t="str">
        <f>RIGHT('2025MasterFile-Stat'!C28,LEN('2025MasterFile-Stat'!C28)-FIND(" to ",'2025MasterFile-Stat'!C28)-3)</f>
        <v>Orange St</v>
      </c>
      <c r="F34" s="44" t="str">
        <f>'2025MasterFile-Stat'!G28</f>
        <v>5L</v>
      </c>
      <c r="G34" s="44"/>
      <c r="H34" s="46" t="str">
        <f>'2025MasterFile-Stat'!H28</f>
        <v>E</v>
      </c>
      <c r="I34" s="44" t="str">
        <f>'2025MasterFile-Stat'!A28</f>
        <v>Min Art</v>
      </c>
      <c r="J34" s="44"/>
      <c r="K34" s="44"/>
      <c r="L34" s="26">
        <f>IF(Cap!H28="A",Cap!O28,
 IF(Cap!H28="B",Cap!P28,
 IF(Cap!H28="C",Cap!Q28,
 IF(Cap!H28="D",Cap!R28,
 IF(Cap!H28="E",Cap!S28,"")))))</f>
        <v>33800</v>
      </c>
      <c r="M34" s="44"/>
      <c r="N34" s="44">
        <f>IF(Cap!H28="A",Cap!J28,
 IF(Cap!H28="B",Cap!K28,
 IF(Cap!H28="C",Cap!L28,
 IF(Cap!H28="D",Cap!M28,
 IF(Cap!H28="E",Cap!N28,"")))))</f>
        <v>1700</v>
      </c>
      <c r="O34" s="44"/>
      <c r="P34" s="44"/>
      <c r="Q34" s="44"/>
      <c r="R34" s="44">
        <f>LOS!J28</f>
        <v>22637</v>
      </c>
      <c r="S34" s="45"/>
      <c r="T34" s="44" t="str">
        <f>LOS!K28</f>
        <v>D</v>
      </c>
      <c r="U34" s="44"/>
      <c r="V34" s="44"/>
      <c r="W34" s="44"/>
      <c r="X34" s="44"/>
      <c r="Y34" s="44"/>
      <c r="Z34" s="44"/>
      <c r="AA34" s="44">
        <f>LOS!L28</f>
        <v>651</v>
      </c>
      <c r="AB34" s="44">
        <f>LOS!M28</f>
        <v>988</v>
      </c>
      <c r="AC34" s="45"/>
      <c r="AD34" s="44" t="str">
        <f>LOS!Q28</f>
        <v>D</v>
      </c>
      <c r="AE34" s="44">
        <f>LOS!R28</f>
        <v>1030</v>
      </c>
      <c r="AF34" s="44">
        <f>LOS!S28</f>
        <v>793</v>
      </c>
      <c r="AG34" s="45"/>
      <c r="AH34" s="44" t="str">
        <f>LOS!W28</f>
        <v>D</v>
      </c>
      <c r="AI34" s="82">
        <f>(Trend!L28)</f>
        <v>-0.90662154339450296</v>
      </c>
      <c r="AJ34" s="77">
        <f>Cap!K28</f>
        <v>0</v>
      </c>
      <c r="AK34" s="77">
        <f>Cap!L28</f>
        <v>730</v>
      </c>
      <c r="AL34" s="77">
        <f>Cap!M28</f>
        <v>1630</v>
      </c>
      <c r="AM34" s="77">
        <f>Cap!N28</f>
        <v>1700</v>
      </c>
    </row>
    <row r="35" spans="1:39" ht="18" customHeight="1" x14ac:dyDescent="0.25">
      <c r="A35" s="49"/>
      <c r="B35" s="48" t="str">
        <f>'2025MasterFile-Stat'!F29</f>
        <v>21*</v>
      </c>
      <c r="C35" s="47" t="str">
        <f>'2025MasterFile-Stat'!B29</f>
        <v>CR 435 (Rock Spring Rd/Park Ave/Clarcona Rd)</v>
      </c>
      <c r="D35" s="47" t="str">
        <f>LEFT('2025MasterFile-Stat'!C29,FIND(" to ",'2025MasterFile-Stat'!C29)-1)</f>
        <v>Welch Rd</v>
      </c>
      <c r="E35" s="47" t="str">
        <f>RIGHT('2025MasterFile-Stat'!C29,LEN('2025MasterFile-Stat'!C29)-FIND(" to ",'2025MasterFile-Stat'!C29)-3)</f>
        <v>Sandpiper Rd</v>
      </c>
      <c r="F35" s="44" t="str">
        <f>'2025MasterFile-Stat'!G29</f>
        <v>5L</v>
      </c>
      <c r="G35" s="44"/>
      <c r="H35" s="46" t="str">
        <f>'2025MasterFile-Stat'!H29</f>
        <v>E</v>
      </c>
      <c r="I35" s="44" t="str">
        <f>'2025MasterFile-Stat'!A29</f>
        <v>Min Art</v>
      </c>
      <c r="J35" s="44"/>
      <c r="K35" s="44"/>
      <c r="L35" s="26">
        <f>IF(Cap!H29="A",Cap!O29,
 IF(Cap!H29="B",Cap!P29,
 IF(Cap!H29="C",Cap!Q29,
 IF(Cap!H29="D",Cap!R29,
 IF(Cap!H29="E",Cap!S29,"")))))</f>
        <v>39800</v>
      </c>
      <c r="M35" s="44"/>
      <c r="N35" s="44">
        <f>IF(Cap!H29="A",Cap!J29,
 IF(Cap!H29="B",Cap!K29,
 IF(Cap!H29="C",Cap!L29,
 IF(Cap!H29="D",Cap!M29,
 IF(Cap!H29="E",Cap!N29,"")))))</f>
        <v>2000</v>
      </c>
      <c r="O35" s="44"/>
      <c r="P35" s="44"/>
      <c r="Q35" s="44"/>
      <c r="R35" s="44">
        <f>LOS!J29</f>
        <v>25374</v>
      </c>
      <c r="S35" s="45"/>
      <c r="T35" s="44" t="str">
        <f>LOS!K29</f>
        <v>C</v>
      </c>
      <c r="U35" s="44"/>
      <c r="V35" s="44"/>
      <c r="W35" s="44"/>
      <c r="X35" s="44"/>
      <c r="Y35" s="44"/>
      <c r="Z35" s="44"/>
      <c r="AA35" s="44">
        <f>LOS!L29</f>
        <v>1384</v>
      </c>
      <c r="AB35" s="44">
        <f>LOS!M29</f>
        <v>698</v>
      </c>
      <c r="AC35" s="45"/>
      <c r="AD35" s="44" t="str">
        <f>LOS!Q29</f>
        <v>C</v>
      </c>
      <c r="AE35" s="44">
        <f>LOS!R29</f>
        <v>954</v>
      </c>
      <c r="AF35" s="44">
        <f>LOS!S29</f>
        <v>1359</v>
      </c>
      <c r="AG35" s="45"/>
      <c r="AH35" s="44" t="str">
        <f>LOS!W29</f>
        <v>C</v>
      </c>
      <c r="AI35" s="82">
        <f>(Trend!L29)</f>
        <v>2.23049051311104</v>
      </c>
      <c r="AJ35" s="77">
        <f>Cap!K29</f>
        <v>0</v>
      </c>
      <c r="AK35" s="77">
        <f>Cap!L29</f>
        <v>1910</v>
      </c>
      <c r="AL35" s="77">
        <f>Cap!M29</f>
        <v>2000</v>
      </c>
      <c r="AM35" s="77">
        <f>Cap!N29</f>
        <v>2000</v>
      </c>
    </row>
    <row r="36" spans="1:39" ht="18" customHeight="1" x14ac:dyDescent="0.25">
      <c r="A36" s="49"/>
      <c r="B36" s="48" t="str">
        <f>'2025MasterFile-Stat'!F30</f>
        <v>19*</v>
      </c>
      <c r="C36" s="47" t="str">
        <f>'2025MasterFile-Stat'!B30</f>
        <v>CR 435 (Rock Spring Rd/Park Ave/Clarcona Rd)</v>
      </c>
      <c r="D36" s="47" t="str">
        <f>LEFT('2025MasterFile-Stat'!C30,FIND(" to ",'2025MasterFile-Stat'!C30)-1)</f>
        <v>Ponkan Rd</v>
      </c>
      <c r="E36" s="47" t="str">
        <f>RIGHT('2025MasterFile-Stat'!C30,LEN('2025MasterFile-Stat'!C30)-FIND(" to ",'2025MasterFile-Stat'!C30)-3)</f>
        <v>Welch Rd</v>
      </c>
      <c r="F36" s="44" t="str">
        <f>'2025MasterFile-Stat'!G30</f>
        <v>5L</v>
      </c>
      <c r="G36" s="44"/>
      <c r="H36" s="46" t="str">
        <f>'2025MasterFile-Stat'!H30</f>
        <v>E</v>
      </c>
      <c r="I36" s="44" t="str">
        <f>'2025MasterFile-Stat'!A30</f>
        <v>Min Art</v>
      </c>
      <c r="J36" s="44"/>
      <c r="K36" s="44"/>
      <c r="L36" s="26">
        <f>IF(Cap!H30="A",Cap!O30,
 IF(Cap!H30="B",Cap!P30,
 IF(Cap!H30="C",Cap!Q30,
 IF(Cap!H30="D",Cap!R30,
 IF(Cap!H30="E",Cap!S30,"")))))</f>
        <v>39800</v>
      </c>
      <c r="M36" s="44"/>
      <c r="N36" s="44">
        <f>IF(Cap!H30="A",Cap!J30,
 IF(Cap!H30="B",Cap!K30,
 IF(Cap!H30="C",Cap!L30,
 IF(Cap!H30="D",Cap!M30,
 IF(Cap!H30="E",Cap!N30,"")))))</f>
        <v>2000</v>
      </c>
      <c r="O36" s="44"/>
      <c r="P36" s="44"/>
      <c r="Q36" s="44"/>
      <c r="R36" s="44">
        <f>LOS!J30</f>
        <v>24553</v>
      </c>
      <c r="S36" s="45"/>
      <c r="T36" s="44" t="str">
        <f>LOS!K30</f>
        <v>C</v>
      </c>
      <c r="U36" s="44"/>
      <c r="V36" s="44"/>
      <c r="W36" s="44"/>
      <c r="X36" s="44"/>
      <c r="Y36" s="44"/>
      <c r="Z36" s="44"/>
      <c r="AA36" s="44">
        <f>LOS!L30</f>
        <v>754</v>
      </c>
      <c r="AB36" s="44">
        <f>LOS!M30</f>
        <v>1179</v>
      </c>
      <c r="AC36" s="45"/>
      <c r="AD36" s="44" t="str">
        <f>LOS!Q30</f>
        <v>C</v>
      </c>
      <c r="AE36" s="44">
        <f>LOS!R30</f>
        <v>1361</v>
      </c>
      <c r="AF36" s="44">
        <f>LOS!S30</f>
        <v>906</v>
      </c>
      <c r="AG36" s="45"/>
      <c r="AH36" s="44" t="str">
        <f>LOS!W30</f>
        <v>C</v>
      </c>
      <c r="AI36" s="82">
        <f>(Trend!L30)</f>
        <v>-0.74392880904893499</v>
      </c>
      <c r="AJ36" s="77">
        <f>Cap!K30</f>
        <v>0</v>
      </c>
      <c r="AK36" s="77">
        <f>Cap!L30</f>
        <v>1910</v>
      </c>
      <c r="AL36" s="77">
        <f>Cap!M30</f>
        <v>2000</v>
      </c>
      <c r="AM36" s="77">
        <f>Cap!N30</f>
        <v>2000</v>
      </c>
    </row>
    <row r="37" spans="1:39" ht="18" customHeight="1" x14ac:dyDescent="0.25">
      <c r="A37" s="49"/>
      <c r="B37" s="48">
        <f>'2025MasterFile-Stat'!F31</f>
        <v>7004</v>
      </c>
      <c r="C37" s="47" t="str">
        <f>'2025MasterFile-Stat'!B31</f>
        <v>CR 435 (Rock Spring Rd/Park Ave/Clarcona Rd)</v>
      </c>
      <c r="D37" s="47" t="str">
        <f>LEFT('2025MasterFile-Stat'!C31,FIND(" to ",'2025MasterFile-Stat'!C31)-1)</f>
        <v>McCormick Rd</v>
      </c>
      <c r="E37" s="47" t="str">
        <f>RIGHT('2025MasterFile-Stat'!C31,LEN('2025MasterFile-Stat'!C31)-FIND(" to ",'2025MasterFile-Stat'!C31)-3)</f>
        <v>Clarcona-Ocoee Rd</v>
      </c>
      <c r="F37" s="44" t="str">
        <f>'2025MasterFile-Stat'!G31</f>
        <v>2L</v>
      </c>
      <c r="G37" s="44"/>
      <c r="H37" s="46" t="str">
        <f>'2025MasterFile-Stat'!H31</f>
        <v>E</v>
      </c>
      <c r="I37" s="44" t="str">
        <f>'2025MasterFile-Stat'!A31</f>
        <v>Min Art</v>
      </c>
      <c r="J37" s="44"/>
      <c r="K37" s="44"/>
      <c r="L37" s="26">
        <f>IF(Cap!H31="A",Cap!O31,
 IF(Cap!H31="B",Cap!P31,
 IF(Cap!H31="C",Cap!Q31,
 IF(Cap!H31="D",Cap!R31,
 IF(Cap!H31="E",Cap!S31,"")))))</f>
        <v>17700</v>
      </c>
      <c r="M37" s="44"/>
      <c r="N37" s="44">
        <f>IF(Cap!H31="A",Cap!J31,
 IF(Cap!H31="B",Cap!K31,
 IF(Cap!H31="C",Cap!L31,
 IF(Cap!H31="D",Cap!M31,
 IF(Cap!H31="E",Cap!N31,"")))))</f>
        <v>880</v>
      </c>
      <c r="O37" s="44"/>
      <c r="P37" s="44"/>
      <c r="Q37" s="44"/>
      <c r="R37" s="44">
        <f>LOS!J31</f>
        <v>15230</v>
      </c>
      <c r="S37" s="45"/>
      <c r="T37" s="44" t="str">
        <f>LOS!K31</f>
        <v>C</v>
      </c>
      <c r="U37" s="44"/>
      <c r="V37" s="44"/>
      <c r="W37" s="44"/>
      <c r="X37" s="44"/>
      <c r="Y37" s="44"/>
      <c r="Z37" s="44"/>
      <c r="AA37" s="44">
        <f>LOS!L31</f>
        <v>505</v>
      </c>
      <c r="AB37" s="44">
        <f>LOS!M31</f>
        <v>588</v>
      </c>
      <c r="AC37" s="45"/>
      <c r="AD37" s="44" t="str">
        <f>LOS!Q31</f>
        <v>C</v>
      </c>
      <c r="AE37" s="44">
        <f>LOS!R31</f>
        <v>667</v>
      </c>
      <c r="AF37" s="44">
        <f>LOS!S31</f>
        <v>540</v>
      </c>
      <c r="AG37" s="45"/>
      <c r="AH37" s="44" t="str">
        <f>LOS!W31</f>
        <v>C</v>
      </c>
      <c r="AI37" s="82">
        <f>(Trend!L31)</f>
        <v>-19.711096520030701</v>
      </c>
      <c r="AJ37" s="77">
        <f>Cap!K31</f>
        <v>0</v>
      </c>
      <c r="AK37" s="77">
        <f>Cap!L31</f>
        <v>830</v>
      </c>
      <c r="AL37" s="77">
        <f>Cap!M31</f>
        <v>880</v>
      </c>
      <c r="AM37" s="77">
        <f>Cap!N31</f>
        <v>880</v>
      </c>
    </row>
    <row r="38" spans="1:39" ht="18" customHeight="1" x14ac:dyDescent="0.25">
      <c r="A38" s="49"/>
      <c r="B38" s="48">
        <f>'2025MasterFile-Stat'!F32</f>
        <v>516</v>
      </c>
      <c r="C38" s="47" t="str">
        <f>'2025MasterFile-Stat'!B32</f>
        <v>CR 435 (Rock Spring Rd/Park Ave/Clarcona Rd)</v>
      </c>
      <c r="D38" s="47" t="str">
        <f>LEFT('2025MasterFile-Stat'!C32,FIND(" to ",'2025MasterFile-Stat'!C32)-1)</f>
        <v>Sandpiper Rd</v>
      </c>
      <c r="E38" s="47" t="str">
        <f>RIGHT('2025MasterFile-Stat'!C32,LEN('2025MasterFile-Stat'!C32)-FIND(" to ",'2025MasterFile-Stat'!C32)-3)</f>
        <v>Votaw Rd</v>
      </c>
      <c r="F38" s="44" t="str">
        <f>'2025MasterFile-Stat'!G32</f>
        <v>5L</v>
      </c>
      <c r="G38" s="44"/>
      <c r="H38" s="46" t="str">
        <f>'2025MasterFile-Stat'!H32</f>
        <v>E</v>
      </c>
      <c r="I38" s="44" t="str">
        <f>'2025MasterFile-Stat'!A32</f>
        <v>Min Art</v>
      </c>
      <c r="J38" s="44"/>
      <c r="K38" s="44"/>
      <c r="L38" s="26">
        <f>IF(Cap!H32="A",Cap!O32,
 IF(Cap!H32="B",Cap!P32,
 IF(Cap!H32="C",Cap!Q32,
 IF(Cap!H32="D",Cap!R32,
 IF(Cap!H32="E",Cap!S32,"")))))</f>
        <v>33800</v>
      </c>
      <c r="M38" s="44"/>
      <c r="N38" s="44">
        <f>IF(Cap!H32="A",Cap!J32,
 IF(Cap!H32="B",Cap!K32,
 IF(Cap!H32="C",Cap!L32,
 IF(Cap!H32="D",Cap!M32,
 IF(Cap!H32="E",Cap!N32,"")))))</f>
        <v>1700</v>
      </c>
      <c r="O38" s="44"/>
      <c r="P38" s="44"/>
      <c r="Q38" s="44"/>
      <c r="R38" s="44">
        <f>LOS!J32</f>
        <v>22569</v>
      </c>
      <c r="S38" s="45"/>
      <c r="T38" s="44" t="str">
        <f>LOS!K32</f>
        <v>D</v>
      </c>
      <c r="U38" s="44"/>
      <c r="V38" s="44"/>
      <c r="W38" s="44"/>
      <c r="X38" s="44"/>
      <c r="Y38" s="44"/>
      <c r="Z38" s="44"/>
      <c r="AA38" s="44">
        <f>LOS!L32</f>
        <v>605</v>
      </c>
      <c r="AB38" s="44">
        <f>LOS!M32</f>
        <v>1076</v>
      </c>
      <c r="AC38" s="45"/>
      <c r="AD38" s="44" t="str">
        <f>LOS!Q32</f>
        <v>D</v>
      </c>
      <c r="AE38" s="44">
        <f>LOS!R32</f>
        <v>1126</v>
      </c>
      <c r="AF38" s="44">
        <f>LOS!S32</f>
        <v>749</v>
      </c>
      <c r="AG38" s="45"/>
      <c r="AH38" s="44" t="str">
        <f>LOS!W32</f>
        <v>D</v>
      </c>
      <c r="AI38" s="82">
        <f>(Trend!L32)</f>
        <v>-1.31862288980484</v>
      </c>
      <c r="AJ38" s="77">
        <f>Cap!K32</f>
        <v>0</v>
      </c>
      <c r="AK38" s="77">
        <f>Cap!L32</f>
        <v>730</v>
      </c>
      <c r="AL38" s="77">
        <f>Cap!M32</f>
        <v>1630</v>
      </c>
      <c r="AM38" s="77">
        <f>Cap!N32</f>
        <v>1700</v>
      </c>
    </row>
    <row r="39" spans="1:39" ht="18" customHeight="1" x14ac:dyDescent="0.25">
      <c r="A39" s="49"/>
      <c r="B39" s="48">
        <f>'2025MasterFile-Stat'!F33</f>
        <v>563</v>
      </c>
      <c r="C39" s="47" t="str">
        <f>'2025MasterFile-Stat'!B33</f>
        <v>CR 435 (Rock Spring Rd/Park Ave/Clarcona Rd)</v>
      </c>
      <c r="D39" s="47" t="str">
        <f>LEFT('2025MasterFile-Stat'!C33,FIND(" to ",'2025MasterFile-Stat'!C33)-1)</f>
        <v>US 441</v>
      </c>
      <c r="E39" s="47" t="str">
        <f>RIGHT('2025MasterFile-Stat'!C33,LEN('2025MasterFile-Stat'!C33)-FIND(" to ",'2025MasterFile-Stat'!C33)-3)</f>
        <v>M. Gladden Blvd</v>
      </c>
      <c r="F39" s="44" t="str">
        <f>'2025MasterFile-Stat'!G33</f>
        <v>2L</v>
      </c>
      <c r="G39" s="44"/>
      <c r="H39" s="46" t="str">
        <f>'2025MasterFile-Stat'!H33</f>
        <v>E</v>
      </c>
      <c r="I39" s="44" t="str">
        <f>'2025MasterFile-Stat'!A33</f>
        <v>Min Art</v>
      </c>
      <c r="J39" s="44"/>
      <c r="K39" s="44"/>
      <c r="L39" s="26">
        <f>IF(Cap!H33="A",Cap!O33,
 IF(Cap!H33="B",Cap!P33,
 IF(Cap!H33="C",Cap!Q33,
 IF(Cap!H33="D",Cap!R33,
 IF(Cap!H33="E",Cap!S33,"")))))</f>
        <v>15600</v>
      </c>
      <c r="M39" s="44"/>
      <c r="N39" s="44">
        <f>IF(Cap!H33="A",Cap!J33,
 IF(Cap!H33="B",Cap!K33,
 IF(Cap!H33="C",Cap!L33,
 IF(Cap!H33="D",Cap!M33,
 IF(Cap!H33="E",Cap!N33,"")))))</f>
        <v>800</v>
      </c>
      <c r="O39" s="44"/>
      <c r="P39" s="44"/>
      <c r="Q39" s="44"/>
      <c r="R39" s="44">
        <f>LOS!J33</f>
        <v>11434</v>
      </c>
      <c r="S39" s="45"/>
      <c r="T39" s="44" t="str">
        <f>LOS!K33</f>
        <v>D</v>
      </c>
      <c r="U39" s="44"/>
      <c r="V39" s="44"/>
      <c r="W39" s="44"/>
      <c r="X39" s="44"/>
      <c r="Y39" s="44"/>
      <c r="Z39" s="44"/>
      <c r="AA39" s="44">
        <f>LOS!L33</f>
        <v>428</v>
      </c>
      <c r="AB39" s="44">
        <f>LOS!M33</f>
        <v>296</v>
      </c>
      <c r="AC39" s="45"/>
      <c r="AD39" s="44" t="str">
        <f>LOS!Q33</f>
        <v>D</v>
      </c>
      <c r="AE39" s="44">
        <f>LOS!R33</f>
        <v>493</v>
      </c>
      <c r="AF39" s="44">
        <f>LOS!S33</f>
        <v>396</v>
      </c>
      <c r="AG39" s="45"/>
      <c r="AH39" s="44" t="str">
        <f>LOS!W33</f>
        <v>D</v>
      </c>
      <c r="AI39" s="82">
        <f>(Trend!L33)</f>
        <v>-5.2142732202218403</v>
      </c>
      <c r="AJ39" s="77">
        <f>Cap!K33</f>
        <v>0</v>
      </c>
      <c r="AK39" s="77">
        <f>Cap!L33</f>
        <v>370</v>
      </c>
      <c r="AL39" s="77">
        <f>Cap!M33</f>
        <v>750</v>
      </c>
      <c r="AM39" s="77">
        <f>Cap!N33</f>
        <v>800</v>
      </c>
    </row>
    <row r="40" spans="1:39" ht="18" customHeight="1" x14ac:dyDescent="0.25">
      <c r="A40" s="49"/>
      <c r="B40" s="48">
        <f>'2025MasterFile-Stat'!F34</f>
        <v>580</v>
      </c>
      <c r="C40" s="47" t="str">
        <f>'2025MasterFile-Stat'!B34</f>
        <v>CR 435 (Rock Spring Rd/Park Ave/Clarcona Rd)</v>
      </c>
      <c r="D40" s="47" t="str">
        <f>LEFT('2025MasterFile-Stat'!C34,FIND(" to ",'2025MasterFile-Stat'!C34)-1)</f>
        <v>Orange St</v>
      </c>
      <c r="E40" s="47" t="str">
        <f>RIGHT('2025MasterFile-Stat'!C34,LEN('2025MasterFile-Stat'!C34)-FIND(" to ",'2025MasterFile-Stat'!C34)-3)</f>
        <v>US 441</v>
      </c>
      <c r="F40" s="44" t="str">
        <f>'2025MasterFile-Stat'!G34</f>
        <v>5L</v>
      </c>
      <c r="G40" s="44"/>
      <c r="H40" s="46" t="str">
        <f>'2025MasterFile-Stat'!H34</f>
        <v>E</v>
      </c>
      <c r="I40" s="44" t="str">
        <f>'2025MasterFile-Stat'!A34</f>
        <v>Min Art</v>
      </c>
      <c r="J40" s="44"/>
      <c r="K40" s="44"/>
      <c r="L40" s="26">
        <f>IF(Cap!H34="A",Cap!O34,
 IF(Cap!H34="B",Cap!P34,
 IF(Cap!H34="C",Cap!Q34,
 IF(Cap!H34="D",Cap!R34,
 IF(Cap!H34="E",Cap!S34,"")))))</f>
        <v>33800</v>
      </c>
      <c r="M40" s="44"/>
      <c r="N40" s="44">
        <f>IF(Cap!H34="A",Cap!J34,
 IF(Cap!H34="B",Cap!K34,
 IF(Cap!H34="C",Cap!L34,
 IF(Cap!H34="D",Cap!M34,
 IF(Cap!H34="E",Cap!N34,"")))))</f>
        <v>1700</v>
      </c>
      <c r="O40" s="44"/>
      <c r="P40" s="44"/>
      <c r="Q40" s="44"/>
      <c r="R40" s="44">
        <f>LOS!J34</f>
        <v>25032</v>
      </c>
      <c r="S40" s="45"/>
      <c r="T40" s="44" t="str">
        <f>LOS!K34</f>
        <v>D</v>
      </c>
      <c r="U40" s="44"/>
      <c r="V40" s="44"/>
      <c r="W40" s="44"/>
      <c r="X40" s="44"/>
      <c r="Y40" s="44"/>
      <c r="Z40" s="44"/>
      <c r="AA40" s="44">
        <f>LOS!L34</f>
        <v>872</v>
      </c>
      <c r="AB40" s="44">
        <f>LOS!M34</f>
        <v>941</v>
      </c>
      <c r="AC40" s="45"/>
      <c r="AD40" s="44" t="str">
        <f>LOS!Q34</f>
        <v>D</v>
      </c>
      <c r="AE40" s="44">
        <f>LOS!R34</f>
        <v>994</v>
      </c>
      <c r="AF40" s="44">
        <f>LOS!S34</f>
        <v>861</v>
      </c>
      <c r="AG40" s="45"/>
      <c r="AH40" s="44" t="str">
        <f>LOS!W34</f>
        <v>D</v>
      </c>
      <c r="AI40" s="82">
        <f>(Trend!L34)</f>
        <v>5.4801853627370498</v>
      </c>
      <c r="AJ40" s="77">
        <f>Cap!K34</f>
        <v>0</v>
      </c>
      <c r="AK40" s="77">
        <f>Cap!L34</f>
        <v>730</v>
      </c>
      <c r="AL40" s="77">
        <f>Cap!M34</f>
        <v>1630</v>
      </c>
      <c r="AM40" s="77">
        <f>Cap!N34</f>
        <v>1700</v>
      </c>
    </row>
    <row r="41" spans="1:39" ht="18" customHeight="1" x14ac:dyDescent="0.25">
      <c r="A41" s="49"/>
      <c r="B41" s="48" t="str">
        <f>'2025MasterFile-Stat'!F35</f>
        <v>7005*</v>
      </c>
      <c r="C41" s="47" t="str">
        <f>'2025MasterFile-Stat'!B35</f>
        <v>CR 435 (Rock Spring Rd/Park Ave/Clarcona Rd)</v>
      </c>
      <c r="D41" s="47" t="str">
        <f>LEFT('2025MasterFile-Stat'!C35,FIND(" to ",'2025MasterFile-Stat'!C35)-1)</f>
        <v>Cleveland St</v>
      </c>
      <c r="E41" s="47" t="str">
        <f>RIGHT('2025MasterFile-Stat'!C35,LEN('2025MasterFile-Stat'!C35)-FIND(" to ",'2025MasterFile-Stat'!C35)-3)</f>
        <v>Keene Rd</v>
      </c>
      <c r="F41" s="44" t="str">
        <f>'2025MasterFile-Stat'!G35</f>
        <v>2L</v>
      </c>
      <c r="G41" s="44"/>
      <c r="H41" s="46" t="str">
        <f>'2025MasterFile-Stat'!H35</f>
        <v>E</v>
      </c>
      <c r="I41" s="44" t="str">
        <f>'2025MasterFile-Stat'!A35</f>
        <v>Min Art</v>
      </c>
      <c r="J41" s="44"/>
      <c r="K41" s="44"/>
      <c r="L41" s="26">
        <f>IF(Cap!H35="A",Cap!O35,
 IF(Cap!H35="B",Cap!P35,
 IF(Cap!H35="C",Cap!Q35,
 IF(Cap!H35="D",Cap!R35,
 IF(Cap!H35="E",Cap!S35,"")))))</f>
        <v>17700</v>
      </c>
      <c r="M41" s="44"/>
      <c r="N41" s="44">
        <f>IF(Cap!H35="A",Cap!J35,
 IF(Cap!H35="B",Cap!K35,
 IF(Cap!H35="C",Cap!L35,
 IF(Cap!H35="D",Cap!M35,
 IF(Cap!H35="E",Cap!N35,"")))))</f>
        <v>880</v>
      </c>
      <c r="O41" s="44"/>
      <c r="P41" s="44"/>
      <c r="Q41" s="44"/>
      <c r="R41" s="44">
        <f>LOS!J35</f>
        <v>10179</v>
      </c>
      <c r="S41" s="45"/>
      <c r="T41" s="44" t="str">
        <f>LOS!K35</f>
        <v>C</v>
      </c>
      <c r="U41" s="44"/>
      <c r="V41" s="44"/>
      <c r="W41" s="44"/>
      <c r="X41" s="44"/>
      <c r="Y41" s="44"/>
      <c r="Z41" s="44"/>
      <c r="AA41" s="44">
        <f>LOS!L35</f>
        <v>337</v>
      </c>
      <c r="AB41" s="44">
        <f>LOS!M35</f>
        <v>377</v>
      </c>
      <c r="AC41" s="45"/>
      <c r="AD41" s="44" t="str">
        <f>LOS!Q35</f>
        <v>C</v>
      </c>
      <c r="AE41" s="44">
        <f>LOS!R35</f>
        <v>416</v>
      </c>
      <c r="AF41" s="44">
        <f>LOS!S35</f>
        <v>403</v>
      </c>
      <c r="AG41" s="45"/>
      <c r="AH41" s="44" t="str">
        <f>LOS!W35</f>
        <v>C</v>
      </c>
      <c r="AI41" s="82">
        <f>(Trend!L35)</f>
        <v>1.7814385595256601</v>
      </c>
      <c r="AJ41" s="77">
        <f>Cap!K35</f>
        <v>0</v>
      </c>
      <c r="AK41" s="77">
        <f>Cap!L35</f>
        <v>830</v>
      </c>
      <c r="AL41" s="77">
        <f>Cap!M35</f>
        <v>880</v>
      </c>
      <c r="AM41" s="77">
        <f>Cap!N35</f>
        <v>880</v>
      </c>
    </row>
    <row r="42" spans="1:39" ht="18" customHeight="1" x14ac:dyDescent="0.25">
      <c r="A42" s="49"/>
      <c r="B42" s="48" t="str">
        <f>'2025MasterFile-Stat'!F36</f>
        <v>18*</v>
      </c>
      <c r="C42" s="47" t="str">
        <f>'2025MasterFile-Stat'!B36</f>
        <v>CR 435 (Rock Spring Rd/Park Ave/Clarcona Rd)</v>
      </c>
      <c r="D42" s="47" t="str">
        <f>LEFT('2025MasterFile-Stat'!C36,FIND(" to ",'2025MasterFile-Stat'!C36)-1)</f>
        <v>Kelly Park Rd</v>
      </c>
      <c r="E42" s="47" t="str">
        <f>RIGHT('2025MasterFile-Stat'!C36,LEN('2025MasterFile-Stat'!C36)-FIND(" to ",'2025MasterFile-Stat'!C36)-3)</f>
        <v>Ponkan Rd</v>
      </c>
      <c r="F42" s="44" t="str">
        <f>'2025MasterFile-Stat'!G36</f>
        <v>4LD</v>
      </c>
      <c r="G42" s="44"/>
      <c r="H42" s="46" t="str">
        <f>'2025MasterFile-Stat'!H36</f>
        <v>E</v>
      </c>
      <c r="I42" s="44" t="str">
        <f>'2025MasterFile-Stat'!A36</f>
        <v>Min Art</v>
      </c>
      <c r="J42" s="44"/>
      <c r="K42" s="44"/>
      <c r="L42" s="26">
        <f>IF(Cap!H36="A",Cap!O36,
 IF(Cap!H36="B",Cap!P36,
 IF(Cap!H36="C",Cap!Q36,
 IF(Cap!H36="D",Cap!R36,
 IF(Cap!H36="E",Cap!S36,"")))))</f>
        <v>39800</v>
      </c>
      <c r="M42" s="44"/>
      <c r="N42" s="44">
        <f>IF(Cap!H36="A",Cap!J36,
 IF(Cap!H36="B",Cap!K36,
 IF(Cap!H36="C",Cap!L36,
 IF(Cap!H36="D",Cap!M36,
 IF(Cap!H36="E",Cap!N36,"")))))</f>
        <v>2000</v>
      </c>
      <c r="O42" s="44"/>
      <c r="P42" s="44"/>
      <c r="Q42" s="44"/>
      <c r="R42" s="44">
        <f>LOS!J36</f>
        <v>16631</v>
      </c>
      <c r="S42" s="45"/>
      <c r="T42" s="44" t="str">
        <f>LOS!K36</f>
        <v>C</v>
      </c>
      <c r="U42" s="44"/>
      <c r="V42" s="44"/>
      <c r="W42" s="44"/>
      <c r="X42" s="44"/>
      <c r="Y42" s="44"/>
      <c r="Z42" s="44"/>
      <c r="AA42" s="44">
        <f>LOS!L36</f>
        <v>469</v>
      </c>
      <c r="AB42" s="44">
        <f>LOS!M36</f>
        <v>832</v>
      </c>
      <c r="AC42" s="45"/>
      <c r="AD42" s="44" t="str">
        <f>LOS!Q36</f>
        <v>C</v>
      </c>
      <c r="AE42" s="44">
        <f>LOS!R36</f>
        <v>905</v>
      </c>
      <c r="AF42" s="44">
        <f>LOS!S36</f>
        <v>655</v>
      </c>
      <c r="AG42" s="45"/>
      <c r="AH42" s="44" t="str">
        <f>LOS!W36</f>
        <v>C</v>
      </c>
      <c r="AI42" s="82">
        <f>(Trend!L36)</f>
        <v>1.0272835112706</v>
      </c>
      <c r="AJ42" s="77">
        <f>Cap!K36</f>
        <v>0</v>
      </c>
      <c r="AK42" s="77">
        <f>Cap!L36</f>
        <v>1910</v>
      </c>
      <c r="AL42" s="77">
        <f>Cap!M36</f>
        <v>2000</v>
      </c>
      <c r="AM42" s="77">
        <f>Cap!N36</f>
        <v>2000</v>
      </c>
    </row>
    <row r="43" spans="1:39" ht="18" customHeight="1" x14ac:dyDescent="0.25">
      <c r="A43" s="49"/>
      <c r="B43" s="48" t="str">
        <f>'2025MasterFile-Stat'!F37</f>
        <v>27*</v>
      </c>
      <c r="C43" s="47" t="str">
        <f>'2025MasterFile-Stat'!B37</f>
        <v>CR 437A (Ocoee-Apopka Rd/Michael Gladden Blvd/Central Ave)</v>
      </c>
      <c r="D43" s="47" t="str">
        <f>LEFT('2025MasterFile-Stat'!C37,FIND(" to ",'2025MasterFile-Stat'!C37)-1)</f>
        <v>Harmon Rd</v>
      </c>
      <c r="E43" s="47" t="str">
        <f>RIGHT('2025MasterFile-Stat'!C37,LEN('2025MasterFile-Stat'!C37)-FIND(" to ",'2025MasterFile-Stat'!C37)-3)</f>
        <v>Bradshaw Rd</v>
      </c>
      <c r="F43" s="44" t="str">
        <f>'2025MasterFile-Stat'!G37</f>
        <v>2L</v>
      </c>
      <c r="G43" s="44"/>
      <c r="H43" s="46" t="str">
        <f>'2025MasterFile-Stat'!H37</f>
        <v>E</v>
      </c>
      <c r="I43" s="44" t="str">
        <f>'2025MasterFile-Stat'!A37</f>
        <v>Min Art</v>
      </c>
      <c r="J43" s="44"/>
      <c r="K43" s="44"/>
      <c r="L43" s="26">
        <f>IF(Cap!H37="A",Cap!O37,
 IF(Cap!H37="B",Cap!P37,
 IF(Cap!H37="C",Cap!Q37,
 IF(Cap!H37="D",Cap!R37,
 IF(Cap!H37="E",Cap!S37,"")))))</f>
        <v>17700</v>
      </c>
      <c r="M43" s="44"/>
      <c r="N43" s="44">
        <f>IF(Cap!H37="A",Cap!J37,
 IF(Cap!H37="B",Cap!K37,
 IF(Cap!H37="C",Cap!L37,
 IF(Cap!H37="D",Cap!M37,
 IF(Cap!H37="E",Cap!N37,"")))))</f>
        <v>880</v>
      </c>
      <c r="O43" s="44"/>
      <c r="P43" s="44"/>
      <c r="Q43" s="44"/>
      <c r="R43" s="44">
        <f>LOS!J37</f>
        <v>15272</v>
      </c>
      <c r="S43" s="45"/>
      <c r="T43" s="44" t="str">
        <f>LOS!K37</f>
        <v>C</v>
      </c>
      <c r="U43" s="44"/>
      <c r="V43" s="44"/>
      <c r="W43" s="44"/>
      <c r="X43" s="44"/>
      <c r="Y43" s="44"/>
      <c r="Z43" s="44"/>
      <c r="AA43" s="44">
        <f>LOS!L37</f>
        <v>568</v>
      </c>
      <c r="AB43" s="44">
        <f>LOS!M37</f>
        <v>600</v>
      </c>
      <c r="AC43" s="45"/>
      <c r="AD43" s="44" t="str">
        <f>LOS!Q37</f>
        <v>C</v>
      </c>
      <c r="AE43" s="44">
        <f>LOS!R37</f>
        <v>598</v>
      </c>
      <c r="AF43" s="44">
        <f>LOS!S37</f>
        <v>1933</v>
      </c>
      <c r="AG43" s="45"/>
      <c r="AH43" s="44" t="str">
        <f>LOS!W37</f>
        <v>F</v>
      </c>
      <c r="AI43" s="82">
        <f>(Trend!L37)</f>
        <v>-0.167883709820875</v>
      </c>
      <c r="AJ43" s="77">
        <f>Cap!K37</f>
        <v>0</v>
      </c>
      <c r="AK43" s="77">
        <f>Cap!L37</f>
        <v>830</v>
      </c>
      <c r="AL43" s="77">
        <f>Cap!M37</f>
        <v>880</v>
      </c>
      <c r="AM43" s="77">
        <f>Cap!N37</f>
        <v>880</v>
      </c>
    </row>
    <row r="44" spans="1:39" ht="18" customHeight="1" x14ac:dyDescent="0.25">
      <c r="A44" s="49"/>
      <c r="B44" s="48" t="str">
        <f>'2025MasterFile-Stat'!F38</f>
        <v>7083*</v>
      </c>
      <c r="C44" s="47" t="str">
        <f>'2025MasterFile-Stat'!B38</f>
        <v>CR 437A (Ocoee-Apopka Rd/Michael Gladden Blvd/Central Ave)</v>
      </c>
      <c r="D44" s="47" t="str">
        <f>LEFT('2025MasterFile-Stat'!C38,FIND(" to ",'2025MasterFile-Stat'!C38)-1)</f>
        <v>Bradshaw Rd</v>
      </c>
      <c r="E44" s="47" t="str">
        <f>RIGHT('2025MasterFile-Stat'!C38,LEN('2025MasterFile-Stat'!C38)-FIND(" to ",'2025MasterFile-Stat'!C38)-3)</f>
        <v>Park Ave</v>
      </c>
      <c r="F44" s="44" t="str">
        <f>'2025MasterFile-Stat'!G38</f>
        <v>2L</v>
      </c>
      <c r="G44" s="44"/>
      <c r="H44" s="46" t="str">
        <f>'2025MasterFile-Stat'!H38</f>
        <v>E</v>
      </c>
      <c r="I44" s="44" t="str">
        <f>'2025MasterFile-Stat'!A38</f>
        <v>Min Art</v>
      </c>
      <c r="J44" s="44"/>
      <c r="K44" s="44"/>
      <c r="L44" s="26">
        <f>IF(Cap!H38="A",Cap!O38,
 IF(Cap!H38="B",Cap!P38,
 IF(Cap!H38="C",Cap!Q38,
 IF(Cap!H38="D",Cap!R38,
 IF(Cap!H38="E",Cap!S38,"")))))</f>
        <v>15600</v>
      </c>
      <c r="M44" s="44"/>
      <c r="N44" s="44">
        <f>IF(Cap!H38="A",Cap!J38,
 IF(Cap!H38="B",Cap!K38,
 IF(Cap!H38="C",Cap!L38,
 IF(Cap!H38="D",Cap!M38,
 IF(Cap!H38="E",Cap!N38,"")))))</f>
        <v>800</v>
      </c>
      <c r="O44" s="44"/>
      <c r="P44" s="44"/>
      <c r="Q44" s="44"/>
      <c r="R44" s="44">
        <f>LOS!J38</f>
        <v>8924</v>
      </c>
      <c r="S44" s="45"/>
      <c r="T44" s="44" t="str">
        <f>LOS!K38</f>
        <v>D</v>
      </c>
      <c r="U44" s="44"/>
      <c r="V44" s="44"/>
      <c r="W44" s="44"/>
      <c r="X44" s="44"/>
      <c r="Y44" s="44"/>
      <c r="Z44" s="44"/>
      <c r="AA44" s="44">
        <f>LOS!L38</f>
        <v>352</v>
      </c>
      <c r="AB44" s="44">
        <f>LOS!M38</f>
        <v>308</v>
      </c>
      <c r="AC44" s="45"/>
      <c r="AD44" s="44" t="str">
        <f>LOS!Q38</f>
        <v>C</v>
      </c>
      <c r="AE44" s="44">
        <f>LOS!R38</f>
        <v>413</v>
      </c>
      <c r="AF44" s="44">
        <f>LOS!S38</f>
        <v>345</v>
      </c>
      <c r="AG44" s="45"/>
      <c r="AH44" s="44" t="str">
        <f>LOS!W38</f>
        <v>D</v>
      </c>
      <c r="AI44" s="82">
        <f>(Trend!L38)</f>
        <v>2.6959910913145002</v>
      </c>
      <c r="AJ44" s="77">
        <f>Cap!K38</f>
        <v>0</v>
      </c>
      <c r="AK44" s="77">
        <f>Cap!L38</f>
        <v>370</v>
      </c>
      <c r="AL44" s="77">
        <f>Cap!M38</f>
        <v>750</v>
      </c>
      <c r="AM44" s="77">
        <f>Cap!N38</f>
        <v>800</v>
      </c>
    </row>
    <row r="45" spans="1:39" ht="18" customHeight="1" x14ac:dyDescent="0.25">
      <c r="A45" s="49"/>
      <c r="B45" s="48" t="str">
        <f>'2025MasterFile-Stat'!F39</f>
        <v>(27, 29)*</v>
      </c>
      <c r="C45" s="47" t="str">
        <f>'2025MasterFile-Stat'!B39</f>
        <v>CR 437A (Ocoee-Apopka Rd/Michael Gladden Blvd/Central Ave)</v>
      </c>
      <c r="D45" s="47" t="str">
        <f>LEFT('2025MasterFile-Stat'!C39,FIND(" to ",'2025MasterFile-Stat'!C39)-1)</f>
        <v>Alston Bay Blvd</v>
      </c>
      <c r="E45" s="47" t="str">
        <f>RIGHT('2025MasterFile-Stat'!C39,LEN('2025MasterFile-Stat'!C39)-FIND(" to ",'2025MasterFile-Stat'!C39)-3)</f>
        <v>Harmon Rd</v>
      </c>
      <c r="F45" s="44" t="str">
        <f>'2025MasterFile-Stat'!G39</f>
        <v>4LD</v>
      </c>
      <c r="G45" s="44"/>
      <c r="H45" s="46" t="str">
        <f>'2025MasterFile-Stat'!H39</f>
        <v>E</v>
      </c>
      <c r="I45" s="44" t="str">
        <f>'2025MasterFile-Stat'!A39</f>
        <v>Min Art</v>
      </c>
      <c r="J45" s="44"/>
      <c r="K45" s="44"/>
      <c r="L45" s="26">
        <f>IF(Cap!H39="A",Cap!O39,
 IF(Cap!H39="B",Cap!P39,
 IF(Cap!H39="C",Cap!Q39,
 IF(Cap!H39="D",Cap!R39,
 IF(Cap!H39="E",Cap!S39,"")))))</f>
        <v>17700</v>
      </c>
      <c r="M45" s="44"/>
      <c r="N45" s="44">
        <f>IF(Cap!H39="A",Cap!J39,
 IF(Cap!H39="B",Cap!K39,
 IF(Cap!H39="C",Cap!L39,
 IF(Cap!H39="D",Cap!M39,
 IF(Cap!H39="E",Cap!N39,"")))))</f>
        <v>880</v>
      </c>
      <c r="O45" s="44"/>
      <c r="P45" s="44"/>
      <c r="Q45" s="44"/>
      <c r="R45" s="44">
        <f>LOS!J39</f>
        <v>29461</v>
      </c>
      <c r="S45" s="45"/>
      <c r="T45" s="44" t="str">
        <f>LOS!K39</f>
        <v>F</v>
      </c>
      <c r="U45" s="44"/>
      <c r="V45" s="44"/>
      <c r="W45" s="44"/>
      <c r="X45" s="44"/>
      <c r="Y45" s="44"/>
      <c r="Z45" s="44"/>
      <c r="AA45" s="44">
        <f>LOS!L39</f>
        <v>1170</v>
      </c>
      <c r="AB45" s="44">
        <f>LOS!M39</f>
        <v>1187</v>
      </c>
      <c r="AC45" s="45"/>
      <c r="AD45" s="44" t="str">
        <f>LOS!Q39</f>
        <v>F</v>
      </c>
      <c r="AE45" s="44">
        <f>LOS!R39</f>
        <v>1175</v>
      </c>
      <c r="AF45" s="44">
        <f>LOS!S39</f>
        <v>2553</v>
      </c>
      <c r="AG45" s="45"/>
      <c r="AH45" s="44" t="str">
        <f>LOS!W39</f>
        <v>F</v>
      </c>
      <c r="AI45" s="82">
        <f>(Trend!L39)</f>
        <v>4.1509241641761401</v>
      </c>
      <c r="AJ45" s="77">
        <f>Cap!K39</f>
        <v>0</v>
      </c>
      <c r="AK45" s="77">
        <f>Cap!L39</f>
        <v>830</v>
      </c>
      <c r="AL45" s="77">
        <f>Cap!M39</f>
        <v>880</v>
      </c>
      <c r="AM45" s="77">
        <f>Cap!N39</f>
        <v>880</v>
      </c>
    </row>
    <row r="46" spans="1:39" ht="18" customHeight="1" x14ac:dyDescent="0.25">
      <c r="A46" s="49"/>
      <c r="B46" s="48">
        <f>'2025MasterFile-Stat'!F40</f>
        <v>29</v>
      </c>
      <c r="C46" s="47" t="str">
        <f>'2025MasterFile-Stat'!B40</f>
        <v>CR 437A (Ocoee-Apopka Rd/Michael Gladden Blvd/Central Ave)</v>
      </c>
      <c r="D46" s="47" t="str">
        <f>LEFT('2025MasterFile-Stat'!C40,FIND(" to ",'2025MasterFile-Stat'!C40)-1)</f>
        <v>Keene Rd</v>
      </c>
      <c r="E46" s="47" t="str">
        <f>RIGHT('2025MasterFile-Stat'!C40,LEN('2025MasterFile-Stat'!C40)-FIND(" to ",'2025MasterFile-Stat'!C40)-3)</f>
        <v>Alston Bay Blvd</v>
      </c>
      <c r="F46" s="44" t="str">
        <f>'2025MasterFile-Stat'!G40</f>
        <v>2L</v>
      </c>
      <c r="G46" s="44"/>
      <c r="H46" s="46" t="str">
        <f>'2025MasterFile-Stat'!H40</f>
        <v>E</v>
      </c>
      <c r="I46" s="44" t="str">
        <f>'2025MasterFile-Stat'!A40</f>
        <v>Min Art</v>
      </c>
      <c r="J46" s="44"/>
      <c r="K46" s="44"/>
      <c r="L46" s="26">
        <f>IF(Cap!H40="A",Cap!O40,
 IF(Cap!H40="B",Cap!P40,
 IF(Cap!H40="C",Cap!Q40,
 IF(Cap!H40="D",Cap!R40,
 IF(Cap!H40="E",Cap!S40,"")))))</f>
        <v>17700</v>
      </c>
      <c r="M46" s="44"/>
      <c r="N46" s="44">
        <f>IF(Cap!H40="A",Cap!J40,
 IF(Cap!H40="B",Cap!K40,
 IF(Cap!H40="C",Cap!L40,
 IF(Cap!H40="D",Cap!M40,
 IF(Cap!H40="E",Cap!N40,"")))))</f>
        <v>880</v>
      </c>
      <c r="O46" s="44"/>
      <c r="P46" s="44"/>
      <c r="Q46" s="44"/>
      <c r="R46" s="44">
        <f>LOS!J40</f>
        <v>15179</v>
      </c>
      <c r="S46" s="45"/>
      <c r="T46" s="44" t="str">
        <f>LOS!K40</f>
        <v>C</v>
      </c>
      <c r="U46" s="44"/>
      <c r="V46" s="44"/>
      <c r="W46" s="44"/>
      <c r="X46" s="44"/>
      <c r="Y46" s="44"/>
      <c r="Z46" s="44"/>
      <c r="AA46" s="44">
        <f>LOS!L40</f>
        <v>629</v>
      </c>
      <c r="AB46" s="44">
        <f>LOS!M40</f>
        <v>573</v>
      </c>
      <c r="AC46" s="45"/>
      <c r="AD46" s="44" t="str">
        <f>LOS!Q40</f>
        <v>C</v>
      </c>
      <c r="AE46" s="44">
        <f>LOS!R40</f>
        <v>603</v>
      </c>
      <c r="AF46" s="44">
        <f>LOS!S40</f>
        <v>554</v>
      </c>
      <c r="AG46" s="45"/>
      <c r="AH46" s="44" t="str">
        <f>LOS!W40</f>
        <v>C</v>
      </c>
      <c r="AI46" s="82">
        <f>(Trend!L40)</f>
        <v>3.8368798998627001</v>
      </c>
      <c r="AJ46" s="77">
        <f>Cap!K40</f>
        <v>0</v>
      </c>
      <c r="AK46" s="77">
        <f>Cap!L40</f>
        <v>830</v>
      </c>
      <c r="AL46" s="77">
        <f>Cap!M40</f>
        <v>880</v>
      </c>
      <c r="AM46" s="77">
        <f>Cap!N40</f>
        <v>880</v>
      </c>
    </row>
    <row r="47" spans="1:39" ht="18" customHeight="1" x14ac:dyDescent="0.25">
      <c r="A47" s="49"/>
      <c r="B47" s="48">
        <f>'2025MasterFile-Stat'!F41</f>
        <v>702</v>
      </c>
      <c r="C47" s="47" t="str">
        <f>'2025MasterFile-Stat'!B41</f>
        <v>CR 437A (Ocoee-Apopka Rd/Michael Gladden Blvd/Central Ave)</v>
      </c>
      <c r="D47" s="47" t="str">
        <f>LEFT('2025MasterFile-Stat'!C41,FIND(" to ",'2025MasterFile-Stat'!C41)-1)</f>
        <v>Binion Rd</v>
      </c>
      <c r="E47" s="47" t="str">
        <f>RIGHT('2025MasterFile-Stat'!C41,LEN('2025MasterFile-Stat'!C41)-FIND(" to ",'2025MasterFile-Stat'!C41)-3)</f>
        <v>Keene Rd</v>
      </c>
      <c r="F47" s="44" t="str">
        <f>'2025MasterFile-Stat'!G41</f>
        <v>2L</v>
      </c>
      <c r="G47" s="44"/>
      <c r="H47" s="46" t="str">
        <f>'2025MasterFile-Stat'!H41</f>
        <v>E</v>
      </c>
      <c r="I47" s="44" t="str">
        <f>'2025MasterFile-Stat'!A41</f>
        <v>Min Art</v>
      </c>
      <c r="J47" s="44"/>
      <c r="K47" s="44"/>
      <c r="L47" s="26">
        <f>IF(Cap!H41="A",Cap!O41,
 IF(Cap!H41="B",Cap!P41,
 IF(Cap!H41="C",Cap!Q41,
 IF(Cap!H41="D",Cap!R41,
 IF(Cap!H41="E",Cap!S41,"")))))</f>
        <v>17700</v>
      </c>
      <c r="M47" s="44"/>
      <c r="N47" s="44">
        <f>IF(Cap!H41="A",Cap!J41,
 IF(Cap!H41="B",Cap!K41,
 IF(Cap!H41="C",Cap!L41,
 IF(Cap!H41="D",Cap!M41,
 IF(Cap!H41="E",Cap!N41,"")))))</f>
        <v>880</v>
      </c>
      <c r="O47" s="44"/>
      <c r="P47" s="44"/>
      <c r="Q47" s="44"/>
      <c r="R47" s="44">
        <f>LOS!J41</f>
        <v>16693</v>
      </c>
      <c r="S47" s="45"/>
      <c r="T47" s="44" t="str">
        <f>LOS!K41</f>
        <v>C</v>
      </c>
      <c r="U47" s="44"/>
      <c r="V47" s="44"/>
      <c r="W47" s="44"/>
      <c r="X47" s="44"/>
      <c r="Y47" s="44"/>
      <c r="Z47" s="44"/>
      <c r="AA47" s="44">
        <f>LOS!L41</f>
        <v>717</v>
      </c>
      <c r="AB47" s="44">
        <f>LOS!M41</f>
        <v>635</v>
      </c>
      <c r="AC47" s="45"/>
      <c r="AD47" s="44" t="str">
        <f>LOS!Q41</f>
        <v>C</v>
      </c>
      <c r="AE47" s="44">
        <f>LOS!R41</f>
        <v>733</v>
      </c>
      <c r="AF47" s="44">
        <f>LOS!S41</f>
        <v>565</v>
      </c>
      <c r="AG47" s="45"/>
      <c r="AH47" s="44" t="str">
        <f>LOS!W41</f>
        <v>C</v>
      </c>
      <c r="AI47" s="82">
        <f>(Trend!L41)</f>
        <v>1.6144491703113499</v>
      </c>
      <c r="AJ47" s="77">
        <f>Cap!K41</f>
        <v>0</v>
      </c>
      <c r="AK47" s="77">
        <f>Cap!L41</f>
        <v>830</v>
      </c>
      <c r="AL47" s="77">
        <f>Cap!M41</f>
        <v>880</v>
      </c>
      <c r="AM47" s="77">
        <f>Cap!N41</f>
        <v>880</v>
      </c>
    </row>
    <row r="48" spans="1:39" ht="18" customHeight="1" x14ac:dyDescent="0.25">
      <c r="A48" s="49"/>
      <c r="B48" s="48">
        <f>'2025MasterFile-Stat'!F42</f>
        <v>520</v>
      </c>
      <c r="C48" s="47" t="str">
        <f>'2025MasterFile-Stat'!B42</f>
        <v>Christiana Ave</v>
      </c>
      <c r="D48" s="47" t="str">
        <f>LEFT('2025MasterFile-Stat'!C42,FIND(" to ",'2025MasterFile-Stat'!C42)-1)</f>
        <v>Monroe Ave</v>
      </c>
      <c r="E48" s="47" t="str">
        <f>RIGHT('2025MasterFile-Stat'!C42,LEN('2025MasterFile-Stat'!C42)-FIND(" to ",'2025MasterFile-Stat'!C42)-3)</f>
        <v>Votaw Rd</v>
      </c>
      <c r="F48" s="44" t="str">
        <f>'2025MasterFile-Stat'!G42</f>
        <v>2L</v>
      </c>
      <c r="G48" s="44"/>
      <c r="H48" s="46" t="str">
        <f>'2025MasterFile-Stat'!H42</f>
        <v>E</v>
      </c>
      <c r="I48" s="44" t="str">
        <f>'2025MasterFile-Stat'!A42</f>
        <v>Min Coll</v>
      </c>
      <c r="J48" s="44"/>
      <c r="K48" s="44"/>
      <c r="L48" s="26">
        <f>IF(Cap!H42="A",Cap!O42,
 IF(Cap!H42="B",Cap!P42,
 IF(Cap!H42="C",Cap!Q42,
 IF(Cap!H42="D",Cap!R42,
 IF(Cap!H42="E",Cap!S42,"")))))</f>
        <v>10100</v>
      </c>
      <c r="M48" s="44"/>
      <c r="N48" s="44">
        <f>IF(Cap!H42="A",Cap!J42,
 IF(Cap!H42="B",Cap!K42,
 IF(Cap!H42="C",Cap!L42,
 IF(Cap!H42="D",Cap!M42,
 IF(Cap!H42="E",Cap!N42,"")))))</f>
        <v>520</v>
      </c>
      <c r="O48" s="44"/>
      <c r="P48" s="44"/>
      <c r="Q48" s="44"/>
      <c r="R48" s="44">
        <f>LOS!J42</f>
        <v>2166</v>
      </c>
      <c r="S48" s="45"/>
      <c r="T48" s="44" t="str">
        <f>LOS!K42</f>
        <v>C</v>
      </c>
      <c r="U48" s="44"/>
      <c r="V48" s="44"/>
      <c r="W48" s="44"/>
      <c r="X48" s="44"/>
      <c r="Y48" s="44"/>
      <c r="Z48" s="44"/>
      <c r="AA48" s="44">
        <f>LOS!L42</f>
        <v>54</v>
      </c>
      <c r="AB48" s="44">
        <f>LOS!M42</f>
        <v>64</v>
      </c>
      <c r="AC48" s="45"/>
      <c r="AD48" s="44" t="str">
        <f>LOS!Q42</f>
        <v>C</v>
      </c>
      <c r="AE48" s="44">
        <f>LOS!R42</f>
        <v>69</v>
      </c>
      <c r="AF48" s="44">
        <f>LOS!S42</f>
        <v>167</v>
      </c>
      <c r="AG48" s="45"/>
      <c r="AH48" s="44" t="str">
        <f>LOS!W42</f>
        <v>C</v>
      </c>
      <c r="AI48" s="82">
        <f>(Trend!L42)</f>
        <v>4.2843951985236801</v>
      </c>
      <c r="AJ48" s="77">
        <f>Cap!K42</f>
        <v>0</v>
      </c>
      <c r="AK48" s="77">
        <f>Cap!L42</f>
        <v>240</v>
      </c>
      <c r="AL48" s="77">
        <f>Cap!M42</f>
        <v>490</v>
      </c>
      <c r="AM48" s="77">
        <f>Cap!N42</f>
        <v>520</v>
      </c>
    </row>
    <row r="49" spans="1:39" ht="18" customHeight="1" x14ac:dyDescent="0.25">
      <c r="A49" s="49"/>
      <c r="B49" s="48">
        <f>'2025MasterFile-Stat'!F43</f>
        <v>655</v>
      </c>
      <c r="C49" s="47" t="str">
        <f>'2025MasterFile-Stat'!B43</f>
        <v>Cleveland St</v>
      </c>
      <c r="D49" s="47" t="str">
        <f>LEFT('2025MasterFile-Stat'!C43,FIND(" to ",'2025MasterFile-Stat'!C43)-1)</f>
        <v>Park Ave</v>
      </c>
      <c r="E49" s="47" t="str">
        <f>RIGHT('2025MasterFile-Stat'!C43,LEN('2025MasterFile-Stat'!C43)-FIND(" to ",'2025MasterFile-Stat'!C43)-3)</f>
        <v>Sheeler Rd</v>
      </c>
      <c r="F49" s="44" t="str">
        <f>'2025MasterFile-Stat'!G43</f>
        <v>2L</v>
      </c>
      <c r="G49" s="44"/>
      <c r="H49" s="46" t="str">
        <f>'2025MasterFile-Stat'!H43</f>
        <v>E</v>
      </c>
      <c r="I49" s="44" t="str">
        <f>'2025MasterFile-Stat'!A43</f>
        <v>Min Coll</v>
      </c>
      <c r="J49" s="44"/>
      <c r="K49" s="44"/>
      <c r="L49" s="26">
        <f>IF(Cap!H43="A",Cap!O43,
 IF(Cap!H43="B",Cap!P43,
 IF(Cap!H43="C",Cap!Q43,
 IF(Cap!H43="D",Cap!R43,
 IF(Cap!H43="E",Cap!S43,"")))))</f>
        <v>15900</v>
      </c>
      <c r="M49" s="44"/>
      <c r="N49" s="44">
        <f>IF(Cap!H43="A",Cap!J43,
 IF(Cap!H43="B",Cap!K43,
 IF(Cap!H43="C",Cap!L43,
 IF(Cap!H43="D",Cap!M43,
 IF(Cap!H43="E",Cap!N43,"")))))</f>
        <v>790</v>
      </c>
      <c r="O49" s="44"/>
      <c r="P49" s="44"/>
      <c r="Q49" s="44"/>
      <c r="R49" s="44">
        <f>LOS!J43</f>
        <v>1761</v>
      </c>
      <c r="S49" s="45"/>
      <c r="T49" s="44" t="str">
        <f>LOS!K43</f>
        <v>C</v>
      </c>
      <c r="U49" s="44"/>
      <c r="V49" s="44"/>
      <c r="W49" s="44"/>
      <c r="X49" s="44"/>
      <c r="Y49" s="44"/>
      <c r="Z49" s="44"/>
      <c r="AA49" s="44">
        <f>LOS!L43</f>
        <v>64</v>
      </c>
      <c r="AB49" s="44">
        <f>LOS!M43</f>
        <v>63</v>
      </c>
      <c r="AC49" s="45"/>
      <c r="AD49" s="44" t="str">
        <f>LOS!Q43</f>
        <v>C</v>
      </c>
      <c r="AE49" s="44">
        <f>LOS!R43</f>
        <v>71</v>
      </c>
      <c r="AF49" s="44">
        <f>LOS!S43</f>
        <v>68</v>
      </c>
      <c r="AG49" s="45"/>
      <c r="AH49" s="44" t="str">
        <f>LOS!W43</f>
        <v>C</v>
      </c>
      <c r="AI49" s="82">
        <f>(Trend!L43)</f>
        <v>-1.3287904599662901</v>
      </c>
      <c r="AJ49" s="77">
        <f>Cap!K43</f>
        <v>0</v>
      </c>
      <c r="AK49" s="77">
        <f>Cap!L43</f>
        <v>750</v>
      </c>
      <c r="AL49" s="77">
        <f>Cap!M43</f>
        <v>790</v>
      </c>
      <c r="AM49" s="77">
        <f>Cap!N43</f>
        <v>790</v>
      </c>
    </row>
    <row r="50" spans="1:39" ht="18" customHeight="1" x14ac:dyDescent="0.25">
      <c r="A50" s="49"/>
      <c r="B50" s="48">
        <f>'2025MasterFile-Stat'!F44</f>
        <v>414</v>
      </c>
      <c r="C50" s="47" t="str">
        <f>'2025MasterFile-Stat'!B44</f>
        <v>E 5th Street</v>
      </c>
      <c r="D50" s="47" t="str">
        <f>LEFT('2025MasterFile-Stat'!C44,FIND(" to ",'2025MasterFile-Stat'!C44)-1)</f>
        <v>S Central Ave</v>
      </c>
      <c r="E50" s="47" t="str">
        <f>RIGHT('2025MasterFile-Stat'!C44,LEN('2025MasterFile-Stat'!C44)-FIND(" to ",'2025MasterFile-Stat'!C44)-3)</f>
        <v>Park Avenue</v>
      </c>
      <c r="F50" s="44" t="str">
        <f>'2025MasterFile-Stat'!G44</f>
        <v>2L</v>
      </c>
      <c r="G50" s="44"/>
      <c r="H50" s="46" t="str">
        <f>'2025MasterFile-Stat'!H44</f>
        <v>D</v>
      </c>
      <c r="I50" s="44" t="str">
        <f>'2025MasterFile-Stat'!A44</f>
        <v>Min Coll</v>
      </c>
      <c r="J50" s="44"/>
      <c r="K50" s="44"/>
      <c r="L50" s="26">
        <f>IF(Cap!H44="A",Cap!O44,
 IF(Cap!H44="B",Cap!P44,
 IF(Cap!H44="C",Cap!Q44,
 IF(Cap!H44="D",Cap!R44,
 IF(Cap!H44="E",Cap!S44,"")))))</f>
        <v>9600</v>
      </c>
      <c r="M50" s="44"/>
      <c r="N50" s="44">
        <f>IF(Cap!H44="A",Cap!J44,
 IF(Cap!H44="B",Cap!K44,
 IF(Cap!H44="C",Cap!L44,
 IF(Cap!H44="D",Cap!M44,
 IF(Cap!H44="E",Cap!N44,"")))))</f>
        <v>490</v>
      </c>
      <c r="O50" s="44"/>
      <c r="P50" s="44"/>
      <c r="Q50" s="44"/>
      <c r="R50" s="44">
        <f>LOS!J44</f>
        <v>2117</v>
      </c>
      <c r="S50" s="45"/>
      <c r="T50" s="44" t="str">
        <f>LOS!K44</f>
        <v>C</v>
      </c>
      <c r="U50" s="44"/>
      <c r="V50" s="44"/>
      <c r="W50" s="44"/>
      <c r="X50" s="44"/>
      <c r="Y50" s="44"/>
      <c r="Z50" s="44"/>
      <c r="AA50" s="44">
        <f>LOS!L44</f>
        <v>107</v>
      </c>
      <c r="AB50" s="44">
        <f>LOS!M44</f>
        <v>62</v>
      </c>
      <c r="AC50" s="45"/>
      <c r="AD50" s="44" t="str">
        <f>LOS!Q44</f>
        <v>C</v>
      </c>
      <c r="AE50" s="44">
        <f>LOS!R44</f>
        <v>137</v>
      </c>
      <c r="AF50" s="44">
        <f>LOS!S44</f>
        <v>87</v>
      </c>
      <c r="AG50" s="45"/>
      <c r="AH50" s="44" t="str">
        <f>LOS!W44</f>
        <v>C</v>
      </c>
      <c r="AI50" s="82" t="str">
        <f>(Trend!L44)</f>
        <v>N/A</v>
      </c>
      <c r="AJ50" s="77">
        <f>Cap!K44</f>
        <v>0</v>
      </c>
      <c r="AK50" s="77">
        <f>Cap!L44</f>
        <v>240</v>
      </c>
      <c r="AL50" s="77">
        <f>Cap!M44</f>
        <v>490</v>
      </c>
      <c r="AM50" s="77">
        <f>Cap!N44</f>
        <v>520</v>
      </c>
    </row>
    <row r="51" spans="1:39" ht="18" customHeight="1" x14ac:dyDescent="0.25">
      <c r="A51" s="49"/>
      <c r="B51" s="48">
        <f>'2025MasterFile-Stat'!F45</f>
        <v>408</v>
      </c>
      <c r="C51" s="47" t="str">
        <f>'2025MasterFile-Stat'!B45</f>
        <v>Edgewood Dr</v>
      </c>
      <c r="D51" s="47" t="str">
        <f>LEFT('2025MasterFile-Stat'!C45,FIND(" to ",'2025MasterFile-Stat'!C45)-1)</f>
        <v>Monroe Ave</v>
      </c>
      <c r="E51" s="47" t="str">
        <f>RIGHT('2025MasterFile-Stat'!C45,LEN('2025MasterFile-Stat'!C45)-FIND(" to ",'2025MasterFile-Stat'!C45)-3)</f>
        <v>US 441</v>
      </c>
      <c r="F51" s="44" t="str">
        <f>'2025MasterFile-Stat'!G45</f>
        <v>2L</v>
      </c>
      <c r="G51" s="44"/>
      <c r="H51" s="46" t="str">
        <f>'2025MasterFile-Stat'!H45</f>
        <v>E</v>
      </c>
      <c r="I51" s="44" t="str">
        <f>'2025MasterFile-Stat'!A45</f>
        <v>Min Coll</v>
      </c>
      <c r="J51" s="44"/>
      <c r="K51" s="44"/>
      <c r="L51" s="26">
        <f>IF(Cap!H45="A",Cap!O45,
 IF(Cap!H45="B",Cap!P45,
 IF(Cap!H45="C",Cap!Q45,
 IF(Cap!H45="D",Cap!R45,
 IF(Cap!H45="E",Cap!S45,"")))))</f>
        <v>10100</v>
      </c>
      <c r="M51" s="44"/>
      <c r="N51" s="44">
        <f>IF(Cap!H45="A",Cap!J45,
 IF(Cap!H45="B",Cap!K45,
 IF(Cap!H45="C",Cap!L45,
 IF(Cap!H45="D",Cap!M45,
 IF(Cap!H45="E",Cap!N45,"")))))</f>
        <v>520</v>
      </c>
      <c r="O51" s="44"/>
      <c r="P51" s="44"/>
      <c r="Q51" s="44"/>
      <c r="R51" s="44">
        <f>LOS!J45</f>
        <v>5010</v>
      </c>
      <c r="S51" s="45"/>
      <c r="T51" s="44" t="str">
        <f>LOS!K45</f>
        <v>D</v>
      </c>
      <c r="U51" s="44"/>
      <c r="V51" s="44"/>
      <c r="W51" s="44"/>
      <c r="X51" s="44"/>
      <c r="Y51" s="44"/>
      <c r="Z51" s="44"/>
      <c r="AA51" s="44">
        <f>LOS!L45</f>
        <v>184</v>
      </c>
      <c r="AB51" s="44">
        <f>LOS!M45</f>
        <v>101</v>
      </c>
      <c r="AC51" s="45"/>
      <c r="AD51" s="44" t="str">
        <f>LOS!Q45</f>
        <v>C</v>
      </c>
      <c r="AE51" s="44">
        <f>LOS!R45</f>
        <v>261</v>
      </c>
      <c r="AF51" s="44">
        <f>LOS!S45</f>
        <v>420</v>
      </c>
      <c r="AG51" s="45"/>
      <c r="AH51" s="44" t="str">
        <f>LOS!W45</f>
        <v>D</v>
      </c>
      <c r="AI51" s="82">
        <f>(Trend!L45)</f>
        <v>5.68263473054086</v>
      </c>
      <c r="AJ51" s="77">
        <f>Cap!K45</f>
        <v>0</v>
      </c>
      <c r="AK51" s="77">
        <f>Cap!L45</f>
        <v>240</v>
      </c>
      <c r="AL51" s="77">
        <f>Cap!M45</f>
        <v>490</v>
      </c>
      <c r="AM51" s="77">
        <f>Cap!N45</f>
        <v>520</v>
      </c>
    </row>
    <row r="52" spans="1:39" ht="18" customHeight="1" x14ac:dyDescent="0.25">
      <c r="A52" s="49"/>
      <c r="B52" s="48">
        <f>'2025MasterFile-Stat'!F46</f>
        <v>508</v>
      </c>
      <c r="C52" s="47" t="str">
        <f>'2025MasterFile-Stat'!B46</f>
        <v>Errol Pkwy</v>
      </c>
      <c r="D52" s="47" t="str">
        <f>LEFT('2025MasterFile-Stat'!C46,FIND(" to ",'2025MasterFile-Stat'!C46)-1)</f>
        <v>Lake Francis Dr</v>
      </c>
      <c r="E52" s="47" t="str">
        <f>RIGHT('2025MasterFile-Stat'!C46,LEN('2025MasterFile-Stat'!C46)-FIND(" to ",'2025MasterFile-Stat'!C46)-3)</f>
        <v>Lake Alden Dr</v>
      </c>
      <c r="F52" s="44" t="str">
        <f>'2025MasterFile-Stat'!G46</f>
        <v>2L</v>
      </c>
      <c r="G52" s="44"/>
      <c r="H52" s="46" t="str">
        <f>'2025MasterFile-Stat'!H46</f>
        <v>D</v>
      </c>
      <c r="I52" s="44" t="str">
        <f>'2025MasterFile-Stat'!A46</f>
        <v>Min Coll</v>
      </c>
      <c r="J52" s="44"/>
      <c r="K52" s="44"/>
      <c r="L52" s="26">
        <f>IF(Cap!H46="A",Cap!O46,
 IF(Cap!H46="B",Cap!P46,
 IF(Cap!H46="C",Cap!Q46,
 IF(Cap!H46="D",Cap!R46,
 IF(Cap!H46="E",Cap!S46,"")))))</f>
        <v>13990</v>
      </c>
      <c r="M52" s="44"/>
      <c r="N52" s="44">
        <f>IF(Cap!H46="A",Cap!J46,
 IF(Cap!H46="B",Cap!K46,
 IF(Cap!H46="C",Cap!L46,
 IF(Cap!H46="D",Cap!M46,
 IF(Cap!H46="E",Cap!N46,"")))))</f>
        <v>710</v>
      </c>
      <c r="O52" s="44"/>
      <c r="P52" s="44"/>
      <c r="Q52" s="44"/>
      <c r="R52" s="44">
        <f>LOS!J46</f>
        <v>2351</v>
      </c>
      <c r="S52" s="45"/>
      <c r="T52" s="44" t="str">
        <f>LOS!K46</f>
        <v>C</v>
      </c>
      <c r="U52" s="44"/>
      <c r="V52" s="44"/>
      <c r="W52" s="44"/>
      <c r="X52" s="44"/>
      <c r="Y52" s="44"/>
      <c r="Z52" s="44"/>
      <c r="AA52" s="44">
        <f>LOS!L46</f>
        <v>96</v>
      </c>
      <c r="AB52" s="44">
        <f>LOS!M46</f>
        <v>53</v>
      </c>
      <c r="AC52" s="45"/>
      <c r="AD52" s="44" t="str">
        <f>LOS!Q46</f>
        <v>C</v>
      </c>
      <c r="AE52" s="44">
        <f>LOS!R46</f>
        <v>86</v>
      </c>
      <c r="AF52" s="44">
        <f>LOS!S46</f>
        <v>142</v>
      </c>
      <c r="AG52" s="45"/>
      <c r="AH52" s="44" t="str">
        <f>LOS!W46</f>
        <v>C</v>
      </c>
      <c r="AI52" s="82">
        <f>(Trend!L46)</f>
        <v>-1.7184176945985301</v>
      </c>
      <c r="AJ52" s="77">
        <f>Cap!K46</f>
        <v>0</v>
      </c>
      <c r="AK52" s="77">
        <f>Cap!L46</f>
        <v>350</v>
      </c>
      <c r="AL52" s="77">
        <f>Cap!M46</f>
        <v>710</v>
      </c>
      <c r="AM52" s="77">
        <f>Cap!N46</f>
        <v>760</v>
      </c>
    </row>
    <row r="53" spans="1:39" ht="18" customHeight="1" x14ac:dyDescent="0.25">
      <c r="A53" s="49"/>
      <c r="B53" s="48">
        <f>'2025MasterFile-Stat'!F47</f>
        <v>509</v>
      </c>
      <c r="C53" s="47" t="str">
        <f>'2025MasterFile-Stat'!B47</f>
        <v>Errol Pkwy</v>
      </c>
      <c r="D53" s="47" t="str">
        <f>LEFT('2025MasterFile-Stat'!C47,FIND(" to ",'2025MasterFile-Stat'!C47)-1)</f>
        <v>Lake Alden Dr</v>
      </c>
      <c r="E53" s="47" t="str">
        <f>RIGHT('2025MasterFile-Stat'!C47,LEN('2025MasterFile-Stat'!C47)-FIND(" to ",'2025MasterFile-Stat'!C47)-3)</f>
        <v>Old Dixie Hwy</v>
      </c>
      <c r="F53" s="44" t="str">
        <f>'2025MasterFile-Stat'!G47</f>
        <v>2L</v>
      </c>
      <c r="G53" s="44"/>
      <c r="H53" s="46" t="str">
        <f>'2025MasterFile-Stat'!H47</f>
        <v>D</v>
      </c>
      <c r="I53" s="44" t="str">
        <f>'2025MasterFile-Stat'!A47</f>
        <v>Min Coll</v>
      </c>
      <c r="J53" s="44"/>
      <c r="K53" s="44"/>
      <c r="L53" s="26">
        <f>IF(Cap!H47="A",Cap!O47,
 IF(Cap!H47="B",Cap!P47,
 IF(Cap!H47="C",Cap!Q47,
 IF(Cap!H47="D",Cap!R47,
 IF(Cap!H47="E",Cap!S47,"")))))</f>
        <v>13320</v>
      </c>
      <c r="M53" s="44"/>
      <c r="N53" s="44">
        <f>IF(Cap!H47="A",Cap!J47,
 IF(Cap!H47="B",Cap!K47,
 IF(Cap!H47="C",Cap!L47,
 IF(Cap!H47="D",Cap!M47,
 IF(Cap!H47="E",Cap!N47,"")))))</f>
        <v>680</v>
      </c>
      <c r="O53" s="44"/>
      <c r="P53" s="44"/>
      <c r="Q53" s="44"/>
      <c r="R53" s="44">
        <f>LOS!J47</f>
        <v>4014</v>
      </c>
      <c r="S53" s="45"/>
      <c r="T53" s="44" t="str">
        <f>LOS!K47</f>
        <v>C</v>
      </c>
      <c r="U53" s="44"/>
      <c r="V53" s="44"/>
      <c r="W53" s="44"/>
      <c r="X53" s="44"/>
      <c r="Y53" s="44"/>
      <c r="Z53" s="44"/>
      <c r="AA53" s="44">
        <f>LOS!L47</f>
        <v>194</v>
      </c>
      <c r="AB53" s="44">
        <f>LOS!M47</f>
        <v>94</v>
      </c>
      <c r="AC53" s="45"/>
      <c r="AD53" s="44" t="str">
        <f>LOS!Q47</f>
        <v>C</v>
      </c>
      <c r="AE53" s="44">
        <f>LOS!R47</f>
        <v>133</v>
      </c>
      <c r="AF53" s="44">
        <f>LOS!S47</f>
        <v>242</v>
      </c>
      <c r="AG53" s="45"/>
      <c r="AH53" s="44" t="str">
        <f>LOS!W47</f>
        <v>C</v>
      </c>
      <c r="AI53" s="82">
        <f>(Trend!L47)</f>
        <v>-0.41853512705543999</v>
      </c>
      <c r="AJ53" s="77">
        <f>Cap!K47</f>
        <v>0</v>
      </c>
      <c r="AK53" s="77">
        <f>Cap!L47</f>
        <v>330</v>
      </c>
      <c r="AL53" s="77">
        <f>Cap!M47</f>
        <v>680</v>
      </c>
      <c r="AM53" s="77">
        <f>Cap!N47</f>
        <v>720</v>
      </c>
    </row>
    <row r="54" spans="1:39" ht="18" customHeight="1" x14ac:dyDescent="0.25">
      <c r="A54" s="49"/>
      <c r="B54" s="48">
        <f>'2025MasterFile-Stat'!F48</f>
        <v>541</v>
      </c>
      <c r="C54" s="47" t="str">
        <f>'2025MasterFile-Stat'!B48</f>
        <v>Errol Pkwy</v>
      </c>
      <c r="D54" s="47" t="str">
        <f>LEFT('2025MasterFile-Stat'!C48,FIND(" to ",'2025MasterFile-Stat'!C48)-1)</f>
        <v>Old Dixie Hwy</v>
      </c>
      <c r="E54" s="47" t="str">
        <f>RIGHT('2025MasterFile-Stat'!C48,LEN('2025MasterFile-Stat'!C48)-FIND(" to ",'2025MasterFile-Stat'!C48)-3)</f>
        <v>US 441</v>
      </c>
      <c r="F54" s="44" t="str">
        <f>'2025MasterFile-Stat'!G48</f>
        <v>2L</v>
      </c>
      <c r="G54" s="44"/>
      <c r="H54" s="46" t="str">
        <f>'2025MasterFile-Stat'!H48</f>
        <v>D</v>
      </c>
      <c r="I54" s="44" t="str">
        <f>'2025MasterFile-Stat'!A48</f>
        <v>Min Coll</v>
      </c>
      <c r="J54" s="44"/>
      <c r="K54" s="44"/>
      <c r="L54" s="26">
        <f>IF(Cap!H48="A",Cap!O48,
 IF(Cap!H48="B",Cap!P48,
 IF(Cap!H48="C",Cap!Q48,
 IF(Cap!H48="D",Cap!R48,
 IF(Cap!H48="E",Cap!S48,"")))))</f>
        <v>14000</v>
      </c>
      <c r="M54" s="44"/>
      <c r="N54" s="44">
        <f>IF(Cap!H48="A",Cap!J48,
 IF(Cap!H48="B",Cap!K48,
 IF(Cap!H48="C",Cap!L48,
 IF(Cap!H48="D",Cap!M48,
 IF(Cap!H48="E",Cap!N48,"")))))</f>
        <v>710</v>
      </c>
      <c r="O54" s="44"/>
      <c r="P54" s="44"/>
      <c r="Q54" s="44"/>
      <c r="R54" s="44">
        <f>LOS!J48</f>
        <v>6954</v>
      </c>
      <c r="S54" s="45"/>
      <c r="T54" s="44" t="str">
        <f>LOS!K48</f>
        <v>D</v>
      </c>
      <c r="U54" s="44"/>
      <c r="V54" s="44"/>
      <c r="W54" s="44"/>
      <c r="X54" s="44"/>
      <c r="Y54" s="44"/>
      <c r="Z54" s="44"/>
      <c r="AA54" s="44">
        <f>LOS!L48</f>
        <v>181</v>
      </c>
      <c r="AB54" s="44">
        <f>LOS!M48</f>
        <v>250</v>
      </c>
      <c r="AC54" s="45"/>
      <c r="AD54" s="44" t="str">
        <f>LOS!Q48</f>
        <v>C</v>
      </c>
      <c r="AE54" s="44">
        <f>LOS!R48</f>
        <v>463</v>
      </c>
      <c r="AF54" s="44">
        <f>LOS!S48</f>
        <v>201</v>
      </c>
      <c r="AG54" s="45"/>
      <c r="AH54" s="44" t="str">
        <f>LOS!W48</f>
        <v>D</v>
      </c>
      <c r="AI54" s="82">
        <f>(Trend!L48)</f>
        <v>-9.1170549324153392</v>
      </c>
      <c r="AJ54" s="77">
        <f>Cap!K48</f>
        <v>0</v>
      </c>
      <c r="AK54" s="77">
        <f>Cap!L48</f>
        <v>350</v>
      </c>
      <c r="AL54" s="77">
        <f>Cap!M48</f>
        <v>710</v>
      </c>
      <c r="AM54" s="77">
        <f>Cap!N48</f>
        <v>840</v>
      </c>
    </row>
    <row r="55" spans="1:39" ht="18" customHeight="1" x14ac:dyDescent="0.25">
      <c r="A55" s="49"/>
      <c r="B55" s="48">
        <f>'2025MasterFile-Stat'!F49</f>
        <v>931</v>
      </c>
      <c r="C55" s="47" t="str">
        <f>'2025MasterFile-Stat'!B49</f>
        <v>General Electric Rd</v>
      </c>
      <c r="D55" s="47" t="str">
        <f>LEFT('2025MasterFile-Stat'!C49,FIND(" to ",'2025MasterFile-Stat'!C49)-1)</f>
        <v>Hermit Smith Rd</v>
      </c>
      <c r="E55" s="47" t="str">
        <f>RIGHT('2025MasterFile-Stat'!C49,LEN('2025MasterFile-Stat'!C49)-FIND(" to ",'2025MasterFile-Stat'!C49)-3)</f>
        <v>Orange Ave</v>
      </c>
      <c r="F55" s="44" t="str">
        <f>'2025MasterFile-Stat'!G49</f>
        <v>2L</v>
      </c>
      <c r="G55" s="44"/>
      <c r="H55" s="46" t="str">
        <f>'2025MasterFile-Stat'!H49</f>
        <v>E</v>
      </c>
      <c r="I55" s="44" t="str">
        <f>'2025MasterFile-Stat'!A49</f>
        <v>Min Coll</v>
      </c>
      <c r="J55" s="44"/>
      <c r="K55" s="44"/>
      <c r="L55" s="26">
        <f>IF(Cap!H49="A",Cap!O49,
 IF(Cap!H49="B",Cap!P49,
 IF(Cap!H49="C",Cap!Q49,
 IF(Cap!H49="D",Cap!R49,
 IF(Cap!H49="E",Cap!S49,"")))))</f>
        <v>15900</v>
      </c>
      <c r="M55" s="44"/>
      <c r="N55" s="44">
        <f>IF(Cap!H49="A",Cap!J49,
 IF(Cap!H49="B",Cap!K49,
 IF(Cap!H49="C",Cap!L49,
 IF(Cap!H49="D",Cap!M49,
 IF(Cap!H49="E",Cap!N49,"")))))</f>
        <v>790</v>
      </c>
      <c r="O55" s="44"/>
      <c r="P55" s="44"/>
      <c r="Q55" s="44"/>
      <c r="R55" s="44">
        <f>LOS!J49</f>
        <v>2195</v>
      </c>
      <c r="S55" s="45"/>
      <c r="T55" s="44" t="str">
        <f>LOS!K49</f>
        <v>C</v>
      </c>
      <c r="U55" s="44"/>
      <c r="V55" s="44"/>
      <c r="W55" s="44"/>
      <c r="X55" s="44"/>
      <c r="Y55" s="44"/>
      <c r="Z55" s="44"/>
      <c r="AA55" s="44">
        <f>LOS!L49</f>
        <v>60</v>
      </c>
      <c r="AB55" s="44">
        <f>LOS!M49</f>
        <v>59</v>
      </c>
      <c r="AC55" s="45"/>
      <c r="AD55" s="44" t="str">
        <f>LOS!Q49</f>
        <v>C</v>
      </c>
      <c r="AE55" s="44">
        <f>LOS!R49</f>
        <v>50</v>
      </c>
      <c r="AF55" s="44">
        <f>LOS!S49</f>
        <v>122</v>
      </c>
      <c r="AG55" s="45"/>
      <c r="AH55" s="44" t="str">
        <f>LOS!W49</f>
        <v>C</v>
      </c>
      <c r="AI55" s="82">
        <f>(Trend!L49)</f>
        <v>5.2072892938513302</v>
      </c>
      <c r="AJ55" s="77">
        <f>Cap!K49</f>
        <v>0</v>
      </c>
      <c r="AK55" s="77">
        <f>Cap!L49</f>
        <v>750</v>
      </c>
      <c r="AL55" s="77">
        <f>Cap!M49</f>
        <v>790</v>
      </c>
      <c r="AM55" s="77">
        <f>Cap!N49</f>
        <v>790</v>
      </c>
    </row>
    <row r="56" spans="1:39" ht="18" customHeight="1" x14ac:dyDescent="0.25">
      <c r="A56" s="49"/>
      <c r="B56" s="48">
        <f>'2025MasterFile-Stat'!F50</f>
        <v>909</v>
      </c>
      <c r="C56" s="47" t="str">
        <f>'2025MasterFile-Stat'!B50</f>
        <v>Golden Gem Rd</v>
      </c>
      <c r="D56" s="47" t="str">
        <f>LEFT('2025MasterFile-Stat'!C50,FIND(" to ",'2025MasterFile-Stat'!C50)-1)</f>
        <v>Kelly Park Rd</v>
      </c>
      <c r="E56" s="47" t="str">
        <f>RIGHT('2025MasterFile-Stat'!C50,LEN('2025MasterFile-Stat'!C50)-FIND(" to ",'2025MasterFile-Stat'!C50)-3)</f>
        <v>Sadler Rd</v>
      </c>
      <c r="F56" s="44" t="str">
        <f>'2025MasterFile-Stat'!G50</f>
        <v>2L</v>
      </c>
      <c r="G56" s="44"/>
      <c r="H56" s="46" t="str">
        <f>'2025MasterFile-Stat'!H50</f>
        <v>E</v>
      </c>
      <c r="I56" s="44" t="str">
        <f>'2025MasterFile-Stat'!A50</f>
        <v>Min Coll</v>
      </c>
      <c r="J56" s="44"/>
      <c r="K56" s="44"/>
      <c r="L56" s="26">
        <f>IF(Cap!H50="A",Cap!O50,
 IF(Cap!H50="B",Cap!P50,
 IF(Cap!H50="C",Cap!Q50,
 IF(Cap!H50="D",Cap!R50,
 IF(Cap!H50="E",Cap!S50,"")))))</f>
        <v>15900</v>
      </c>
      <c r="M56" s="44"/>
      <c r="N56" s="44">
        <f>IF(Cap!H50="A",Cap!J50,
 IF(Cap!H50="B",Cap!K50,
 IF(Cap!H50="C",Cap!L50,
 IF(Cap!H50="D",Cap!M50,
 IF(Cap!H50="E",Cap!N50,"")))))</f>
        <v>790</v>
      </c>
      <c r="O56" s="44"/>
      <c r="P56" s="44"/>
      <c r="Q56" s="44"/>
      <c r="R56" s="44">
        <f>LOS!J50</f>
        <v>1843</v>
      </c>
      <c r="S56" s="45"/>
      <c r="T56" s="44" t="str">
        <f>LOS!K50</f>
        <v>C</v>
      </c>
      <c r="U56" s="44"/>
      <c r="V56" s="44"/>
      <c r="W56" s="44"/>
      <c r="X56" s="44"/>
      <c r="Y56" s="44"/>
      <c r="Z56" s="44"/>
      <c r="AA56" s="44">
        <f>LOS!L50</f>
        <v>92</v>
      </c>
      <c r="AB56" s="44">
        <f>LOS!M50</f>
        <v>52</v>
      </c>
      <c r="AC56" s="45"/>
      <c r="AD56" s="44" t="str">
        <f>LOS!Q50</f>
        <v>C</v>
      </c>
      <c r="AE56" s="44">
        <f>LOS!R50</f>
        <v>76</v>
      </c>
      <c r="AF56" s="44">
        <f>LOS!S50</f>
        <v>102</v>
      </c>
      <c r="AG56" s="45"/>
      <c r="AH56" s="44" t="str">
        <f>LOS!W50</f>
        <v>C</v>
      </c>
      <c r="AI56" s="82">
        <f>(Trend!L50)</f>
        <v>21.329354313624901</v>
      </c>
      <c r="AJ56" s="77">
        <f>Cap!K50</f>
        <v>0</v>
      </c>
      <c r="AK56" s="77">
        <f>Cap!L50</f>
        <v>750</v>
      </c>
      <c r="AL56" s="77">
        <f>Cap!M50</f>
        <v>790</v>
      </c>
      <c r="AM56" s="77">
        <f>Cap!N50</f>
        <v>790</v>
      </c>
    </row>
    <row r="57" spans="1:39" ht="18" customHeight="1" x14ac:dyDescent="0.25">
      <c r="A57" s="49"/>
      <c r="B57" s="48">
        <f>'2025MasterFile-Stat'!F51</f>
        <v>910</v>
      </c>
      <c r="C57" s="47" t="str">
        <f>'2025MasterFile-Stat'!B51</f>
        <v>Golden Gem Rd</v>
      </c>
      <c r="D57" s="47" t="str">
        <f>LEFT('2025MasterFile-Stat'!C51,FIND(" to ",'2025MasterFile-Stat'!C51)-1)</f>
        <v>Sadler Rd</v>
      </c>
      <c r="E57" s="47" t="str">
        <f>RIGHT('2025MasterFile-Stat'!C51,LEN('2025MasterFile-Stat'!C51)-FIND(" to ",'2025MasterFile-Stat'!C51)-3)</f>
        <v>Ponkan Rd</v>
      </c>
      <c r="F57" s="44" t="str">
        <f>'2025MasterFile-Stat'!G51</f>
        <v>2L</v>
      </c>
      <c r="G57" s="44"/>
      <c r="H57" s="46" t="str">
        <f>'2025MasterFile-Stat'!H51</f>
        <v>E</v>
      </c>
      <c r="I57" s="44" t="str">
        <f>'2025MasterFile-Stat'!A51</f>
        <v>Min Coll</v>
      </c>
      <c r="J57" s="44"/>
      <c r="K57" s="44"/>
      <c r="L57" s="26">
        <f>IF(Cap!H51="A",Cap!O51,
 IF(Cap!H51="B",Cap!P51,
 IF(Cap!H51="C",Cap!Q51,
 IF(Cap!H51="D",Cap!R51,
 IF(Cap!H51="E",Cap!S51,"")))))</f>
        <v>14000</v>
      </c>
      <c r="M57" s="44"/>
      <c r="N57" s="44">
        <f>IF(Cap!H51="A",Cap!J51,
 IF(Cap!H51="B",Cap!K51,
 IF(Cap!H51="C",Cap!L51,
 IF(Cap!H51="D",Cap!M51,
 IF(Cap!H51="E",Cap!N51,"")))))</f>
        <v>720</v>
      </c>
      <c r="O57" s="44"/>
      <c r="P57" s="44"/>
      <c r="Q57" s="44"/>
      <c r="R57" s="44">
        <f>LOS!J51</f>
        <v>1108</v>
      </c>
      <c r="S57" s="45"/>
      <c r="T57" s="44" t="str">
        <f>LOS!K51</f>
        <v>C</v>
      </c>
      <c r="U57" s="44"/>
      <c r="V57" s="44"/>
      <c r="W57" s="44"/>
      <c r="X57" s="44"/>
      <c r="Y57" s="44"/>
      <c r="Z57" s="44"/>
      <c r="AA57" s="44">
        <f>LOS!L51</f>
        <v>51</v>
      </c>
      <c r="AB57" s="44">
        <f>LOS!M51</f>
        <v>35</v>
      </c>
      <c r="AC57" s="45"/>
      <c r="AD57" s="44" t="str">
        <f>LOS!Q51</f>
        <v>C</v>
      </c>
      <c r="AE57" s="44">
        <f>LOS!R51</f>
        <v>51</v>
      </c>
      <c r="AF57" s="44">
        <f>LOS!S51</f>
        <v>61</v>
      </c>
      <c r="AG57" s="45"/>
      <c r="AH57" s="44" t="str">
        <f>LOS!W51</f>
        <v>C</v>
      </c>
      <c r="AI57" s="82">
        <f>(Trend!L51)</f>
        <v>18.4927797833986</v>
      </c>
      <c r="AJ57" s="77">
        <f>Cap!K51</f>
        <v>0</v>
      </c>
      <c r="AK57" s="77">
        <f>Cap!L51</f>
        <v>330</v>
      </c>
      <c r="AL57" s="77">
        <f>Cap!M51</f>
        <v>680</v>
      </c>
      <c r="AM57" s="77">
        <f>Cap!N51</f>
        <v>720</v>
      </c>
    </row>
    <row r="58" spans="1:39" ht="18" customHeight="1" x14ac:dyDescent="0.25">
      <c r="A58" s="49"/>
      <c r="B58" s="48">
        <f>'2025MasterFile-Stat'!F52</f>
        <v>820</v>
      </c>
      <c r="C58" s="47" t="str">
        <f>'2025MasterFile-Stat'!B52</f>
        <v>Greenacre Rd</v>
      </c>
      <c r="D58" s="47" t="str">
        <f>LEFT('2025MasterFile-Stat'!C52,FIND(" to ",'2025MasterFile-Stat'!C52)-1)</f>
        <v>Piedmont-Wekiwa Rd</v>
      </c>
      <c r="E58" s="47" t="str">
        <f>RIGHT('2025MasterFile-Stat'!C52,LEN('2025MasterFile-Stat'!C52)-FIND(" to ",'2025MasterFile-Stat'!C52)-3)</f>
        <v>Neil Rd</v>
      </c>
      <c r="F58" s="44" t="str">
        <f>'2025MasterFile-Stat'!G52</f>
        <v>2L</v>
      </c>
      <c r="G58" s="44"/>
      <c r="H58" s="46" t="str">
        <f>'2025MasterFile-Stat'!H52</f>
        <v>E</v>
      </c>
      <c r="I58" s="44" t="str">
        <f>'2025MasterFile-Stat'!A52</f>
        <v>Min Coll</v>
      </c>
      <c r="J58" s="44"/>
      <c r="K58" s="44"/>
      <c r="L58" s="26">
        <f>IF(Cap!H52="A",Cap!O52,
 IF(Cap!H52="B",Cap!P52,
 IF(Cap!H52="C",Cap!Q52,
 IF(Cap!H52="D",Cap!R52,
 IF(Cap!H52="E",Cap!S52,"")))))</f>
        <v>14000</v>
      </c>
      <c r="M58" s="44"/>
      <c r="N58" s="44">
        <f>IF(Cap!H52="A",Cap!J52,
 IF(Cap!H52="B",Cap!K52,
 IF(Cap!H52="C",Cap!L52,
 IF(Cap!H52="D",Cap!M52,
 IF(Cap!H52="E",Cap!N52,"")))))</f>
        <v>720</v>
      </c>
      <c r="O58" s="44"/>
      <c r="P58" s="44"/>
      <c r="Q58" s="44"/>
      <c r="R58" s="44">
        <f>LOS!J52</f>
        <v>3762</v>
      </c>
      <c r="S58" s="45"/>
      <c r="T58" s="44" t="str">
        <f>LOS!K52</f>
        <v>C</v>
      </c>
      <c r="U58" s="44"/>
      <c r="V58" s="44"/>
      <c r="W58" s="44"/>
      <c r="X58" s="44"/>
      <c r="Y58" s="44"/>
      <c r="Z58" s="44"/>
      <c r="AA58" s="44">
        <f>LOS!L52</f>
        <v>129</v>
      </c>
      <c r="AB58" s="44">
        <f>LOS!M52</f>
        <v>137</v>
      </c>
      <c r="AC58" s="45"/>
      <c r="AD58" s="44" t="str">
        <f>LOS!Q52</f>
        <v>C</v>
      </c>
      <c r="AE58" s="44">
        <f>LOS!R52</f>
        <v>164</v>
      </c>
      <c r="AF58" s="44">
        <f>LOS!S52</f>
        <v>152</v>
      </c>
      <c r="AG58" s="45"/>
      <c r="AH58" s="44" t="str">
        <f>LOS!W52</f>
        <v>C</v>
      </c>
      <c r="AI58" s="82">
        <f>(Trend!L52)</f>
        <v>-5.2126528442333901</v>
      </c>
      <c r="AJ58" s="77">
        <f>Cap!K52</f>
        <v>0</v>
      </c>
      <c r="AK58" s="77">
        <f>Cap!L52</f>
        <v>330</v>
      </c>
      <c r="AL58" s="77">
        <f>Cap!M52</f>
        <v>680</v>
      </c>
      <c r="AM58" s="77">
        <f>Cap!N52</f>
        <v>720</v>
      </c>
    </row>
    <row r="59" spans="1:39" ht="18" customHeight="1" x14ac:dyDescent="0.25">
      <c r="A59" s="49"/>
      <c r="B59" s="48">
        <f>'2025MasterFile-Stat'!F53</f>
        <v>920</v>
      </c>
      <c r="C59" s="47" t="str">
        <f>'2025MasterFile-Stat'!B53</f>
        <v>Haas Rd</v>
      </c>
      <c r="D59" s="47" t="str">
        <f>LEFT('2025MasterFile-Stat'!C53,FIND(" to ",'2025MasterFile-Stat'!C53)-1)</f>
        <v>Plymouth-Sorrento Rd (CR 437)</v>
      </c>
      <c r="E59" s="47" t="str">
        <f>RIGHT('2025MasterFile-Stat'!C53,LEN('2025MasterFile-Stat'!C53)-FIND(" to ",'2025MasterFile-Stat'!C53)-3)</f>
        <v>Mt Plymouth Rd</v>
      </c>
      <c r="F59" s="44" t="str">
        <f>'2025MasterFile-Stat'!G53</f>
        <v>2L</v>
      </c>
      <c r="G59" s="44"/>
      <c r="H59" s="46" t="str">
        <f>'2025MasterFile-Stat'!H53</f>
        <v>E</v>
      </c>
      <c r="I59" s="44" t="str">
        <f>'2025MasterFile-Stat'!A53</f>
        <v>Min Coll</v>
      </c>
      <c r="J59" s="44"/>
      <c r="K59" s="44"/>
      <c r="L59" s="26">
        <f>IF(Cap!H53="A",Cap!O53,
 IF(Cap!H53="B",Cap!P53,
 IF(Cap!H53="C",Cap!Q53,
 IF(Cap!H53="D",Cap!R53,
 IF(Cap!H53="E",Cap!S53,"")))))</f>
        <v>15900</v>
      </c>
      <c r="M59" s="44"/>
      <c r="N59" s="44">
        <f>IF(Cap!H53="A",Cap!J53,
 IF(Cap!H53="B",Cap!K53,
 IF(Cap!H53="C",Cap!L53,
 IF(Cap!H53="D",Cap!M53,
 IF(Cap!H53="E",Cap!N53,"")))))</f>
        <v>790</v>
      </c>
      <c r="O59" s="44"/>
      <c r="P59" s="44"/>
      <c r="Q59" s="44"/>
      <c r="R59" s="44">
        <f>LOS!J53</f>
        <v>1440</v>
      </c>
      <c r="S59" s="45"/>
      <c r="T59" s="44" t="str">
        <f>LOS!K53</f>
        <v>C</v>
      </c>
      <c r="U59" s="44"/>
      <c r="V59" s="44"/>
      <c r="W59" s="44"/>
      <c r="X59" s="44"/>
      <c r="Y59" s="44"/>
      <c r="Z59" s="44"/>
      <c r="AA59" s="44">
        <f>LOS!L53</f>
        <v>54</v>
      </c>
      <c r="AB59" s="44">
        <f>LOS!M53</f>
        <v>79</v>
      </c>
      <c r="AC59" s="45"/>
      <c r="AD59" s="44" t="str">
        <f>LOS!Q53</f>
        <v>C</v>
      </c>
      <c r="AE59" s="44">
        <f>LOS!R53</f>
        <v>73</v>
      </c>
      <c r="AF59" s="44">
        <f>LOS!S53</f>
        <v>52</v>
      </c>
      <c r="AG59" s="45"/>
      <c r="AH59" s="44" t="str">
        <f>LOS!W53</f>
        <v>C</v>
      </c>
      <c r="AI59" s="82">
        <f>(Trend!L53)</f>
        <v>6.97222222222429</v>
      </c>
      <c r="AJ59" s="77">
        <f>Cap!K53</f>
        <v>0</v>
      </c>
      <c r="AK59" s="77">
        <f>Cap!L53</f>
        <v>750</v>
      </c>
      <c r="AL59" s="77">
        <f>Cap!M53</f>
        <v>790</v>
      </c>
      <c r="AM59" s="77">
        <f>Cap!N53</f>
        <v>790</v>
      </c>
    </row>
    <row r="60" spans="1:39" ht="18" customHeight="1" x14ac:dyDescent="0.25">
      <c r="A60" s="49"/>
      <c r="B60" s="48">
        <f>'2025MasterFile-Stat'!F54</f>
        <v>972</v>
      </c>
      <c r="C60" s="47" t="str">
        <f>'2025MasterFile-Stat'!B54</f>
        <v>Harmon Rd</v>
      </c>
      <c r="D60" s="47" t="str">
        <f>LEFT('2025MasterFile-Stat'!C54,FIND(" to ",'2025MasterFile-Stat'!C54)-1)</f>
        <v>Binion Rd</v>
      </c>
      <c r="E60" s="47" t="str">
        <f>RIGHT('2025MasterFile-Stat'!C54,LEN('2025MasterFile-Stat'!C54)-FIND(" to ",'2025MasterFile-Stat'!C54)-3)</f>
        <v>Ocoee-Apopka Rd</v>
      </c>
      <c r="F60" s="44" t="str">
        <f>'2025MasterFile-Stat'!G54</f>
        <v>2L</v>
      </c>
      <c r="G60" s="44"/>
      <c r="H60" s="46" t="str">
        <f>'2025MasterFile-Stat'!H54</f>
        <v>E</v>
      </c>
      <c r="I60" s="44" t="str">
        <f>'2025MasterFile-Stat'!A54</f>
        <v>Min Coll</v>
      </c>
      <c r="J60" s="44"/>
      <c r="K60" s="44"/>
      <c r="L60" s="26">
        <f>IF(Cap!H54="A",Cap!O54,
 IF(Cap!H54="B",Cap!P54,
 IF(Cap!H54="C",Cap!Q54,
 IF(Cap!H54="D",Cap!R54,
 IF(Cap!H54="E",Cap!S54,"")))))</f>
        <v>15900</v>
      </c>
      <c r="M60" s="44"/>
      <c r="N60" s="44">
        <f>IF(Cap!H54="A",Cap!J54,
 IF(Cap!H54="B",Cap!K54,
 IF(Cap!H54="C",Cap!L54,
 IF(Cap!H54="D",Cap!M54,
 IF(Cap!H54="E",Cap!N54,"")))))</f>
        <v>790</v>
      </c>
      <c r="O60" s="44"/>
      <c r="P60" s="44"/>
      <c r="Q60" s="44"/>
      <c r="R60" s="44">
        <f>LOS!J54</f>
        <v>5426</v>
      </c>
      <c r="S60" s="45"/>
      <c r="T60" s="44" t="str">
        <f>LOS!K54</f>
        <v>C</v>
      </c>
      <c r="U60" s="44"/>
      <c r="V60" s="44"/>
      <c r="W60" s="44"/>
      <c r="X60" s="44"/>
      <c r="Y60" s="44"/>
      <c r="Z60" s="44"/>
      <c r="AA60" s="44">
        <f>LOS!L54</f>
        <v>363</v>
      </c>
      <c r="AB60" s="44">
        <f>LOS!M54</f>
        <v>131</v>
      </c>
      <c r="AC60" s="45"/>
      <c r="AD60" s="44" t="str">
        <f>LOS!Q54</f>
        <v>C</v>
      </c>
      <c r="AE60" s="44">
        <f>LOS!R54</f>
        <v>152</v>
      </c>
      <c r="AF60" s="44">
        <f>LOS!S54</f>
        <v>279</v>
      </c>
      <c r="AG60" s="45"/>
      <c r="AH60" s="44" t="str">
        <f>LOS!W54</f>
        <v>C</v>
      </c>
      <c r="AI60" s="82">
        <f>(Trend!L54)</f>
        <v>12.9340213785514</v>
      </c>
      <c r="AJ60" s="77">
        <f>Cap!K54</f>
        <v>0</v>
      </c>
      <c r="AK60" s="77">
        <f>Cap!L54</f>
        <v>750</v>
      </c>
      <c r="AL60" s="77">
        <f>Cap!M54</f>
        <v>790</v>
      </c>
      <c r="AM60" s="77">
        <f>Cap!N54</f>
        <v>790</v>
      </c>
    </row>
    <row r="61" spans="1:39" ht="18" customHeight="1" x14ac:dyDescent="0.25">
      <c r="A61" s="49"/>
      <c r="B61" s="48">
        <f>'2025MasterFile-Stat'!F55</f>
        <v>975</v>
      </c>
      <c r="C61" s="47" t="str">
        <f>'2025MasterFile-Stat'!B55</f>
        <v>Harmon Road</v>
      </c>
      <c r="D61" s="47" t="str">
        <f>LEFT('2025MasterFile-Stat'!C55,FIND(" to ",'2025MasterFile-Stat'!C55)-1)</f>
        <v>Ocoee Apopka Road</v>
      </c>
      <c r="E61" s="47" t="str">
        <f>RIGHT('2025MasterFile-Stat'!C55,LEN('2025MasterFile-Stat'!C55)-FIND(" to ",'2025MasterFile-Stat'!C55)-3)</f>
        <v>Marden Road</v>
      </c>
      <c r="F61" s="44" t="str">
        <f>'2025MasterFile-Stat'!G55</f>
        <v>2L</v>
      </c>
      <c r="G61" s="44"/>
      <c r="H61" s="46" t="str">
        <f>'2025MasterFile-Stat'!H55</f>
        <v>E</v>
      </c>
      <c r="I61" s="44" t="str">
        <f>'2025MasterFile-Stat'!A55</f>
        <v>Min Coll</v>
      </c>
      <c r="J61" s="44"/>
      <c r="K61" s="44"/>
      <c r="L61" s="26">
        <f>IF(Cap!H55="A",Cap!O55,
 IF(Cap!H55="B",Cap!P55,
 IF(Cap!H55="C",Cap!Q55,
 IF(Cap!H55="D",Cap!R55,
 IF(Cap!H55="E",Cap!S55,"")))))</f>
        <v>15900</v>
      </c>
      <c r="M61" s="44"/>
      <c r="N61" s="44">
        <f>IF(Cap!H55="A",Cap!J55,
 IF(Cap!H55="B",Cap!K55,
 IF(Cap!H55="C",Cap!L55,
 IF(Cap!H55="D",Cap!M55,
 IF(Cap!H55="E",Cap!N55,"")))))</f>
        <v>790</v>
      </c>
      <c r="O61" s="44"/>
      <c r="P61" s="44"/>
      <c r="Q61" s="44"/>
      <c r="R61" s="44">
        <f>LOS!J55</f>
        <v>4050</v>
      </c>
      <c r="S61" s="45"/>
      <c r="T61" s="44" t="str">
        <f>LOS!K55</f>
        <v>C</v>
      </c>
      <c r="U61" s="44"/>
      <c r="V61" s="44"/>
      <c r="W61" s="44"/>
      <c r="X61" s="44"/>
      <c r="Y61" s="44"/>
      <c r="Z61" s="44"/>
      <c r="AA61" s="44">
        <f>LOS!L55</f>
        <v>253</v>
      </c>
      <c r="AB61" s="44">
        <f>LOS!M55</f>
        <v>183</v>
      </c>
      <c r="AC61" s="45"/>
      <c r="AD61" s="44" t="str">
        <f>LOS!Q55</f>
        <v>C</v>
      </c>
      <c r="AE61" s="44">
        <f>LOS!R55</f>
        <v>165</v>
      </c>
      <c r="AF61" s="44">
        <f>LOS!S55</f>
        <v>162</v>
      </c>
      <c r="AG61" s="45"/>
      <c r="AH61" s="44" t="str">
        <f>LOS!W55</f>
        <v>C</v>
      </c>
      <c r="AI61" s="82" t="str">
        <f>(Trend!L55)</f>
        <v>N/A</v>
      </c>
      <c r="AJ61" s="77">
        <f>Cap!K55</f>
        <v>0</v>
      </c>
      <c r="AK61" s="77">
        <f>Cap!L55</f>
        <v>750</v>
      </c>
      <c r="AL61" s="77">
        <f>Cap!M55</f>
        <v>790</v>
      </c>
      <c r="AM61" s="77">
        <f>Cap!N55</f>
        <v>790</v>
      </c>
    </row>
    <row r="62" spans="1:39" ht="18" customHeight="1" x14ac:dyDescent="0.25">
      <c r="A62" s="49"/>
      <c r="B62" s="48">
        <f>'2025MasterFile-Stat'!F56</f>
        <v>561</v>
      </c>
      <c r="C62" s="47" t="str">
        <f>'2025MasterFile-Stat'!B56</f>
        <v>Hawthorne Ave</v>
      </c>
      <c r="D62" s="47" t="str">
        <f>LEFT('2025MasterFile-Stat'!C56,FIND(" to ",'2025MasterFile-Stat'!C56)-1)</f>
        <v>Ocoee-Apopka Rd</v>
      </c>
      <c r="E62" s="47" t="str">
        <f>RIGHT('2025MasterFile-Stat'!C56,LEN('2025MasterFile-Stat'!C56)-FIND(" to ",'2025MasterFile-Stat'!C56)-3)</f>
        <v>13th St</v>
      </c>
      <c r="F62" s="44" t="str">
        <f>'2025MasterFile-Stat'!G56</f>
        <v>2L</v>
      </c>
      <c r="G62" s="44"/>
      <c r="H62" s="46" t="str">
        <f>'2025MasterFile-Stat'!H56</f>
        <v>D</v>
      </c>
      <c r="I62" s="44" t="str">
        <f>'2025MasterFile-Stat'!A56</f>
        <v>Min Coll</v>
      </c>
      <c r="J62" s="44"/>
      <c r="K62" s="44"/>
      <c r="L62" s="26">
        <f>IF(Cap!H56="A",Cap!O56,
 IF(Cap!H56="B",Cap!P56,
 IF(Cap!H56="C",Cap!Q56,
 IF(Cap!H56="D",Cap!R56,
 IF(Cap!H56="E",Cap!S56,"")))))</f>
        <v>13300</v>
      </c>
      <c r="M62" s="44"/>
      <c r="N62" s="44">
        <f>IF(Cap!H56="A",Cap!J56,
 IF(Cap!H56="B",Cap!K56,
 IF(Cap!H56="C",Cap!L56,
 IF(Cap!H56="D",Cap!M56,
 IF(Cap!H56="E",Cap!N56,"")))))</f>
        <v>680</v>
      </c>
      <c r="O62" s="44"/>
      <c r="P62" s="44"/>
      <c r="Q62" s="44"/>
      <c r="R62" s="44">
        <f>LOS!J56</f>
        <v>1129</v>
      </c>
      <c r="S62" s="45"/>
      <c r="T62" s="44" t="str">
        <f>LOS!K56</f>
        <v>C</v>
      </c>
      <c r="U62" s="44"/>
      <c r="V62" s="44"/>
      <c r="W62" s="44"/>
      <c r="X62" s="44"/>
      <c r="Y62" s="44"/>
      <c r="Z62" s="44"/>
      <c r="AA62" s="44">
        <f>LOS!L56</f>
        <v>24</v>
      </c>
      <c r="AB62" s="44">
        <f>LOS!M56</f>
        <v>36</v>
      </c>
      <c r="AC62" s="45"/>
      <c r="AD62" s="44" t="str">
        <f>LOS!Q56</f>
        <v>C</v>
      </c>
      <c r="AE62" s="44">
        <f>LOS!R56</f>
        <v>56</v>
      </c>
      <c r="AF62" s="44">
        <f>LOS!S56</f>
        <v>42</v>
      </c>
      <c r="AG62" s="45"/>
      <c r="AH62" s="44" t="str">
        <f>LOS!W56</f>
        <v>C</v>
      </c>
      <c r="AI62" s="82">
        <f>(Trend!L56)</f>
        <v>-5.4030115146164102</v>
      </c>
      <c r="AJ62" s="77">
        <f>Cap!K56</f>
        <v>0</v>
      </c>
      <c r="AK62" s="77">
        <f>Cap!L56</f>
        <v>330</v>
      </c>
      <c r="AL62" s="77">
        <f>Cap!M56</f>
        <v>680</v>
      </c>
      <c r="AM62" s="77">
        <f>Cap!N56</f>
        <v>720</v>
      </c>
    </row>
    <row r="63" spans="1:39" ht="18" customHeight="1" x14ac:dyDescent="0.25">
      <c r="A63" s="49"/>
      <c r="B63" s="48">
        <f>'2025MasterFile-Stat'!F57</f>
        <v>562</v>
      </c>
      <c r="C63" s="47" t="str">
        <f>'2025MasterFile-Stat'!B57</f>
        <v>Hawthorne Ave</v>
      </c>
      <c r="D63" s="47" t="str">
        <f>LEFT('2025MasterFile-Stat'!C57,FIND(" to ",'2025MasterFile-Stat'!C57)-1)</f>
        <v>US 441</v>
      </c>
      <c r="E63" s="47" t="str">
        <f>RIGHT('2025MasterFile-Stat'!C57,LEN('2025MasterFile-Stat'!C57)-FIND(" to ",'2025MasterFile-Stat'!C57)-3)</f>
        <v>Ocoee-Apopka Rd</v>
      </c>
      <c r="F63" s="44" t="str">
        <f>'2025MasterFile-Stat'!G57</f>
        <v>2L</v>
      </c>
      <c r="G63" s="44"/>
      <c r="H63" s="46" t="str">
        <f>'2025MasterFile-Stat'!H57</f>
        <v>D</v>
      </c>
      <c r="I63" s="44" t="str">
        <f>'2025MasterFile-Stat'!A57</f>
        <v>Min Coll</v>
      </c>
      <c r="J63" s="44"/>
      <c r="K63" s="44"/>
      <c r="L63" s="26">
        <f>IF(Cap!H57="A",Cap!O57,
 IF(Cap!H57="B",Cap!P57,
 IF(Cap!H57="C",Cap!Q57,
 IF(Cap!H57="D",Cap!R57,
 IF(Cap!H57="E",Cap!S57,"")))))</f>
        <v>13300</v>
      </c>
      <c r="M63" s="44"/>
      <c r="N63" s="44">
        <f>IF(Cap!H57="A",Cap!J57,
 IF(Cap!H57="B",Cap!K57,
 IF(Cap!H57="C",Cap!L57,
 IF(Cap!H57="D",Cap!M57,
 IF(Cap!H57="E",Cap!N57,"")))))</f>
        <v>680</v>
      </c>
      <c r="O63" s="44"/>
      <c r="P63" s="44"/>
      <c r="Q63" s="44"/>
      <c r="R63" s="44">
        <f>LOS!J57</f>
        <v>1084</v>
      </c>
      <c r="S63" s="45"/>
      <c r="T63" s="44" t="str">
        <f>LOS!K57</f>
        <v>C</v>
      </c>
      <c r="U63" s="44"/>
      <c r="V63" s="44"/>
      <c r="W63" s="44"/>
      <c r="X63" s="44"/>
      <c r="Y63" s="44"/>
      <c r="Z63" s="44"/>
      <c r="AA63" s="44">
        <f>LOS!L57</f>
        <v>28</v>
      </c>
      <c r="AB63" s="44">
        <f>LOS!M57</f>
        <v>18</v>
      </c>
      <c r="AC63" s="45"/>
      <c r="AD63" s="44" t="str">
        <f>LOS!Q57</f>
        <v>C</v>
      </c>
      <c r="AE63" s="44">
        <f>LOS!R57</f>
        <v>53</v>
      </c>
      <c r="AF63" s="44">
        <f>LOS!S57</f>
        <v>48</v>
      </c>
      <c r="AG63" s="45"/>
      <c r="AH63" s="44" t="str">
        <f>LOS!W57</f>
        <v>C</v>
      </c>
      <c r="AI63" s="82">
        <f>(Trend!L57)</f>
        <v>-6.8265682656848004</v>
      </c>
      <c r="AJ63" s="77">
        <f>Cap!K57</f>
        <v>0</v>
      </c>
      <c r="AK63" s="77">
        <f>Cap!L57</f>
        <v>330</v>
      </c>
      <c r="AL63" s="77">
        <f>Cap!M57</f>
        <v>680</v>
      </c>
      <c r="AM63" s="77">
        <f>Cap!N57</f>
        <v>720</v>
      </c>
    </row>
    <row r="64" spans="1:39" ht="18" customHeight="1" x14ac:dyDescent="0.25">
      <c r="A64" s="49"/>
      <c r="B64" s="48">
        <f>'2025MasterFile-Stat'!F58</f>
        <v>950</v>
      </c>
      <c r="C64" s="47" t="str">
        <f>'2025MasterFile-Stat'!B58</f>
        <v>Hermit Smith Rd</v>
      </c>
      <c r="D64" s="47" t="str">
        <f>LEFT('2025MasterFile-Stat'!C58,FIND(" to ",'2025MasterFile-Stat'!C58)-1)</f>
        <v>US 441</v>
      </c>
      <c r="E64" s="47" t="str">
        <f>RIGHT('2025MasterFile-Stat'!C58,LEN('2025MasterFile-Stat'!C58)-FIND(" to ",'2025MasterFile-Stat'!C58)-3)</f>
        <v>General Electric Rd</v>
      </c>
      <c r="F64" s="44" t="str">
        <f>'2025MasterFile-Stat'!G58</f>
        <v>2L</v>
      </c>
      <c r="G64" s="44"/>
      <c r="H64" s="46" t="str">
        <f>'2025MasterFile-Stat'!H58</f>
        <v>E</v>
      </c>
      <c r="I64" s="44" t="str">
        <f>'2025MasterFile-Stat'!A58</f>
        <v>Min Coll</v>
      </c>
      <c r="J64" s="44"/>
      <c r="K64" s="44"/>
      <c r="L64" s="26">
        <f>IF(Cap!H58="A",Cap!O58,
 IF(Cap!H58="B",Cap!P58,
 IF(Cap!H58="C",Cap!Q58,
 IF(Cap!H58="D",Cap!R58,
 IF(Cap!H58="E",Cap!S58,"")))))</f>
        <v>15900</v>
      </c>
      <c r="M64" s="44"/>
      <c r="N64" s="44">
        <f>IF(Cap!H58="A",Cap!J58,
 IF(Cap!H58="B",Cap!K58,
 IF(Cap!H58="C",Cap!L58,
 IF(Cap!H58="D",Cap!M58,
 IF(Cap!H58="E",Cap!N58,"")))))</f>
        <v>790</v>
      </c>
      <c r="O64" s="44"/>
      <c r="P64" s="44"/>
      <c r="Q64" s="44"/>
      <c r="R64" s="44">
        <f>LOS!J58</f>
        <v>2821</v>
      </c>
      <c r="S64" s="45"/>
      <c r="T64" s="44" t="str">
        <f>LOS!K58</f>
        <v>C</v>
      </c>
      <c r="U64" s="44"/>
      <c r="V64" s="44"/>
      <c r="W64" s="44"/>
      <c r="X64" s="44"/>
      <c r="Y64" s="44"/>
      <c r="Z64" s="44"/>
      <c r="AA64" s="44">
        <f>LOS!L58</f>
        <v>110</v>
      </c>
      <c r="AB64" s="44">
        <f>LOS!M58</f>
        <v>64</v>
      </c>
      <c r="AC64" s="45"/>
      <c r="AD64" s="44" t="str">
        <f>LOS!Q58</f>
        <v>C</v>
      </c>
      <c r="AE64" s="44">
        <f>LOS!R58</f>
        <v>58</v>
      </c>
      <c r="AF64" s="44">
        <f>LOS!S58</f>
        <v>173</v>
      </c>
      <c r="AG64" s="45"/>
      <c r="AH64" s="44" t="str">
        <f>LOS!W58</f>
        <v>C</v>
      </c>
      <c r="AI64" s="82">
        <f>(Trend!L58)</f>
        <v>7.44416873449362</v>
      </c>
      <c r="AJ64" s="77">
        <f>Cap!K58</f>
        <v>0</v>
      </c>
      <c r="AK64" s="77">
        <f>Cap!L58</f>
        <v>750</v>
      </c>
      <c r="AL64" s="77">
        <f>Cap!M58</f>
        <v>790</v>
      </c>
      <c r="AM64" s="77">
        <f>Cap!N58</f>
        <v>790</v>
      </c>
    </row>
    <row r="65" spans="1:39" ht="18" customHeight="1" x14ac:dyDescent="0.25">
      <c r="A65" s="49"/>
      <c r="B65" s="48">
        <f>'2025MasterFile-Stat'!F59</f>
        <v>951</v>
      </c>
      <c r="C65" s="47" t="str">
        <f>'2025MasterFile-Stat'!B59</f>
        <v>Hermit Smith Rd</v>
      </c>
      <c r="D65" s="47" t="str">
        <f>LEFT('2025MasterFile-Stat'!C59,FIND(" to ",'2025MasterFile-Stat'!C59)-1)</f>
        <v>Plymouth-Sorrento Rd (CR 437)</v>
      </c>
      <c r="E65" s="47" t="str">
        <f>RIGHT('2025MasterFile-Stat'!C59,LEN('2025MasterFile-Stat'!C59)-FIND(" to ",'2025MasterFile-Stat'!C59)-3)</f>
        <v>US 441</v>
      </c>
      <c r="F65" s="44" t="str">
        <f>'2025MasterFile-Stat'!G59</f>
        <v>2L</v>
      </c>
      <c r="G65" s="44"/>
      <c r="H65" s="46" t="str">
        <f>'2025MasterFile-Stat'!H59</f>
        <v>E</v>
      </c>
      <c r="I65" s="44" t="str">
        <f>'2025MasterFile-Stat'!A59</f>
        <v>Min Coll</v>
      </c>
      <c r="J65" s="44"/>
      <c r="K65" s="44"/>
      <c r="L65" s="26">
        <f>IF(Cap!H59="A",Cap!O59,
 IF(Cap!H59="B",Cap!P59,
 IF(Cap!H59="C",Cap!Q59,
 IF(Cap!H59="D",Cap!R59,
 IF(Cap!H59="E",Cap!S59,"")))))</f>
        <v>15900</v>
      </c>
      <c r="M65" s="44"/>
      <c r="N65" s="44">
        <f>IF(Cap!H59="A",Cap!J59,
 IF(Cap!H59="B",Cap!K59,
 IF(Cap!H59="C",Cap!L59,
 IF(Cap!H59="D",Cap!M59,
 IF(Cap!H59="E",Cap!N59,"")))))</f>
        <v>790</v>
      </c>
      <c r="O65" s="44"/>
      <c r="P65" s="44"/>
      <c r="Q65" s="44"/>
      <c r="R65" s="44">
        <f>LOS!J59</f>
        <v>991</v>
      </c>
      <c r="S65" s="45"/>
      <c r="T65" s="44" t="str">
        <f>LOS!K59</f>
        <v>C</v>
      </c>
      <c r="U65" s="44"/>
      <c r="V65" s="44"/>
      <c r="W65" s="44"/>
      <c r="X65" s="44"/>
      <c r="Y65" s="44"/>
      <c r="Z65" s="44"/>
      <c r="AA65" s="44">
        <f>LOS!L59</f>
        <v>37</v>
      </c>
      <c r="AB65" s="44">
        <f>LOS!M59</f>
        <v>34</v>
      </c>
      <c r="AC65" s="45"/>
      <c r="AD65" s="44" t="str">
        <f>LOS!Q59</f>
        <v>C</v>
      </c>
      <c r="AE65" s="44">
        <f>LOS!R59</f>
        <v>73</v>
      </c>
      <c r="AF65" s="44">
        <f>LOS!S59</f>
        <v>31</v>
      </c>
      <c r="AG65" s="45"/>
      <c r="AH65" s="44" t="str">
        <f>LOS!W59</f>
        <v>C</v>
      </c>
      <c r="AI65" s="82">
        <f>(Trend!L59)</f>
        <v>-0.92835519677106404</v>
      </c>
      <c r="AJ65" s="77">
        <f>Cap!K59</f>
        <v>0</v>
      </c>
      <c r="AK65" s="77">
        <f>Cap!L59</f>
        <v>750</v>
      </c>
      <c r="AL65" s="77">
        <f>Cap!M59</f>
        <v>790</v>
      </c>
      <c r="AM65" s="77">
        <f>Cap!N59</f>
        <v>790</v>
      </c>
    </row>
    <row r="66" spans="1:39" ht="18" customHeight="1" x14ac:dyDescent="0.25">
      <c r="A66" s="49"/>
      <c r="B66" s="48">
        <f>'2025MasterFile-Stat'!F60</f>
        <v>952</v>
      </c>
      <c r="C66" s="47" t="str">
        <f>'2025MasterFile-Stat'!B60</f>
        <v>Hermit Smith Rd</v>
      </c>
      <c r="D66" s="47" t="str">
        <f>LEFT('2025MasterFile-Stat'!C60,FIND(" to ",'2025MasterFile-Stat'!C60)-1)</f>
        <v>General Electric Rd</v>
      </c>
      <c r="E66" s="47" t="str">
        <f>RIGHT('2025MasterFile-Stat'!C60,LEN('2025MasterFile-Stat'!C60)-FIND(" to ",'2025MasterFile-Stat'!C60)-3)</f>
        <v>US 441</v>
      </c>
      <c r="F66" s="44" t="str">
        <f>'2025MasterFile-Stat'!G60</f>
        <v>2L</v>
      </c>
      <c r="G66" s="44"/>
      <c r="H66" s="46" t="str">
        <f>'2025MasterFile-Stat'!H60</f>
        <v>E</v>
      </c>
      <c r="I66" s="44" t="str">
        <f>'2025MasterFile-Stat'!A60</f>
        <v>Min Coll</v>
      </c>
      <c r="J66" s="44"/>
      <c r="K66" s="44"/>
      <c r="L66" s="26">
        <f>IF(Cap!H60="A",Cap!O60,
 IF(Cap!H60="B",Cap!P60,
 IF(Cap!H60="C",Cap!Q60,
 IF(Cap!H60="D",Cap!R60,
 IF(Cap!H60="E",Cap!S60,"")))))</f>
        <v>15900</v>
      </c>
      <c r="M66" s="44"/>
      <c r="N66" s="44">
        <f>IF(Cap!H60="A",Cap!J60,
 IF(Cap!H60="B",Cap!K60,
 IF(Cap!H60="C",Cap!L60,
 IF(Cap!H60="D",Cap!M60,
 IF(Cap!H60="E",Cap!N60,"")))))</f>
        <v>790</v>
      </c>
      <c r="O66" s="44"/>
      <c r="P66" s="44"/>
      <c r="Q66" s="44"/>
      <c r="R66" s="44">
        <f>LOS!J60</f>
        <v>215</v>
      </c>
      <c r="S66" s="45"/>
      <c r="T66" s="44" t="str">
        <f>LOS!K60</f>
        <v>C</v>
      </c>
      <c r="U66" s="44"/>
      <c r="V66" s="44"/>
      <c r="W66" s="44"/>
      <c r="X66" s="44"/>
      <c r="Y66" s="44"/>
      <c r="Z66" s="44"/>
      <c r="AA66" s="44">
        <f>LOS!L60</f>
        <v>3</v>
      </c>
      <c r="AB66" s="44">
        <f>LOS!M60</f>
        <v>11</v>
      </c>
      <c r="AC66" s="45"/>
      <c r="AD66" s="44" t="str">
        <f>LOS!Q60</f>
        <v>C</v>
      </c>
      <c r="AE66" s="44">
        <f>LOS!R60</f>
        <v>20</v>
      </c>
      <c r="AF66" s="44">
        <f>LOS!S60</f>
        <v>3</v>
      </c>
      <c r="AG66" s="45"/>
      <c r="AH66" s="44" t="str">
        <f>LOS!W60</f>
        <v>C</v>
      </c>
      <c r="AI66" s="82">
        <f>(Trend!L60)</f>
        <v>-20.139534883726601</v>
      </c>
      <c r="AJ66" s="77">
        <f>Cap!K60</f>
        <v>0</v>
      </c>
      <c r="AK66" s="77">
        <f>Cap!L60</f>
        <v>750</v>
      </c>
      <c r="AL66" s="77">
        <f>Cap!M60</f>
        <v>790</v>
      </c>
      <c r="AM66" s="77">
        <f>Cap!N60</f>
        <v>790</v>
      </c>
    </row>
    <row r="67" spans="1:39" ht="18" customHeight="1" x14ac:dyDescent="0.25">
      <c r="A67" s="49"/>
      <c r="B67" s="48">
        <f>'2025MasterFile-Stat'!F61</f>
        <v>406</v>
      </c>
      <c r="C67" s="47" t="str">
        <f>'2025MasterFile-Stat'!B61</f>
        <v>Highland Ave</v>
      </c>
      <c r="D67" s="47" t="str">
        <f>LEFT('2025MasterFile-Stat'!C61,FIND(" to ",'2025MasterFile-Stat'!C61)-1)</f>
        <v>US 441</v>
      </c>
      <c r="E67" s="47" t="str">
        <f>RIGHT('2025MasterFile-Stat'!C61,LEN('2025MasterFile-Stat'!C61)-FIND(" to ",'2025MasterFile-Stat'!C61)-3)</f>
        <v>6th St</v>
      </c>
      <c r="F67" s="44" t="str">
        <f>'2025MasterFile-Stat'!G61</f>
        <v>2L</v>
      </c>
      <c r="G67" s="44"/>
      <c r="H67" s="46" t="str">
        <f>'2025MasterFile-Stat'!H61</f>
        <v>E</v>
      </c>
      <c r="I67" s="44" t="str">
        <f>'2025MasterFile-Stat'!A61</f>
        <v>Min Coll</v>
      </c>
      <c r="J67" s="44"/>
      <c r="K67" s="44"/>
      <c r="L67" s="26">
        <f>IF(Cap!H61="A",Cap!O61,
 IF(Cap!H61="B",Cap!P61,
 IF(Cap!H61="C",Cap!Q61,
 IF(Cap!H61="D",Cap!R61,
 IF(Cap!H61="E",Cap!S61,"")))))</f>
        <v>14000</v>
      </c>
      <c r="M67" s="44"/>
      <c r="N67" s="44">
        <f>IF(Cap!H61="A",Cap!J61,
 IF(Cap!H61="B",Cap!K61,
 IF(Cap!H61="C",Cap!L61,
 IF(Cap!H61="D",Cap!M61,
 IF(Cap!H61="E",Cap!N61,"")))))</f>
        <v>720</v>
      </c>
      <c r="O67" s="44"/>
      <c r="P67" s="44"/>
      <c r="Q67" s="44"/>
      <c r="R67" s="44">
        <f>LOS!J61</f>
        <v>698</v>
      </c>
      <c r="S67" s="45"/>
      <c r="T67" s="44" t="str">
        <f>LOS!K61</f>
        <v>C</v>
      </c>
      <c r="U67" s="44"/>
      <c r="V67" s="44"/>
      <c r="W67" s="44"/>
      <c r="X67" s="44"/>
      <c r="Y67" s="44"/>
      <c r="Z67" s="44"/>
      <c r="AA67" s="44">
        <f>LOS!L61</f>
        <v>68</v>
      </c>
      <c r="AB67" s="44">
        <f>LOS!M61</f>
        <v>37</v>
      </c>
      <c r="AC67" s="45"/>
      <c r="AD67" s="44" t="str">
        <f>LOS!Q61</f>
        <v>C</v>
      </c>
      <c r="AE67" s="44">
        <f>LOS!R61</f>
        <v>28</v>
      </c>
      <c r="AF67" s="44">
        <f>LOS!S61</f>
        <v>37</v>
      </c>
      <c r="AG67" s="45"/>
      <c r="AH67" s="44" t="str">
        <f>LOS!W61</f>
        <v>C</v>
      </c>
      <c r="AI67" s="82" t="str">
        <f>(Trend!L61)</f>
        <v>N/A</v>
      </c>
      <c r="AJ67" s="77">
        <f>Cap!K61</f>
        <v>0</v>
      </c>
      <c r="AK67" s="77">
        <f>Cap!L61</f>
        <v>330</v>
      </c>
      <c r="AL67" s="77">
        <f>Cap!M61</f>
        <v>680</v>
      </c>
      <c r="AM67" s="77">
        <f>Cap!N61</f>
        <v>720</v>
      </c>
    </row>
    <row r="68" spans="1:39" ht="18" customHeight="1" x14ac:dyDescent="0.25">
      <c r="A68" s="49"/>
      <c r="B68" s="48">
        <f>'2025MasterFile-Stat'!F62</f>
        <v>405</v>
      </c>
      <c r="C68" s="47" t="str">
        <f>'2025MasterFile-Stat'!B62</f>
        <v>Highland Ave</v>
      </c>
      <c r="D68" s="47" t="str">
        <f>LEFT('2025MasterFile-Stat'!C62,FIND(" to ",'2025MasterFile-Stat'!C62)-1)</f>
        <v>Monroe Ave</v>
      </c>
      <c r="E68" s="47" t="str">
        <f>RIGHT('2025MasterFile-Stat'!C62,LEN('2025MasterFile-Stat'!C62)-FIND(" to ",'2025MasterFile-Stat'!C62)-3)</f>
        <v>US 441</v>
      </c>
      <c r="F68" s="44" t="str">
        <f>'2025MasterFile-Stat'!G62</f>
        <v>2L</v>
      </c>
      <c r="G68" s="44"/>
      <c r="H68" s="46" t="str">
        <f>'2025MasterFile-Stat'!H62</f>
        <v>E</v>
      </c>
      <c r="I68" s="44" t="str">
        <f>'2025MasterFile-Stat'!A62</f>
        <v>Min Coll</v>
      </c>
      <c r="J68" s="44"/>
      <c r="K68" s="44"/>
      <c r="L68" s="26">
        <f>IF(Cap!H62="A",Cap!O62,
 IF(Cap!H62="B",Cap!P62,
 IF(Cap!H62="C",Cap!Q62,
 IF(Cap!H62="D",Cap!R62,
 IF(Cap!H62="E",Cap!S62,"")))))</f>
        <v>14000</v>
      </c>
      <c r="M68" s="44"/>
      <c r="N68" s="44">
        <f>IF(Cap!H62="A",Cap!J62,
 IF(Cap!H62="B",Cap!K62,
 IF(Cap!H62="C",Cap!L62,
 IF(Cap!H62="D",Cap!M62,
 IF(Cap!H62="E",Cap!N62,"")))))</f>
        <v>720</v>
      </c>
      <c r="O68" s="44"/>
      <c r="P68" s="44"/>
      <c r="Q68" s="44"/>
      <c r="R68" s="44">
        <f>LOS!J62</f>
        <v>1267</v>
      </c>
      <c r="S68" s="45"/>
      <c r="T68" s="44" t="str">
        <f>LOS!K62</f>
        <v>C</v>
      </c>
      <c r="U68" s="44"/>
      <c r="V68" s="44"/>
      <c r="W68" s="44"/>
      <c r="X68" s="44"/>
      <c r="Y68" s="44"/>
      <c r="Z68" s="44"/>
      <c r="AA68" s="44">
        <f>LOS!L62</f>
        <v>44</v>
      </c>
      <c r="AB68" s="44">
        <f>LOS!M62</f>
        <v>21</v>
      </c>
      <c r="AC68" s="45"/>
      <c r="AD68" s="44" t="str">
        <f>LOS!Q62</f>
        <v>C</v>
      </c>
      <c r="AE68" s="44">
        <f>LOS!R62</f>
        <v>92</v>
      </c>
      <c r="AF68" s="44">
        <f>LOS!S62</f>
        <v>34</v>
      </c>
      <c r="AG68" s="45"/>
      <c r="AH68" s="44" t="str">
        <f>LOS!W62</f>
        <v>C</v>
      </c>
      <c r="AI68" s="82" t="str">
        <f>(Trend!L62)</f>
        <v>N/A</v>
      </c>
      <c r="AJ68" s="77">
        <f>Cap!K62</f>
        <v>0</v>
      </c>
      <c r="AK68" s="77">
        <f>Cap!L62</f>
        <v>330</v>
      </c>
      <c r="AL68" s="77">
        <f>Cap!M62</f>
        <v>680</v>
      </c>
      <c r="AM68" s="77">
        <f>Cap!N62</f>
        <v>720</v>
      </c>
    </row>
    <row r="69" spans="1:39" ht="18" customHeight="1" x14ac:dyDescent="0.25">
      <c r="A69" s="49"/>
      <c r="B69" s="48">
        <f>'2025MasterFile-Stat'!F63</f>
        <v>973</v>
      </c>
      <c r="C69" s="47" t="str">
        <f>'2025MasterFile-Stat'!B63</f>
        <v>Hogshead Rd</v>
      </c>
      <c r="D69" s="47" t="str">
        <f>LEFT('2025MasterFile-Stat'!C63,FIND(" to ",'2025MasterFile-Stat'!C63)-1)</f>
        <v>Hermit Smith Rd</v>
      </c>
      <c r="E69" s="47" t="str">
        <f>RIGHT('2025MasterFile-Stat'!C63,LEN('2025MasterFile-Stat'!C63)-FIND(" to ",'2025MasterFile-Stat'!C63)-3)</f>
        <v>Conrad Rd</v>
      </c>
      <c r="F69" s="44" t="str">
        <f>'2025MasterFile-Stat'!G63</f>
        <v>2L</v>
      </c>
      <c r="G69" s="44"/>
      <c r="H69" s="46" t="str">
        <f>'2025MasterFile-Stat'!H63</f>
        <v>E</v>
      </c>
      <c r="I69" s="44" t="str">
        <f>'2025MasterFile-Stat'!A63</f>
        <v>Min Coll</v>
      </c>
      <c r="J69" s="44"/>
      <c r="K69" s="44"/>
      <c r="L69" s="26">
        <f>IF(Cap!H63="A",Cap!O63,
 IF(Cap!H63="B",Cap!P63,
 IF(Cap!H63="C",Cap!Q63,
 IF(Cap!H63="D",Cap!R63,
 IF(Cap!H63="E",Cap!S63,"")))))</f>
        <v>14000</v>
      </c>
      <c r="M69" s="44"/>
      <c r="N69" s="44">
        <f>IF(Cap!H63="A",Cap!J63,
 IF(Cap!H63="B",Cap!K63,
 IF(Cap!H63="C",Cap!L63,
 IF(Cap!H63="D",Cap!M63,
 IF(Cap!H63="E",Cap!N63,"")))))</f>
        <v>720</v>
      </c>
      <c r="O69" s="44"/>
      <c r="P69" s="44"/>
      <c r="Q69" s="44"/>
      <c r="R69" s="44">
        <f>LOS!J63</f>
        <v>1313</v>
      </c>
      <c r="S69" s="45"/>
      <c r="T69" s="44" t="str">
        <f>LOS!K63</f>
        <v>C</v>
      </c>
      <c r="U69" s="44"/>
      <c r="V69" s="44"/>
      <c r="W69" s="44"/>
      <c r="X69" s="44"/>
      <c r="Y69" s="44"/>
      <c r="Z69" s="44"/>
      <c r="AA69" s="44">
        <f>LOS!L63</f>
        <v>52</v>
      </c>
      <c r="AB69" s="44">
        <f>LOS!M63</f>
        <v>70</v>
      </c>
      <c r="AC69" s="45"/>
      <c r="AD69" s="44" t="str">
        <f>LOS!Q63</f>
        <v>C</v>
      </c>
      <c r="AE69" s="44">
        <f>LOS!R63</f>
        <v>44</v>
      </c>
      <c r="AF69" s="44">
        <f>LOS!S63</f>
        <v>68</v>
      </c>
      <c r="AG69" s="45"/>
      <c r="AH69" s="44" t="str">
        <f>LOS!W63</f>
        <v>C</v>
      </c>
      <c r="AI69" s="82" t="str">
        <f>(Trend!L63)</f>
        <v>N/A</v>
      </c>
      <c r="AJ69" s="77">
        <f>Cap!K63</f>
        <v>0</v>
      </c>
      <c r="AK69" s="77">
        <f>Cap!L63</f>
        <v>330</v>
      </c>
      <c r="AL69" s="77">
        <f>Cap!M63</f>
        <v>680</v>
      </c>
      <c r="AM69" s="77">
        <f>Cap!N63</f>
        <v>720</v>
      </c>
    </row>
    <row r="70" spans="1:39" ht="18" customHeight="1" x14ac:dyDescent="0.25">
      <c r="A70" s="49"/>
      <c r="B70" s="48">
        <f>'2025MasterFile-Stat'!F64</f>
        <v>956</v>
      </c>
      <c r="C70" s="47" t="str">
        <f>'2025MasterFile-Stat'!B64</f>
        <v>Jason Dwelley Pkwy</v>
      </c>
      <c r="D70" s="47" t="str">
        <f>LEFT('2025MasterFile-Stat'!C64,FIND(" to ",'2025MasterFile-Stat'!C64)-1)</f>
        <v>Kelly Park Rd</v>
      </c>
      <c r="E70" s="47" t="str">
        <f>RIGHT('2025MasterFile-Stat'!C64,LEN('2025MasterFile-Stat'!C64)-FIND(" to ",'2025MasterFile-Stat'!C64)-3)</f>
        <v>Spinfisher Dr</v>
      </c>
      <c r="F70" s="44" t="str">
        <f>'2025MasterFile-Stat'!G64</f>
        <v>2L</v>
      </c>
      <c r="G70" s="44"/>
      <c r="H70" s="46" t="str">
        <f>'2025MasterFile-Stat'!H64</f>
        <v>E</v>
      </c>
      <c r="I70" s="44" t="str">
        <f>'2025MasterFile-Stat'!A64</f>
        <v>Min Coll</v>
      </c>
      <c r="J70" s="44"/>
      <c r="K70" s="44"/>
      <c r="L70" s="26">
        <f>IF(Cap!H64="A",Cap!O64,
 IF(Cap!H64="B",Cap!P64,
 IF(Cap!H64="C",Cap!Q64,
 IF(Cap!H64="D",Cap!R64,
 IF(Cap!H64="E",Cap!S64,"")))))</f>
        <v>14000</v>
      </c>
      <c r="M70" s="44"/>
      <c r="N70" s="44">
        <f>IF(Cap!H64="A",Cap!J64,
 IF(Cap!H64="B",Cap!K64,
 IF(Cap!H64="C",Cap!L64,
 IF(Cap!H64="D",Cap!M64,
 IF(Cap!H64="E",Cap!N64,"")))))</f>
        <v>720</v>
      </c>
      <c r="O70" s="44"/>
      <c r="P70" s="44"/>
      <c r="Q70" s="44"/>
      <c r="R70" s="44">
        <f>LOS!J64</f>
        <v>3869</v>
      </c>
      <c r="S70" s="45"/>
      <c r="T70" s="44" t="str">
        <f>LOS!K64</f>
        <v>C</v>
      </c>
      <c r="U70" s="44"/>
      <c r="V70" s="44"/>
      <c r="W70" s="44"/>
      <c r="X70" s="44"/>
      <c r="Y70" s="44"/>
      <c r="Z70" s="44"/>
      <c r="AA70" s="44">
        <f>LOS!L64</f>
        <v>215</v>
      </c>
      <c r="AB70" s="44">
        <f>LOS!M64</f>
        <v>269</v>
      </c>
      <c r="AC70" s="45"/>
      <c r="AD70" s="44" t="str">
        <f>LOS!Q64</f>
        <v>C</v>
      </c>
      <c r="AE70" s="44">
        <f>LOS!R64</f>
        <v>196</v>
      </c>
      <c r="AF70" s="44">
        <f>LOS!S64</f>
        <v>164</v>
      </c>
      <c r="AG70" s="45"/>
      <c r="AH70" s="44" t="str">
        <f>LOS!W64</f>
        <v>C</v>
      </c>
      <c r="AI70" s="82">
        <f>(Trend!L64)</f>
        <v>8.7309382269345903</v>
      </c>
      <c r="AJ70" s="77">
        <f>Cap!K64</f>
        <v>0</v>
      </c>
      <c r="AK70" s="77">
        <f>Cap!L64</f>
        <v>330</v>
      </c>
      <c r="AL70" s="77">
        <f>Cap!M64</f>
        <v>680</v>
      </c>
      <c r="AM70" s="77">
        <f>Cap!N64</f>
        <v>720</v>
      </c>
    </row>
    <row r="71" spans="1:39" ht="18" customHeight="1" x14ac:dyDescent="0.25">
      <c r="A71" s="49"/>
      <c r="B71" s="48">
        <f>'2025MasterFile-Stat'!F65</f>
        <v>958</v>
      </c>
      <c r="C71" s="47" t="str">
        <f>'2025MasterFile-Stat'!B65</f>
        <v>Jason Dwelley Pkwy</v>
      </c>
      <c r="D71" s="47" t="str">
        <f>LEFT('2025MasterFile-Stat'!C65,FIND(" to ",'2025MasterFile-Stat'!C65)-1)</f>
        <v>Spinfisher Dr</v>
      </c>
      <c r="E71" s="47" t="str">
        <f>RIGHT('2025MasterFile-Stat'!C65,LEN('2025MasterFile-Stat'!C65)-FIND(" to ",'2025MasterFile-Stat'!C65)-3)</f>
        <v>White Dahlia Dr</v>
      </c>
      <c r="F71" s="44" t="str">
        <f>'2025MasterFile-Stat'!G65</f>
        <v>2L</v>
      </c>
      <c r="G71" s="44"/>
      <c r="H71" s="46" t="str">
        <f>'2025MasterFile-Stat'!H65</f>
        <v>E</v>
      </c>
      <c r="I71" s="44" t="str">
        <f>'2025MasterFile-Stat'!A65</f>
        <v>Min Coll</v>
      </c>
      <c r="J71" s="44"/>
      <c r="K71" s="44"/>
      <c r="L71" s="26">
        <f>IF(Cap!H65="A",Cap!O65,
 IF(Cap!H65="B",Cap!P65,
 IF(Cap!H65="C",Cap!Q65,
 IF(Cap!H65="D",Cap!R65,
 IF(Cap!H65="E",Cap!S65,"")))))</f>
        <v>14000</v>
      </c>
      <c r="M71" s="44"/>
      <c r="N71" s="44">
        <f>IF(Cap!H65="A",Cap!J65,
 IF(Cap!H65="B",Cap!K65,
 IF(Cap!H65="C",Cap!L65,
 IF(Cap!H65="D",Cap!M65,
 IF(Cap!H65="E",Cap!N65,"")))))</f>
        <v>720</v>
      </c>
      <c r="O71" s="44"/>
      <c r="P71" s="44"/>
      <c r="Q71" s="44"/>
      <c r="R71" s="44">
        <f>LOS!J65</f>
        <v>2684</v>
      </c>
      <c r="S71" s="45"/>
      <c r="T71" s="44" t="str">
        <f>LOS!K65</f>
        <v>C</v>
      </c>
      <c r="U71" s="44"/>
      <c r="V71" s="44"/>
      <c r="W71" s="44"/>
      <c r="X71" s="44"/>
      <c r="Y71" s="44"/>
      <c r="Z71" s="44"/>
      <c r="AA71" s="44">
        <f>LOS!L65</f>
        <v>166</v>
      </c>
      <c r="AB71" s="44">
        <f>LOS!M65</f>
        <v>214</v>
      </c>
      <c r="AC71" s="45"/>
      <c r="AD71" s="44" t="str">
        <f>LOS!Q65</f>
        <v>C</v>
      </c>
      <c r="AE71" s="44">
        <f>LOS!R65</f>
        <v>116</v>
      </c>
      <c r="AF71" s="44">
        <f>LOS!S65</f>
        <v>116</v>
      </c>
      <c r="AG71" s="45"/>
      <c r="AH71" s="44" t="str">
        <f>LOS!W65</f>
        <v>C</v>
      </c>
      <c r="AI71" s="82">
        <f>(Trend!L65)</f>
        <v>1.05067064083515</v>
      </c>
      <c r="AJ71" s="77">
        <f>Cap!K65</f>
        <v>0</v>
      </c>
      <c r="AK71" s="77">
        <f>Cap!L65</f>
        <v>330</v>
      </c>
      <c r="AL71" s="77">
        <f>Cap!M65</f>
        <v>680</v>
      </c>
      <c r="AM71" s="77">
        <f>Cap!N65</f>
        <v>720</v>
      </c>
    </row>
    <row r="72" spans="1:39" ht="18" customHeight="1" x14ac:dyDescent="0.25">
      <c r="A72" s="49"/>
      <c r="B72" s="48">
        <f>'2025MasterFile-Stat'!F66</f>
        <v>960</v>
      </c>
      <c r="C72" s="47" t="str">
        <f>'2025MasterFile-Stat'!B66</f>
        <v>Jason Dwelley Pkwy</v>
      </c>
      <c r="D72" s="47" t="str">
        <f>LEFT('2025MasterFile-Stat'!C66,FIND(" to ",'2025MasterFile-Stat'!C66)-1)</f>
        <v>White Dahlia Dr</v>
      </c>
      <c r="E72" s="47" t="str">
        <f>RIGHT('2025MasterFile-Stat'!C66,LEN('2025MasterFile-Stat'!C66)-FIND(" to ",'2025MasterFile-Stat'!C66)-3)</f>
        <v>Ponkan Rd</v>
      </c>
      <c r="F72" s="44" t="str">
        <f>'2025MasterFile-Stat'!G66</f>
        <v>2L</v>
      </c>
      <c r="G72" s="44"/>
      <c r="H72" s="46" t="str">
        <f>'2025MasterFile-Stat'!H66</f>
        <v>E</v>
      </c>
      <c r="I72" s="44" t="str">
        <f>'2025MasterFile-Stat'!A66</f>
        <v>Min Coll</v>
      </c>
      <c r="J72" s="44"/>
      <c r="K72" s="44"/>
      <c r="L72" s="26">
        <f>IF(Cap!H66="A",Cap!O66,
 IF(Cap!H66="B",Cap!P66,
 IF(Cap!H66="C",Cap!Q66,
 IF(Cap!H66="D",Cap!R66,
 IF(Cap!H66="E",Cap!S66,"")))))</f>
        <v>14000</v>
      </c>
      <c r="M72" s="44"/>
      <c r="N72" s="44">
        <f>IF(Cap!H66="A",Cap!J66,
 IF(Cap!H66="B",Cap!K66,
 IF(Cap!H66="C",Cap!L66,
 IF(Cap!H66="D",Cap!M66,
 IF(Cap!H66="E",Cap!N66,"")))))</f>
        <v>720</v>
      </c>
      <c r="O72" s="44"/>
      <c r="P72" s="44"/>
      <c r="Q72" s="44"/>
      <c r="R72" s="44">
        <f>LOS!J66</f>
        <v>2910</v>
      </c>
      <c r="S72" s="45"/>
      <c r="T72" s="44" t="str">
        <f>LOS!K66</f>
        <v>C</v>
      </c>
      <c r="U72" s="44"/>
      <c r="V72" s="44"/>
      <c r="W72" s="44"/>
      <c r="X72" s="44"/>
      <c r="Y72" s="44"/>
      <c r="Z72" s="44"/>
      <c r="AA72" s="44">
        <f>LOS!L66</f>
        <v>161</v>
      </c>
      <c r="AB72" s="44">
        <f>LOS!M66</f>
        <v>231</v>
      </c>
      <c r="AC72" s="45"/>
      <c r="AD72" s="44" t="str">
        <f>LOS!Q66</f>
        <v>C</v>
      </c>
      <c r="AE72" s="44">
        <f>LOS!R66</f>
        <v>110</v>
      </c>
      <c r="AF72" s="44">
        <f>LOS!S66</f>
        <v>142</v>
      </c>
      <c r="AG72" s="45"/>
      <c r="AH72" s="44" t="str">
        <f>LOS!W66</f>
        <v>C</v>
      </c>
      <c r="AI72" s="82">
        <f>(Trend!L66)</f>
        <v>5.60481099656523</v>
      </c>
      <c r="AJ72" s="77">
        <f>Cap!K66</f>
        <v>0</v>
      </c>
      <c r="AK72" s="77">
        <f>Cap!L66</f>
        <v>330</v>
      </c>
      <c r="AL72" s="77">
        <f>Cap!M66</f>
        <v>680</v>
      </c>
      <c r="AM72" s="77">
        <f>Cap!N66</f>
        <v>720</v>
      </c>
    </row>
    <row r="73" spans="1:39" ht="18" customHeight="1" x14ac:dyDescent="0.25">
      <c r="A73" s="49"/>
      <c r="B73" s="48" t="str">
        <f>'2025MasterFile-Stat'!F67</f>
        <v>7090*</v>
      </c>
      <c r="C73" s="47" t="str">
        <f>'2025MasterFile-Stat'!B67</f>
        <v>Keene Rd</v>
      </c>
      <c r="D73" s="47" t="str">
        <f>LEFT('2025MasterFile-Stat'!C67,FIND(" to ",'2025MasterFile-Stat'!C67)-1)</f>
        <v>Clarcona Rd</v>
      </c>
      <c r="E73" s="47" t="str">
        <f>RIGHT('2025MasterFile-Stat'!C67,LEN('2025MasterFile-Stat'!C67)-FIND(" to ",'2025MasterFile-Stat'!C67)-3)</f>
        <v>Sheeler Rd</v>
      </c>
      <c r="F73" s="44" t="str">
        <f>'2025MasterFile-Stat'!G67</f>
        <v>2L</v>
      </c>
      <c r="G73" s="44"/>
      <c r="H73" s="46" t="str">
        <f>'2025MasterFile-Stat'!H67</f>
        <v>E</v>
      </c>
      <c r="I73" s="44" t="str">
        <f>'2025MasterFile-Stat'!A67</f>
        <v>Min Coll</v>
      </c>
      <c r="J73" s="44"/>
      <c r="K73" s="44"/>
      <c r="L73" s="26">
        <f>IF(Cap!H67="A",Cap!O67,
 IF(Cap!H67="B",Cap!P67,
 IF(Cap!H67="C",Cap!Q67,
 IF(Cap!H67="D",Cap!R67,
 IF(Cap!H67="E",Cap!S67,"")))))</f>
        <v>15900</v>
      </c>
      <c r="M73" s="44"/>
      <c r="N73" s="44">
        <f>IF(Cap!H67="A",Cap!J67,
 IF(Cap!H67="B",Cap!K67,
 IF(Cap!H67="C",Cap!L67,
 IF(Cap!H67="D",Cap!M67,
 IF(Cap!H67="E",Cap!N67,"")))))</f>
        <v>790</v>
      </c>
      <c r="O73" s="44"/>
      <c r="P73" s="44"/>
      <c r="Q73" s="44"/>
      <c r="R73" s="44">
        <f>LOS!J67</f>
        <v>10394</v>
      </c>
      <c r="S73" s="45"/>
      <c r="T73" s="44" t="str">
        <f>LOS!K67</f>
        <v>C</v>
      </c>
      <c r="U73" s="44"/>
      <c r="V73" s="44"/>
      <c r="W73" s="44"/>
      <c r="X73" s="44"/>
      <c r="Y73" s="44"/>
      <c r="Z73" s="44"/>
      <c r="AA73" s="44">
        <f>LOS!L67</f>
        <v>398</v>
      </c>
      <c r="AB73" s="44">
        <f>LOS!M67</f>
        <v>416</v>
      </c>
      <c r="AC73" s="45"/>
      <c r="AD73" s="44" t="str">
        <f>LOS!Q67</f>
        <v>C</v>
      </c>
      <c r="AE73" s="44">
        <f>LOS!R67</f>
        <v>452</v>
      </c>
      <c r="AF73" s="44">
        <f>LOS!S67</f>
        <v>439</v>
      </c>
      <c r="AG73" s="45"/>
      <c r="AH73" s="44" t="str">
        <f>LOS!W67</f>
        <v>C</v>
      </c>
      <c r="AI73" s="82">
        <f>(Trend!L67)</f>
        <v>1.0431100846808701</v>
      </c>
      <c r="AJ73" s="77">
        <f>Cap!K67</f>
        <v>0</v>
      </c>
      <c r="AK73" s="77">
        <f>Cap!L67</f>
        <v>750</v>
      </c>
      <c r="AL73" s="77">
        <f>Cap!M67</f>
        <v>790</v>
      </c>
      <c r="AM73" s="77">
        <f>Cap!N67</f>
        <v>790</v>
      </c>
    </row>
    <row r="74" spans="1:39" ht="18" customHeight="1" x14ac:dyDescent="0.25">
      <c r="A74" s="49"/>
      <c r="B74" s="48" t="str">
        <f>'2025MasterFile-Stat'!F68</f>
        <v>8066*</v>
      </c>
      <c r="C74" s="47" t="str">
        <f>'2025MasterFile-Stat'!B68</f>
        <v>Keene Rd</v>
      </c>
      <c r="D74" s="47" t="str">
        <f>LEFT('2025MasterFile-Stat'!C68,FIND(" to ",'2025MasterFile-Stat'!C68)-1)</f>
        <v>Ocoee-Apopka Rd</v>
      </c>
      <c r="E74" s="47" t="str">
        <f>RIGHT('2025MasterFile-Stat'!C68,LEN('2025MasterFile-Stat'!C68)-FIND(" to ",'2025MasterFile-Stat'!C68)-3)</f>
        <v>Marden Rd</v>
      </c>
      <c r="F74" s="44" t="str">
        <f>'2025MasterFile-Stat'!G68</f>
        <v>2L</v>
      </c>
      <c r="G74" s="44"/>
      <c r="H74" s="46" t="str">
        <f>'2025MasterFile-Stat'!H68</f>
        <v>E</v>
      </c>
      <c r="I74" s="44" t="str">
        <f>'2025MasterFile-Stat'!A68</f>
        <v>Min Coll</v>
      </c>
      <c r="J74" s="44"/>
      <c r="K74" s="44"/>
      <c r="L74" s="26">
        <f>IF(Cap!H68="A",Cap!O68,
 IF(Cap!H68="B",Cap!P68,
 IF(Cap!H68="C",Cap!Q68,
 IF(Cap!H68="D",Cap!R68,
 IF(Cap!H68="E",Cap!S68,"")))))</f>
        <v>15900</v>
      </c>
      <c r="M74" s="44"/>
      <c r="N74" s="44">
        <f>IF(Cap!H68="A",Cap!J68,
 IF(Cap!H68="B",Cap!K68,
 IF(Cap!H68="C",Cap!L68,
 IF(Cap!H68="D",Cap!M68,
 IF(Cap!H68="E",Cap!N68,"")))))</f>
        <v>790</v>
      </c>
      <c r="O74" s="44"/>
      <c r="P74" s="44"/>
      <c r="Q74" s="44"/>
      <c r="R74" s="44">
        <f>LOS!J68</f>
        <v>4936</v>
      </c>
      <c r="S74" s="45"/>
      <c r="T74" s="44" t="str">
        <f>LOS!K68</f>
        <v>C</v>
      </c>
      <c r="U74" s="44"/>
      <c r="V74" s="44"/>
      <c r="W74" s="44"/>
      <c r="X74" s="44"/>
      <c r="Y74" s="44"/>
      <c r="Z74" s="44"/>
      <c r="AA74" s="44">
        <f>LOS!L68</f>
        <v>233</v>
      </c>
      <c r="AB74" s="44">
        <f>LOS!M68</f>
        <v>191</v>
      </c>
      <c r="AC74" s="45"/>
      <c r="AD74" s="44" t="str">
        <f>LOS!Q68</f>
        <v>C</v>
      </c>
      <c r="AE74" s="44">
        <f>LOS!R68</f>
        <v>252</v>
      </c>
      <c r="AF74" s="44">
        <f>LOS!S68</f>
        <v>178</v>
      </c>
      <c r="AG74" s="45"/>
      <c r="AH74" s="44" t="str">
        <f>LOS!W68</f>
        <v>C</v>
      </c>
      <c r="AI74" s="82">
        <f>(Trend!L68)</f>
        <v>-1.11950686021086</v>
      </c>
      <c r="AJ74" s="77">
        <f>Cap!K68</f>
        <v>0</v>
      </c>
      <c r="AK74" s="77">
        <f>Cap!L68</f>
        <v>750</v>
      </c>
      <c r="AL74" s="77">
        <f>Cap!M68</f>
        <v>790</v>
      </c>
      <c r="AM74" s="77">
        <f>Cap!N68</f>
        <v>790</v>
      </c>
    </row>
    <row r="75" spans="1:39" ht="18" customHeight="1" x14ac:dyDescent="0.25">
      <c r="A75" s="49"/>
      <c r="B75" s="48">
        <f>'2025MasterFile-Stat'!F69</f>
        <v>568</v>
      </c>
      <c r="C75" s="47" t="str">
        <f>'2025MasterFile-Stat'!B69</f>
        <v>Keene Rd</v>
      </c>
      <c r="D75" s="47" t="str">
        <f>LEFT('2025MasterFile-Stat'!C69,FIND(" to ",'2025MasterFile-Stat'!C69)-1)</f>
        <v>Marden Rd</v>
      </c>
      <c r="E75" s="47" t="str">
        <f>RIGHT('2025MasterFile-Stat'!C69,LEN('2025MasterFile-Stat'!C69)-FIND(" to ",'2025MasterFile-Stat'!C69)-3)</f>
        <v>Clarcona Rd</v>
      </c>
      <c r="F75" s="44" t="str">
        <f>'2025MasterFile-Stat'!G69</f>
        <v>2L</v>
      </c>
      <c r="G75" s="44"/>
      <c r="H75" s="46" t="str">
        <f>'2025MasterFile-Stat'!H69</f>
        <v>E</v>
      </c>
      <c r="I75" s="44" t="str">
        <f>'2025MasterFile-Stat'!A69</f>
        <v>Min Coll</v>
      </c>
      <c r="J75" s="44"/>
      <c r="K75" s="44"/>
      <c r="L75" s="26">
        <f>IF(Cap!H69="A",Cap!O69,
 IF(Cap!H69="B",Cap!P69,
 IF(Cap!H69="C",Cap!Q69,
 IF(Cap!H69="D",Cap!R69,
 IF(Cap!H69="E",Cap!S69,"")))))</f>
        <v>15900</v>
      </c>
      <c r="M75" s="44"/>
      <c r="N75" s="44">
        <f>IF(Cap!H69="A",Cap!J69,
 IF(Cap!H69="B",Cap!K69,
 IF(Cap!H69="C",Cap!L69,
 IF(Cap!H69="D",Cap!M69,
 IF(Cap!H69="E",Cap!N69,"")))))</f>
        <v>790</v>
      </c>
      <c r="O75" s="44"/>
      <c r="P75" s="44"/>
      <c r="Q75" s="44"/>
      <c r="R75" s="44">
        <f>LOS!J69</f>
        <v>6057</v>
      </c>
      <c r="S75" s="45"/>
      <c r="T75" s="44" t="str">
        <f>LOS!K69</f>
        <v>C</v>
      </c>
      <c r="U75" s="44"/>
      <c r="V75" s="44"/>
      <c r="W75" s="44"/>
      <c r="X75" s="44"/>
      <c r="Y75" s="44"/>
      <c r="Z75" s="44"/>
      <c r="AA75" s="44">
        <f>LOS!L69</f>
        <v>223</v>
      </c>
      <c r="AB75" s="44">
        <f>LOS!M69</f>
        <v>221</v>
      </c>
      <c r="AC75" s="45"/>
      <c r="AD75" s="44" t="str">
        <f>LOS!Q69</f>
        <v>C</v>
      </c>
      <c r="AE75" s="44">
        <f>LOS!R69</f>
        <v>302</v>
      </c>
      <c r="AF75" s="44">
        <f>LOS!S69</f>
        <v>223</v>
      </c>
      <c r="AG75" s="45"/>
      <c r="AH75" s="44" t="str">
        <f>LOS!W69</f>
        <v>C</v>
      </c>
      <c r="AI75" s="82">
        <f>(Trend!L69)</f>
        <v>0.59930658741974796</v>
      </c>
      <c r="AJ75" s="77">
        <f>Cap!K69</f>
        <v>0</v>
      </c>
      <c r="AK75" s="77">
        <f>Cap!L69</f>
        <v>750</v>
      </c>
      <c r="AL75" s="77">
        <f>Cap!M69</f>
        <v>790</v>
      </c>
      <c r="AM75" s="77">
        <f>Cap!N69</f>
        <v>790</v>
      </c>
    </row>
    <row r="76" spans="1:39" ht="18" customHeight="1" x14ac:dyDescent="0.25">
      <c r="A76" s="49"/>
      <c r="B76" s="48" t="str">
        <f>'2025MasterFile-Stat'!F70</f>
        <v>12*</v>
      </c>
      <c r="C76" s="47" t="str">
        <f>'2025MasterFile-Stat'!B70</f>
        <v>Kelly Park Rd</v>
      </c>
      <c r="D76" s="47" t="str">
        <f>LEFT('2025MasterFile-Stat'!C70,FIND(" to ",'2025MasterFile-Stat'!C70)-1)</f>
        <v>Mt. Plymouth Rd</v>
      </c>
      <c r="E76" s="47" t="str">
        <f>RIGHT('2025MasterFile-Stat'!C70,LEN('2025MasterFile-Stat'!C70)-FIND(" to ",'2025MasterFile-Stat'!C70)-3)</f>
        <v>Rock Springs Rd</v>
      </c>
      <c r="F76" s="44" t="str">
        <f>'2025MasterFile-Stat'!G70</f>
        <v>2L</v>
      </c>
      <c r="G76" s="44"/>
      <c r="H76" s="44" t="str">
        <f>'2025MasterFile-Stat'!H70</f>
        <v>E</v>
      </c>
      <c r="I76" s="44" t="str">
        <f>'2025MasterFile-Stat'!A70</f>
        <v>Min Coll</v>
      </c>
      <c r="J76" s="44"/>
      <c r="K76" s="44"/>
      <c r="L76" s="26">
        <f>IF(Cap!H70="A",Cap!O70,
 IF(Cap!H70="B",Cap!P70,
 IF(Cap!H70="C",Cap!Q70,
 IF(Cap!H70="D",Cap!R70,
 IF(Cap!H70="E",Cap!S70,"")))))</f>
        <v>32600</v>
      </c>
      <c r="M76" s="44"/>
      <c r="N76" s="44">
        <f>IF(Cap!H70="A",Cap!J70,
 IF(Cap!H70="B",Cap!K70,
 IF(Cap!H70="C",Cap!L70,
 IF(Cap!H70="D",Cap!M70,
 IF(Cap!H70="E",Cap!N70,"")))))</f>
        <v>1610</v>
      </c>
      <c r="O76" s="44"/>
      <c r="P76" s="44"/>
      <c r="Q76" s="44"/>
      <c r="R76" s="44">
        <f>LOS!J70</f>
        <v>12225</v>
      </c>
      <c r="S76" s="45"/>
      <c r="T76" s="44" t="str">
        <f>LOS!K70</f>
        <v>C</v>
      </c>
      <c r="U76" s="44"/>
      <c r="V76" s="44"/>
      <c r="W76" s="44"/>
      <c r="X76" s="44"/>
      <c r="Y76" s="44"/>
      <c r="Z76" s="44"/>
      <c r="AA76" s="44">
        <f>LOS!L70</f>
        <v>603</v>
      </c>
      <c r="AB76" s="44">
        <f>LOS!M70</f>
        <v>392</v>
      </c>
      <c r="AC76" s="45"/>
      <c r="AD76" s="44" t="str">
        <f>LOS!Q70</f>
        <v>C</v>
      </c>
      <c r="AE76" s="44">
        <f>LOS!R70</f>
        <v>512</v>
      </c>
      <c r="AF76" s="44">
        <f>LOS!S70</f>
        <v>641</v>
      </c>
      <c r="AG76" s="45"/>
      <c r="AH76" s="44" t="str">
        <f>LOS!W70</f>
        <v>C</v>
      </c>
      <c r="AI76" s="82">
        <f>(Trend!L70)</f>
        <v>6.2891972090803003</v>
      </c>
      <c r="AJ76" s="78">
        <f>Cap!K70</f>
        <v>580</v>
      </c>
      <c r="AK76" s="78">
        <f>Cap!L70</f>
        <v>890</v>
      </c>
      <c r="AL76" s="78">
        <f>Cap!M70</f>
        <v>1200</v>
      </c>
      <c r="AM76" s="78">
        <f>Cap!N70</f>
        <v>1610</v>
      </c>
    </row>
    <row r="77" spans="1:39" x14ac:dyDescent="0.25">
      <c r="B77" s="48" t="str">
        <f>'2025MasterFile-Stat'!F71</f>
        <v>9*</v>
      </c>
      <c r="C77" s="47" t="str">
        <f>'2025MasterFile-Stat'!B71</f>
        <v>Kelly Park Rd</v>
      </c>
      <c r="D77" s="47" t="str">
        <f>LEFT('2025MasterFile-Stat'!C71,FIND(" to ",'2025MasterFile-Stat'!C71)-1)</f>
        <v>SR 429</v>
      </c>
      <c r="E77" s="47" t="str">
        <f>RIGHT('2025MasterFile-Stat'!C71,LEN('2025MasterFile-Stat'!C71)-FIND(" to ",'2025MasterFile-Stat'!C71)-3)</f>
        <v>Plymouth-Sorrento Rd (CR 437)</v>
      </c>
      <c r="F77" s="44" t="str">
        <f>'2025MasterFile-Stat'!G71</f>
        <v>2L</v>
      </c>
      <c r="G77" s="44"/>
      <c r="H77" s="44" t="str">
        <f>'2025MasterFile-Stat'!H71</f>
        <v>E</v>
      </c>
      <c r="I77" s="44" t="str">
        <f>'2025MasterFile-Stat'!A71</f>
        <v>Min Coll</v>
      </c>
      <c r="J77" s="44"/>
      <c r="K77" s="44"/>
      <c r="L77" s="26">
        <f>IF(Cap!H71="A",Cap!O71,
 IF(Cap!H71="B",Cap!P71,
 IF(Cap!H71="C",Cap!Q71,
 IF(Cap!H71="D",Cap!R71,
 IF(Cap!H71="E",Cap!S71,"")))))</f>
        <v>32600</v>
      </c>
      <c r="M77" s="44"/>
      <c r="N77" s="44">
        <f>IF(Cap!H71="A",Cap!J71,
 IF(Cap!H71="B",Cap!K71,
 IF(Cap!H71="C",Cap!L71,
 IF(Cap!H71="D",Cap!M71,
 IF(Cap!H71="E",Cap!N71,"")))))</f>
        <v>1610</v>
      </c>
      <c r="O77" s="44"/>
      <c r="P77" s="44"/>
      <c r="Q77" s="44"/>
      <c r="R77" s="44">
        <f>LOS!J71</f>
        <v>11657</v>
      </c>
      <c r="S77" s="45"/>
      <c r="T77" s="44" t="str">
        <f>LOS!K71</f>
        <v>B</v>
      </c>
      <c r="U77" s="44"/>
      <c r="V77" s="44"/>
      <c r="W77" s="44"/>
      <c r="X77" s="44"/>
      <c r="Y77" s="44"/>
      <c r="Z77" s="44"/>
      <c r="AA77" s="44">
        <f>LOS!L71</f>
        <v>355</v>
      </c>
      <c r="AB77" s="44">
        <f>LOS!M71</f>
        <v>793</v>
      </c>
      <c r="AC77" s="45"/>
      <c r="AD77" s="44" t="str">
        <f>LOS!Q71</f>
        <v>C</v>
      </c>
      <c r="AE77" s="44">
        <f>LOS!R71</f>
        <v>656</v>
      </c>
      <c r="AF77" s="44">
        <f>LOS!S71</f>
        <v>419</v>
      </c>
      <c r="AG77" s="45"/>
      <c r="AH77" s="44" t="str">
        <f>LOS!W71</f>
        <v>C</v>
      </c>
      <c r="AI77" s="82">
        <f>(Trend!L71)</f>
        <v>2.0052457906766801</v>
      </c>
      <c r="AJ77" s="78">
        <f>Cap!K71</f>
        <v>580</v>
      </c>
      <c r="AK77" s="78">
        <f>Cap!L71</f>
        <v>890</v>
      </c>
      <c r="AL77" s="78">
        <f>Cap!M71</f>
        <v>1200</v>
      </c>
      <c r="AM77" s="78">
        <f>Cap!N71</f>
        <v>1610</v>
      </c>
    </row>
    <row r="78" spans="1:39" x14ac:dyDescent="0.25">
      <c r="B78" s="48">
        <f>'2025MasterFile-Stat'!F72</f>
        <v>12</v>
      </c>
      <c r="C78" s="47" t="str">
        <f>'2025MasterFile-Stat'!B72</f>
        <v>Kelly Park Rd</v>
      </c>
      <c r="D78" s="47" t="str">
        <f>LEFT('2025MasterFile-Stat'!C72,FIND(" to ",'2025MasterFile-Stat'!C72)-1)</f>
        <v>Jason Dwelley Pkwy</v>
      </c>
      <c r="E78" s="47" t="str">
        <f>RIGHT('2025MasterFile-Stat'!C72,LEN('2025MasterFile-Stat'!C72)-FIND(" to ",'2025MasterFile-Stat'!C72)-3)</f>
        <v>Mt. Plymouth Rd</v>
      </c>
      <c r="F78" s="44" t="str">
        <f>'2025MasterFile-Stat'!G72</f>
        <v>2L</v>
      </c>
      <c r="G78" s="44"/>
      <c r="H78" s="44" t="str">
        <f>'2025MasterFile-Stat'!H72</f>
        <v>E</v>
      </c>
      <c r="I78" s="44" t="str">
        <f>'2025MasterFile-Stat'!A72</f>
        <v>Min Coll</v>
      </c>
      <c r="J78" s="44"/>
      <c r="K78" s="44"/>
      <c r="L78" s="26">
        <f>IF(Cap!H72="A",Cap!O72,
 IF(Cap!H72="B",Cap!P72,
 IF(Cap!H72="C",Cap!Q72,
 IF(Cap!H72="D",Cap!R72,
 IF(Cap!H72="E",Cap!S72,"")))))</f>
        <v>32600</v>
      </c>
      <c r="M78" s="44"/>
      <c r="N78" s="44">
        <f>IF(Cap!H72="A",Cap!J72,
 IF(Cap!H72="B",Cap!K72,
 IF(Cap!H72="C",Cap!L72,
 IF(Cap!H72="D",Cap!M72,
 IF(Cap!H72="E",Cap!N72,"")))))</f>
        <v>1610</v>
      </c>
      <c r="O78" s="44"/>
      <c r="P78" s="44"/>
      <c r="Q78" s="44"/>
      <c r="R78" s="44">
        <f>LOS!J72</f>
        <v>5749</v>
      </c>
      <c r="S78" s="45"/>
      <c r="T78" s="44" t="str">
        <f>LOS!K72</f>
        <v>B</v>
      </c>
      <c r="U78" s="44"/>
      <c r="V78" s="44"/>
      <c r="W78" s="44"/>
      <c r="X78" s="44"/>
      <c r="Y78" s="44"/>
      <c r="Z78" s="44"/>
      <c r="AA78" s="44">
        <f>LOS!L72</f>
        <v>240</v>
      </c>
      <c r="AB78" s="44">
        <f>LOS!M72</f>
        <v>241</v>
      </c>
      <c r="AC78" s="45"/>
      <c r="AD78" s="44" t="str">
        <f>LOS!Q72</f>
        <v>B</v>
      </c>
      <c r="AE78" s="44">
        <f>LOS!R72</f>
        <v>310</v>
      </c>
      <c r="AF78" s="44">
        <f>LOS!S72</f>
        <v>285</v>
      </c>
      <c r="AG78" s="45"/>
      <c r="AH78" s="44" t="str">
        <f>LOS!W72</f>
        <v>B</v>
      </c>
      <c r="AI78" s="82">
        <f>(Trend!L72)</f>
        <v>-1.3184901722042099</v>
      </c>
      <c r="AJ78" s="78">
        <f>Cap!K72</f>
        <v>580</v>
      </c>
      <c r="AK78" s="78">
        <f>Cap!L72</f>
        <v>890</v>
      </c>
      <c r="AL78" s="78">
        <f>Cap!M72</f>
        <v>1200</v>
      </c>
      <c r="AM78" s="78">
        <f>Cap!N72</f>
        <v>1610</v>
      </c>
    </row>
    <row r="79" spans="1:39" x14ac:dyDescent="0.25">
      <c r="B79" s="48">
        <f>'2025MasterFile-Stat'!F73</f>
        <v>9.1</v>
      </c>
      <c r="C79" s="47" t="str">
        <f>'2025MasterFile-Stat'!B73</f>
        <v>Kelly Park Rd</v>
      </c>
      <c r="D79" s="47" t="str">
        <f>LEFT('2025MasterFile-Stat'!C73,FIND(" to ",'2025MasterFile-Stat'!C73)-1)</f>
        <v>Round Lake Rd</v>
      </c>
      <c r="E79" s="47" t="str">
        <f>RIGHT('2025MasterFile-Stat'!C73,LEN('2025MasterFile-Stat'!C73)-FIND(" to ",'2025MasterFile-Stat'!C73)-3)</f>
        <v>SR 429</v>
      </c>
      <c r="F79" s="44" t="str">
        <f>'2025MasterFile-Stat'!G73</f>
        <v>2L</v>
      </c>
      <c r="G79" s="44"/>
      <c r="H79" s="44" t="str">
        <f>'2025MasterFile-Stat'!H73</f>
        <v>E</v>
      </c>
      <c r="I79" s="44" t="str">
        <f>'2025MasterFile-Stat'!A73</f>
        <v>Min Coll</v>
      </c>
      <c r="J79" s="44"/>
      <c r="K79" s="44"/>
      <c r="L79" s="26">
        <f>IF(Cap!H73="A",Cap!O73,
 IF(Cap!H73="B",Cap!P73,
 IF(Cap!H73="C",Cap!Q73,
 IF(Cap!H73="D",Cap!R73,
 IF(Cap!H73="E",Cap!S73,"")))))</f>
        <v>32600</v>
      </c>
      <c r="M79" s="44"/>
      <c r="N79" s="44">
        <f>IF(Cap!H73="A",Cap!J73,
 IF(Cap!H73="B",Cap!K73,
 IF(Cap!H73="C",Cap!L73,
 IF(Cap!H73="D",Cap!M73,
 IF(Cap!H73="E",Cap!N73,"")))))</f>
        <v>1610</v>
      </c>
      <c r="O79" s="44"/>
      <c r="P79" s="44"/>
      <c r="Q79" s="44"/>
      <c r="R79" s="44">
        <f>LOS!J73</f>
        <v>10679</v>
      </c>
      <c r="S79" s="45"/>
      <c r="T79" s="44" t="str">
        <f>LOS!K73</f>
        <v>B</v>
      </c>
      <c r="U79" s="44"/>
      <c r="V79" s="44"/>
      <c r="W79" s="44"/>
      <c r="X79" s="44"/>
      <c r="Y79" s="44"/>
      <c r="Z79" s="44"/>
      <c r="AA79" s="44">
        <f>LOS!L73</f>
        <v>351</v>
      </c>
      <c r="AB79" s="44">
        <f>LOS!M73</f>
        <v>417</v>
      </c>
      <c r="AC79" s="45"/>
      <c r="AD79" s="44" t="str">
        <f>LOS!Q73</f>
        <v>B</v>
      </c>
      <c r="AE79" s="44">
        <f>LOS!R73</f>
        <v>523</v>
      </c>
      <c r="AF79" s="44">
        <f>LOS!S73</f>
        <v>580</v>
      </c>
      <c r="AG79" s="45"/>
      <c r="AH79" s="44" t="str">
        <f>LOS!W73</f>
        <v>B</v>
      </c>
      <c r="AI79" s="82">
        <f>(Trend!L73)</f>
        <v>13.170708867875099</v>
      </c>
      <c r="AJ79" s="78">
        <f>Cap!K73</f>
        <v>580</v>
      </c>
      <c r="AK79" s="78">
        <f>Cap!L73</f>
        <v>890</v>
      </c>
      <c r="AL79" s="78">
        <f>Cap!M73</f>
        <v>1200</v>
      </c>
      <c r="AM79" s="78">
        <f>Cap!N73</f>
        <v>1610</v>
      </c>
    </row>
    <row r="80" spans="1:39" x14ac:dyDescent="0.25">
      <c r="B80" s="48">
        <f>'2025MasterFile-Stat'!F74</f>
        <v>9</v>
      </c>
      <c r="C80" s="47" t="str">
        <f>'2025MasterFile-Stat'!B74</f>
        <v>Kelly Park Rd</v>
      </c>
      <c r="D80" s="47" t="str">
        <f>LEFT('2025MasterFile-Stat'!C74,FIND(" to ",'2025MasterFile-Stat'!C74)-1)</f>
        <v>Plymouth-Sorrento Rd (CR 437)</v>
      </c>
      <c r="E80" s="47" t="str">
        <f>RIGHT('2025MasterFile-Stat'!C74,LEN('2025MasterFile-Stat'!C74)-FIND(" to ",'2025MasterFile-Stat'!C74)-3)</f>
        <v>Jason Dwelley Pkwy</v>
      </c>
      <c r="F80" s="44" t="str">
        <f>'2025MasterFile-Stat'!G74</f>
        <v>2L</v>
      </c>
      <c r="G80" s="44"/>
      <c r="H80" s="44" t="str">
        <f>'2025MasterFile-Stat'!H74</f>
        <v>E</v>
      </c>
      <c r="I80" s="44" t="str">
        <f>'2025MasterFile-Stat'!A74</f>
        <v>Min Coll</v>
      </c>
      <c r="J80" s="44"/>
      <c r="K80" s="44"/>
      <c r="L80" s="26">
        <f>IF(Cap!H74="A",Cap!O74,
 IF(Cap!H74="B",Cap!P74,
 IF(Cap!H74="C",Cap!Q74,
 IF(Cap!H74="D",Cap!R74,
 IF(Cap!H74="E",Cap!S74,"")))))</f>
        <v>32600</v>
      </c>
      <c r="M80" s="44"/>
      <c r="N80" s="44">
        <f>IF(Cap!H74="A",Cap!J74,
 IF(Cap!H74="B",Cap!K74,
 IF(Cap!H74="C",Cap!L74,
 IF(Cap!H74="D",Cap!M74,
 IF(Cap!H74="E",Cap!N74,"")))))</f>
        <v>1610</v>
      </c>
      <c r="O80" s="44"/>
      <c r="P80" s="44"/>
      <c r="Q80" s="44"/>
      <c r="R80" s="44">
        <f>LOS!J74</f>
        <v>7405</v>
      </c>
      <c r="S80" s="45"/>
      <c r="T80" s="44" t="str">
        <f>LOS!K74</f>
        <v>B</v>
      </c>
      <c r="U80" s="44"/>
      <c r="V80" s="44"/>
      <c r="W80" s="44"/>
      <c r="X80" s="44"/>
      <c r="Y80" s="44"/>
      <c r="Z80" s="44"/>
      <c r="AA80" s="44">
        <f>LOS!L74</f>
        <v>223</v>
      </c>
      <c r="AB80" s="44">
        <f>LOS!M74</f>
        <v>414</v>
      </c>
      <c r="AC80" s="45"/>
      <c r="AD80" s="44" t="str">
        <f>LOS!Q74</f>
        <v>B</v>
      </c>
      <c r="AE80" s="44">
        <f>LOS!R74</f>
        <v>420</v>
      </c>
      <c r="AF80" s="44">
        <f>LOS!S74</f>
        <v>271</v>
      </c>
      <c r="AG80" s="45"/>
      <c r="AH80" s="44" t="str">
        <f>LOS!W74</f>
        <v>B</v>
      </c>
      <c r="AI80" s="82">
        <f>(Trend!L74)</f>
        <v>3.8474004051328801</v>
      </c>
      <c r="AJ80" s="78">
        <f>Cap!K74</f>
        <v>580</v>
      </c>
      <c r="AK80" s="78">
        <f>Cap!L74</f>
        <v>890</v>
      </c>
      <c r="AL80" s="78">
        <f>Cap!M74</f>
        <v>1200</v>
      </c>
      <c r="AM80" s="78">
        <f>Cap!N74</f>
        <v>1610</v>
      </c>
    </row>
    <row r="81" spans="2:39" x14ac:dyDescent="0.25">
      <c r="B81" s="48">
        <f>'2025MasterFile-Stat'!F75</f>
        <v>10.1</v>
      </c>
      <c r="C81" s="47" t="str">
        <f>'2025MasterFile-Stat'!B75</f>
        <v>Kelly Park Road</v>
      </c>
      <c r="D81" s="47" t="str">
        <f>LEFT('2025MasterFile-Stat'!C75,FIND(" to ",'2025MasterFile-Stat'!C75)-1)</f>
        <v>SR 429</v>
      </c>
      <c r="E81" s="47" t="str">
        <f>RIGHT('2025MasterFile-Stat'!C75,LEN('2025MasterFile-Stat'!C75)-FIND(" to ",'2025MasterFile-Stat'!C75)-3)</f>
        <v>Plymouth Sorrento Road</v>
      </c>
      <c r="F81" s="44" t="str">
        <f>'2025MasterFile-Stat'!G75</f>
        <v>2L</v>
      </c>
      <c r="G81" s="44"/>
      <c r="H81" s="44" t="str">
        <f>'2025MasterFile-Stat'!H75</f>
        <v>E</v>
      </c>
      <c r="I81" s="44" t="str">
        <f>'2025MasterFile-Stat'!A75</f>
        <v>Min Coll</v>
      </c>
      <c r="J81" s="44"/>
      <c r="K81" s="44"/>
      <c r="L81" s="26">
        <f>IF(Cap!H75="A",Cap!O75,
 IF(Cap!H75="B",Cap!P75,
 IF(Cap!H75="C",Cap!Q75,
 IF(Cap!H75="D",Cap!R75,
 IF(Cap!H75="E",Cap!S75,"")))))</f>
        <v>32600</v>
      </c>
      <c r="M81" s="44"/>
      <c r="N81" s="44">
        <f>IF(Cap!H75="A",Cap!J75,
 IF(Cap!H75="B",Cap!K75,
 IF(Cap!H75="C",Cap!L75,
 IF(Cap!H75="D",Cap!M75,
 IF(Cap!H75="E",Cap!N75,"")))))</f>
        <v>1610</v>
      </c>
      <c r="O81" s="44"/>
      <c r="P81" s="44"/>
      <c r="Q81" s="44"/>
      <c r="R81" s="44">
        <f>LOS!J75</f>
        <v>7123</v>
      </c>
      <c r="S81" s="45"/>
      <c r="T81" s="44" t="str">
        <f>LOS!K75</f>
        <v>B</v>
      </c>
      <c r="U81" s="44"/>
      <c r="V81" s="44"/>
      <c r="W81" s="44"/>
      <c r="X81" s="44"/>
      <c r="Y81" s="44"/>
      <c r="Z81" s="44"/>
      <c r="AA81" s="44">
        <f>LOS!L75</f>
        <v>313</v>
      </c>
      <c r="AB81" s="44">
        <f>LOS!M75</f>
        <v>263</v>
      </c>
      <c r="AC81" s="45"/>
      <c r="AD81" s="44" t="str">
        <f>LOS!Q75</f>
        <v>B</v>
      </c>
      <c r="AE81" s="44">
        <f>LOS!R75</f>
        <v>291</v>
      </c>
      <c r="AF81" s="44">
        <f>LOS!S75</f>
        <v>352</v>
      </c>
      <c r="AG81" s="45"/>
      <c r="AH81" s="44" t="str">
        <f>LOS!W75</f>
        <v>B</v>
      </c>
      <c r="AI81" s="82" t="str">
        <f>(Trend!L75)</f>
        <v>N/A</v>
      </c>
      <c r="AJ81" s="78">
        <f>Cap!K75</f>
        <v>580</v>
      </c>
      <c r="AK81" s="78">
        <f>Cap!L75</f>
        <v>890</v>
      </c>
      <c r="AL81" s="78">
        <f>Cap!M75</f>
        <v>1200</v>
      </c>
      <c r="AM81" s="78">
        <f>Cap!N75</f>
        <v>1610</v>
      </c>
    </row>
    <row r="82" spans="2:39" x14ac:dyDescent="0.25">
      <c r="B82" s="48">
        <f>'2025MasterFile-Stat'!F76</f>
        <v>9002</v>
      </c>
      <c r="C82" s="47" t="str">
        <f>'2025MasterFile-Stat'!B76</f>
        <v>Kelly Park Road</v>
      </c>
      <c r="D82" s="47" t="str">
        <f>LEFT('2025MasterFile-Stat'!C76,FIND(" to ",'2025MasterFile-Stat'!C76)-1)</f>
        <v>Round Lake Road</v>
      </c>
      <c r="E82" s="47" t="str">
        <f>RIGHT('2025MasterFile-Stat'!C76,LEN('2025MasterFile-Stat'!C76)-FIND(" to ",'2025MasterFile-Stat'!C76)-3)</f>
        <v>Waypointe Blvd</v>
      </c>
      <c r="F82" s="44" t="str">
        <f>'2025MasterFile-Stat'!G76</f>
        <v>2L</v>
      </c>
      <c r="G82" s="44"/>
      <c r="H82" s="44" t="str">
        <f>'2025MasterFile-Stat'!H76</f>
        <v>E</v>
      </c>
      <c r="I82" s="44" t="str">
        <f>'2025MasterFile-Stat'!A76</f>
        <v>Min Coll</v>
      </c>
      <c r="J82" s="44"/>
      <c r="K82" s="44"/>
      <c r="L82" s="26">
        <f>IF(Cap!H76="A",Cap!O76,
 IF(Cap!H76="B",Cap!P76,
 IF(Cap!H76="C",Cap!Q76,
 IF(Cap!H76="D",Cap!R76,
 IF(Cap!H76="E",Cap!S76,"")))))</f>
        <v>32600</v>
      </c>
      <c r="M82" s="44"/>
      <c r="N82" s="44">
        <f>IF(Cap!H76="A",Cap!J76,
 IF(Cap!H76="B",Cap!K76,
 IF(Cap!H76="C",Cap!L76,
 IF(Cap!H76="D",Cap!M76,
 IF(Cap!H76="E",Cap!N76,"")))))</f>
        <v>1610</v>
      </c>
      <c r="O82" s="44"/>
      <c r="P82" s="44"/>
      <c r="Q82" s="44"/>
      <c r="R82" s="44">
        <f>LOS!J76</f>
        <v>12779</v>
      </c>
      <c r="S82" s="45"/>
      <c r="T82" s="44" t="str">
        <f>LOS!K76</f>
        <v>C</v>
      </c>
      <c r="U82" s="44"/>
      <c r="V82" s="44"/>
      <c r="W82" s="44"/>
      <c r="X82" s="44"/>
      <c r="Y82" s="44"/>
      <c r="Z82" s="44"/>
      <c r="AA82" s="44">
        <f>LOS!L76</f>
        <v>357</v>
      </c>
      <c r="AB82" s="44">
        <f>LOS!M76</f>
        <v>734</v>
      </c>
      <c r="AC82" s="45"/>
      <c r="AD82" s="44" t="str">
        <f>LOS!Q76</f>
        <v>C</v>
      </c>
      <c r="AE82" s="44">
        <f>LOS!R76</f>
        <v>719</v>
      </c>
      <c r="AF82" s="44">
        <f>LOS!S76</f>
        <v>409</v>
      </c>
      <c r="AG82" s="45"/>
      <c r="AH82" s="44" t="str">
        <f>LOS!W76</f>
        <v>C</v>
      </c>
      <c r="AI82" s="82" t="str">
        <f>(Trend!L76)</f>
        <v>N/A</v>
      </c>
      <c r="AJ82" s="78">
        <f>Cap!K76</f>
        <v>580</v>
      </c>
      <c r="AK82" s="78">
        <f>Cap!L76</f>
        <v>890</v>
      </c>
      <c r="AL82" s="78">
        <f>Cap!M76</f>
        <v>1200</v>
      </c>
      <c r="AM82" s="78">
        <f>Cap!N76</f>
        <v>1610</v>
      </c>
    </row>
    <row r="83" spans="2:39" x14ac:dyDescent="0.25">
      <c r="B83" s="48">
        <f>'2025MasterFile-Stat'!F77</f>
        <v>585</v>
      </c>
      <c r="C83" s="47" t="str">
        <f>'2025MasterFile-Stat'!B77</f>
        <v>King St</v>
      </c>
      <c r="D83" s="47" t="str">
        <f>LEFT('2025MasterFile-Stat'!C77,FIND(" to ",'2025MasterFile-Stat'!C77)-1)</f>
        <v>Peterson Rd</v>
      </c>
      <c r="E83" s="47" t="str">
        <f>RIGHT('2025MasterFile-Stat'!C77,LEN('2025MasterFile-Stat'!C77)-FIND(" to ",'2025MasterFile-Stat'!C77)-3)</f>
        <v>Orange Ave</v>
      </c>
      <c r="F83" s="44" t="str">
        <f>'2025MasterFile-Stat'!G77</f>
        <v>2L</v>
      </c>
      <c r="G83" s="44"/>
      <c r="H83" s="46" t="str">
        <f>'2025MasterFile-Stat'!H77</f>
        <v>E</v>
      </c>
      <c r="I83" s="44" t="str">
        <f>'2025MasterFile-Stat'!A77</f>
        <v>Min Coll</v>
      </c>
      <c r="J83" s="44"/>
      <c r="K83" s="44"/>
      <c r="L83" s="26">
        <f>IF(Cap!H77="A",Cap!O77,
 IF(Cap!H77="B",Cap!P77,
 IF(Cap!H77="C",Cap!Q77,
 IF(Cap!H77="D",Cap!R77,
 IF(Cap!H77="E",Cap!S77,"")))))</f>
        <v>14000</v>
      </c>
      <c r="M83" s="44"/>
      <c r="N83" s="44">
        <f>IF(Cap!H77="A",Cap!J77,
 IF(Cap!H77="B",Cap!K77,
 IF(Cap!H77="C",Cap!L77,
 IF(Cap!H77="D",Cap!M77,
 IF(Cap!H77="E",Cap!N77,"")))))</f>
        <v>720</v>
      </c>
      <c r="O83" s="44"/>
      <c r="P83" s="44"/>
      <c r="Q83" s="44"/>
      <c r="R83" s="44">
        <f>LOS!J77</f>
        <v>1570</v>
      </c>
      <c r="S83" s="45"/>
      <c r="T83" s="44" t="str">
        <f>LOS!K77</f>
        <v>C</v>
      </c>
      <c r="U83" s="44"/>
      <c r="V83" s="44"/>
      <c r="W83" s="44"/>
      <c r="X83" s="44"/>
      <c r="Y83" s="44"/>
      <c r="Z83" s="44"/>
      <c r="AA83" s="44">
        <f>LOS!L77</f>
        <v>58</v>
      </c>
      <c r="AB83" s="44">
        <f>LOS!M77</f>
        <v>53</v>
      </c>
      <c r="AC83" s="45"/>
      <c r="AD83" s="44" t="str">
        <f>LOS!Q77</f>
        <v>C</v>
      </c>
      <c r="AE83" s="44">
        <f>LOS!R77</f>
        <v>58</v>
      </c>
      <c r="AF83" s="44">
        <f>LOS!S77</f>
        <v>46</v>
      </c>
      <c r="AG83" s="45"/>
      <c r="AH83" s="44" t="str">
        <f>LOS!W77</f>
        <v>C</v>
      </c>
      <c r="AI83" s="82">
        <f>(Trend!L77)</f>
        <v>12.242038216563399</v>
      </c>
      <c r="AJ83" s="77">
        <f>Cap!K77</f>
        <v>0</v>
      </c>
      <c r="AK83" s="77">
        <f>Cap!L77</f>
        <v>330</v>
      </c>
      <c r="AL83" s="77">
        <f>Cap!M77</f>
        <v>680</v>
      </c>
      <c r="AM83" s="77">
        <f>Cap!N77</f>
        <v>720</v>
      </c>
    </row>
    <row r="84" spans="2:39" x14ac:dyDescent="0.25">
      <c r="B84" s="48">
        <f>'2025MasterFile-Stat'!F78</f>
        <v>402</v>
      </c>
      <c r="C84" s="47" t="str">
        <f>'2025MasterFile-Stat'!B78</f>
        <v>Lake Ave/Marvin C Zanders Ave</v>
      </c>
      <c r="D84" s="47" t="str">
        <f>LEFT('2025MasterFile-Stat'!C78,FIND(" to ",'2025MasterFile-Stat'!C78)-1)</f>
        <v>US 441</v>
      </c>
      <c r="E84" s="47" t="str">
        <f>RIGHT('2025MasterFile-Stat'!C78,LEN('2025MasterFile-Stat'!C78)-FIND(" to ",'2025MasterFile-Stat'!C78)-3)</f>
        <v>4th St</v>
      </c>
      <c r="F84" s="44" t="str">
        <f>'2025MasterFile-Stat'!G78</f>
        <v>2L</v>
      </c>
      <c r="G84" s="44"/>
      <c r="H84" s="46" t="str">
        <f>'2025MasterFile-Stat'!H78</f>
        <v>D</v>
      </c>
      <c r="I84" s="44" t="str">
        <f>'2025MasterFile-Stat'!A78</f>
        <v>Min Coll</v>
      </c>
      <c r="J84" s="44"/>
      <c r="K84" s="44"/>
      <c r="L84" s="26">
        <f>IF(Cap!H78="A",Cap!O78,
 IF(Cap!H78="B",Cap!P78,
 IF(Cap!H78="C",Cap!Q78,
 IF(Cap!H78="D",Cap!R78,
 IF(Cap!H78="E",Cap!S78,"")))))</f>
        <v>13300</v>
      </c>
      <c r="M84" s="44"/>
      <c r="N84" s="44">
        <f>IF(Cap!H78="A",Cap!J78,
 IF(Cap!H78="B",Cap!K78,
 IF(Cap!H78="C",Cap!L78,
 IF(Cap!H78="D",Cap!M78,
 IF(Cap!H78="E",Cap!N78,"")))))</f>
        <v>680</v>
      </c>
      <c r="O84" s="44"/>
      <c r="P84" s="44"/>
      <c r="Q84" s="44"/>
      <c r="R84" s="44">
        <f>LOS!J78</f>
        <v>2252</v>
      </c>
      <c r="S84" s="45"/>
      <c r="T84" s="44" t="str">
        <f>LOS!K78</f>
        <v>C</v>
      </c>
      <c r="U84" s="44"/>
      <c r="V84" s="44"/>
      <c r="W84" s="44"/>
      <c r="X84" s="44"/>
      <c r="Y84" s="44"/>
      <c r="Z84" s="44"/>
      <c r="AA84" s="44">
        <f>LOS!L78</f>
        <v>132</v>
      </c>
      <c r="AB84" s="44">
        <f>LOS!M78</f>
        <v>56</v>
      </c>
      <c r="AC84" s="45"/>
      <c r="AD84" s="44" t="str">
        <f>LOS!Q78</f>
        <v>C</v>
      </c>
      <c r="AE84" s="44">
        <f>LOS!R78</f>
        <v>131</v>
      </c>
      <c r="AF84" s="44">
        <f>LOS!S78</f>
        <v>85</v>
      </c>
      <c r="AG84" s="45"/>
      <c r="AH84" s="44" t="str">
        <f>LOS!W78</f>
        <v>C</v>
      </c>
      <c r="AI84" s="82">
        <f>(Trend!L78)</f>
        <v>6.7850799289536798</v>
      </c>
      <c r="AJ84" s="77">
        <f>Cap!K78</f>
        <v>0</v>
      </c>
      <c r="AK84" s="77">
        <f>Cap!L78</f>
        <v>330</v>
      </c>
      <c r="AL84" s="77">
        <f>Cap!M78</f>
        <v>680</v>
      </c>
      <c r="AM84" s="77">
        <f>Cap!N78</f>
        <v>720</v>
      </c>
    </row>
    <row r="85" spans="2:39" x14ac:dyDescent="0.25">
      <c r="B85" s="48">
        <f>'2025MasterFile-Stat'!F79</f>
        <v>513</v>
      </c>
      <c r="C85" s="47" t="str">
        <f>'2025MasterFile-Stat'!B79</f>
        <v>Lake Ave/Marvin C Zanders Ave</v>
      </c>
      <c r="D85" s="47" t="str">
        <f>LEFT('2025MasterFile-Stat'!C79,FIND(" to ",'2025MasterFile-Stat'!C79)-1)</f>
        <v>Martin St</v>
      </c>
      <c r="E85" s="47" t="str">
        <f>RIGHT('2025MasterFile-Stat'!C79,LEN('2025MasterFile-Stat'!C79)-FIND(" to ",'2025MasterFile-Stat'!C79)-3)</f>
        <v>Orange St</v>
      </c>
      <c r="F85" s="44" t="str">
        <f>'2025MasterFile-Stat'!G79</f>
        <v>2L</v>
      </c>
      <c r="G85" s="44"/>
      <c r="H85" s="46" t="str">
        <f>'2025MasterFile-Stat'!H79</f>
        <v>D</v>
      </c>
      <c r="I85" s="44" t="str">
        <f>'2025MasterFile-Stat'!A79</f>
        <v>Min Coll</v>
      </c>
      <c r="J85" s="44"/>
      <c r="K85" s="44"/>
      <c r="L85" s="26">
        <f>IF(Cap!H79="A",Cap!O79,
 IF(Cap!H79="B",Cap!P79,
 IF(Cap!H79="C",Cap!Q79,
 IF(Cap!H79="D",Cap!R79,
 IF(Cap!H79="E",Cap!S79,"")))))</f>
        <v>13300</v>
      </c>
      <c r="M85" s="44"/>
      <c r="N85" s="44">
        <f>IF(Cap!H79="A",Cap!J79,
 IF(Cap!H79="B",Cap!K79,
 IF(Cap!H79="C",Cap!L79,
 IF(Cap!H79="D",Cap!M79,
 IF(Cap!H79="E",Cap!N79,"")))))</f>
        <v>680</v>
      </c>
      <c r="O85" s="44"/>
      <c r="P85" s="44"/>
      <c r="Q85" s="44"/>
      <c r="R85" s="44">
        <f>LOS!J79</f>
        <v>2185</v>
      </c>
      <c r="S85" s="45"/>
      <c r="T85" s="44" t="str">
        <f>LOS!K79</f>
        <v>C</v>
      </c>
      <c r="U85" s="44"/>
      <c r="V85" s="44"/>
      <c r="W85" s="44"/>
      <c r="X85" s="44"/>
      <c r="Y85" s="44"/>
      <c r="Z85" s="44"/>
      <c r="AA85" s="44">
        <f>LOS!L79</f>
        <v>64</v>
      </c>
      <c r="AB85" s="44">
        <f>LOS!M79</f>
        <v>142</v>
      </c>
      <c r="AC85" s="45"/>
      <c r="AD85" s="44" t="str">
        <f>LOS!Q79</f>
        <v>C</v>
      </c>
      <c r="AE85" s="44">
        <f>LOS!R79</f>
        <v>150</v>
      </c>
      <c r="AF85" s="44">
        <f>LOS!S79</f>
        <v>64</v>
      </c>
      <c r="AG85" s="45"/>
      <c r="AH85" s="44" t="str">
        <f>LOS!W79</f>
        <v>C</v>
      </c>
      <c r="AI85" s="82">
        <f>(Trend!L79)</f>
        <v>1.4370709382154701</v>
      </c>
      <c r="AJ85" s="77">
        <f>Cap!K79</f>
        <v>0</v>
      </c>
      <c r="AK85" s="77">
        <f>Cap!L79</f>
        <v>330</v>
      </c>
      <c r="AL85" s="77">
        <f>Cap!M79</f>
        <v>680</v>
      </c>
      <c r="AM85" s="77">
        <f>Cap!N79</f>
        <v>720</v>
      </c>
    </row>
    <row r="86" spans="2:39" x14ac:dyDescent="0.25">
      <c r="B86" s="48">
        <f>'2025MasterFile-Stat'!F80</f>
        <v>515</v>
      </c>
      <c r="C86" s="47" t="str">
        <f>'2025MasterFile-Stat'!B80</f>
        <v>Lake Ave/Marvin C Zanders Ave</v>
      </c>
      <c r="D86" s="47" t="str">
        <f>LEFT('2025MasterFile-Stat'!C80,FIND(" to ",'2025MasterFile-Stat'!C80)-1)</f>
        <v>Orange St</v>
      </c>
      <c r="E86" s="47" t="str">
        <f>RIGHT('2025MasterFile-Stat'!C80,LEN('2025MasterFile-Stat'!C80)-FIND(" to ",'2025MasterFile-Stat'!C80)-3)</f>
        <v>US 441</v>
      </c>
      <c r="F86" s="44" t="str">
        <f>'2025MasterFile-Stat'!G80</f>
        <v>2L</v>
      </c>
      <c r="G86" s="44"/>
      <c r="H86" s="46" t="str">
        <f>'2025MasterFile-Stat'!H80</f>
        <v>D</v>
      </c>
      <c r="I86" s="44" t="str">
        <f>'2025MasterFile-Stat'!A80</f>
        <v>Min Coll</v>
      </c>
      <c r="J86" s="44"/>
      <c r="K86" s="44"/>
      <c r="L86" s="26">
        <f>IF(Cap!H80="A",Cap!O80,
 IF(Cap!H80="B",Cap!P80,
 IF(Cap!H80="C",Cap!Q80,
 IF(Cap!H80="D",Cap!R80,
 IF(Cap!H80="E",Cap!S80,"")))))</f>
        <v>13300</v>
      </c>
      <c r="M86" s="44"/>
      <c r="N86" s="44">
        <f>IF(Cap!H80="A",Cap!J80,
 IF(Cap!H80="B",Cap!K80,
 IF(Cap!H80="C",Cap!L80,
 IF(Cap!H80="D",Cap!M80,
 IF(Cap!H80="E",Cap!N80,"")))))</f>
        <v>680</v>
      </c>
      <c r="O86" s="44"/>
      <c r="P86" s="44"/>
      <c r="Q86" s="44"/>
      <c r="R86" s="44">
        <f>LOS!J80</f>
        <v>1137</v>
      </c>
      <c r="S86" s="45"/>
      <c r="T86" s="44" t="str">
        <f>LOS!K80</f>
        <v>C</v>
      </c>
      <c r="U86" s="44"/>
      <c r="V86" s="44"/>
      <c r="W86" s="44"/>
      <c r="X86" s="44"/>
      <c r="Y86" s="44"/>
      <c r="Z86" s="44"/>
      <c r="AA86" s="44">
        <f>LOS!L80</f>
        <v>56</v>
      </c>
      <c r="AB86" s="44">
        <f>LOS!M80</f>
        <v>32</v>
      </c>
      <c r="AC86" s="45"/>
      <c r="AD86" s="44" t="str">
        <f>LOS!Q80</f>
        <v>C</v>
      </c>
      <c r="AE86" s="44">
        <f>LOS!R80</f>
        <v>48</v>
      </c>
      <c r="AF86" s="44">
        <f>LOS!S80</f>
        <v>78</v>
      </c>
      <c r="AG86" s="45"/>
      <c r="AH86" s="44" t="str">
        <f>LOS!W80</f>
        <v>C</v>
      </c>
      <c r="AI86" s="82">
        <f>(Trend!L80)</f>
        <v>-3.5180299032550599</v>
      </c>
      <c r="AJ86" s="77">
        <f>Cap!K80</f>
        <v>0</v>
      </c>
      <c r="AK86" s="77">
        <f>Cap!L80</f>
        <v>330</v>
      </c>
      <c r="AL86" s="77">
        <f>Cap!M80</f>
        <v>680</v>
      </c>
      <c r="AM86" s="77">
        <f>Cap!N80</f>
        <v>720</v>
      </c>
    </row>
    <row r="87" spans="2:39" x14ac:dyDescent="0.25">
      <c r="B87" s="48">
        <f>'2025MasterFile-Stat'!F81</f>
        <v>811</v>
      </c>
      <c r="C87" s="47" t="str">
        <f>'2025MasterFile-Stat'!B81</f>
        <v>Lake Cortez Dr</v>
      </c>
      <c r="D87" s="47" t="str">
        <f>LEFT('2025MasterFile-Stat'!C81,FIND(" to ",'2025MasterFile-Stat'!C81)-1)</f>
        <v>SR 436</v>
      </c>
      <c r="E87" s="47" t="str">
        <f>RIGHT('2025MasterFile-Stat'!C81,LEN('2025MasterFile-Stat'!C81)-FIND(" to ",'2025MasterFile-Stat'!C81)-3)</f>
        <v>Evelyn Dr</v>
      </c>
      <c r="F87" s="44" t="str">
        <f>'2025MasterFile-Stat'!G81</f>
        <v>2L</v>
      </c>
      <c r="G87" s="44"/>
      <c r="H87" s="46" t="str">
        <f>'2025MasterFile-Stat'!H81</f>
        <v>E</v>
      </c>
      <c r="I87" s="44" t="str">
        <f>'2025MasterFile-Stat'!A81</f>
        <v>Min Coll</v>
      </c>
      <c r="J87" s="44"/>
      <c r="K87" s="44"/>
      <c r="L87" s="26">
        <f>IF(Cap!H81="A",Cap!O81,
 IF(Cap!H81="B",Cap!P81,
 IF(Cap!H81="C",Cap!Q81,
 IF(Cap!H81="D",Cap!R81,
 IF(Cap!H81="E",Cap!S81,"")))))</f>
        <v>14000</v>
      </c>
      <c r="M87" s="44"/>
      <c r="N87" s="44">
        <f>IF(Cap!H81="A",Cap!J81,
 IF(Cap!H81="B",Cap!K81,
 IF(Cap!H81="C",Cap!L81,
 IF(Cap!H81="D",Cap!M81,
 IF(Cap!H81="E",Cap!N81,"")))))</f>
        <v>720</v>
      </c>
      <c r="O87" s="44"/>
      <c r="P87" s="44"/>
      <c r="Q87" s="44"/>
      <c r="R87" s="44">
        <f>LOS!J81</f>
        <v>692</v>
      </c>
      <c r="S87" s="45"/>
      <c r="T87" s="44" t="str">
        <f>LOS!K81</f>
        <v>C</v>
      </c>
      <c r="U87" s="44"/>
      <c r="V87" s="44"/>
      <c r="W87" s="44"/>
      <c r="X87" s="44"/>
      <c r="Y87" s="44"/>
      <c r="Z87" s="44"/>
      <c r="AA87" s="44">
        <f>LOS!L81</f>
        <v>27</v>
      </c>
      <c r="AB87" s="44">
        <f>LOS!M81</f>
        <v>19</v>
      </c>
      <c r="AC87" s="45"/>
      <c r="AD87" s="44" t="str">
        <f>LOS!Q81</f>
        <v>C</v>
      </c>
      <c r="AE87" s="44">
        <f>LOS!R81</f>
        <v>53</v>
      </c>
      <c r="AF87" s="44">
        <f>LOS!S81</f>
        <v>12</v>
      </c>
      <c r="AG87" s="45"/>
      <c r="AH87" s="44" t="str">
        <f>LOS!W81</f>
        <v>C</v>
      </c>
      <c r="AI87" s="82">
        <f>(Trend!L81)</f>
        <v>-0.36127167630092699</v>
      </c>
      <c r="AJ87" s="77">
        <f>Cap!K81</f>
        <v>0</v>
      </c>
      <c r="AK87" s="77">
        <f>Cap!L81</f>
        <v>330</v>
      </c>
      <c r="AL87" s="77">
        <f>Cap!M81</f>
        <v>680</v>
      </c>
      <c r="AM87" s="77">
        <f>Cap!N81</f>
        <v>720</v>
      </c>
    </row>
    <row r="88" spans="2:39" x14ac:dyDescent="0.25">
      <c r="B88" s="48">
        <f>'2025MasterFile-Stat'!F82</f>
        <v>1015</v>
      </c>
      <c r="C88" s="47" t="str">
        <f>'2025MasterFile-Stat'!B82</f>
        <v>Lake Doe Blvd</v>
      </c>
      <c r="D88" s="47" t="str">
        <f>LEFT('2025MasterFile-Stat'!C82,FIND(" to ",'2025MasterFile-Stat'!C82)-1)</f>
        <v>US 441</v>
      </c>
      <c r="E88" s="47" t="str">
        <f>RIGHT('2025MasterFile-Stat'!C82,LEN('2025MasterFile-Stat'!C82)-FIND(" to ",'2025MasterFile-Stat'!C82)-3)</f>
        <v>Dunn Cove Dr</v>
      </c>
      <c r="F88" s="44" t="str">
        <f>'2025MasterFile-Stat'!G82</f>
        <v>2L</v>
      </c>
      <c r="G88" s="44"/>
      <c r="H88" s="46" t="str">
        <f>'2025MasterFile-Stat'!H82</f>
        <v>E</v>
      </c>
      <c r="I88" s="44" t="str">
        <f>'2025MasterFile-Stat'!A82</f>
        <v>Min Coll</v>
      </c>
      <c r="J88" s="44"/>
      <c r="K88" s="44"/>
      <c r="L88" s="26">
        <f>IF(Cap!H82="A",Cap!O82,
 IF(Cap!H82="B",Cap!P82,
 IF(Cap!H82="C",Cap!Q82,
 IF(Cap!H82="D",Cap!R82,
 IF(Cap!H82="E",Cap!S82,"")))))</f>
        <v>14000</v>
      </c>
      <c r="M88" s="44"/>
      <c r="N88" s="44">
        <f>IF(Cap!H82="A",Cap!J82,
 IF(Cap!H82="B",Cap!K82,
 IF(Cap!H82="C",Cap!L82,
 IF(Cap!H82="D",Cap!M82,
 IF(Cap!H82="E",Cap!N82,"")))))</f>
        <v>720</v>
      </c>
      <c r="O88" s="44"/>
      <c r="P88" s="44"/>
      <c r="Q88" s="44"/>
      <c r="R88" s="44">
        <f>LOS!J82</f>
        <v>3559</v>
      </c>
      <c r="S88" s="45"/>
      <c r="T88" s="44" t="str">
        <f>LOS!K82</f>
        <v>C</v>
      </c>
      <c r="U88" s="44"/>
      <c r="V88" s="44"/>
      <c r="W88" s="44"/>
      <c r="X88" s="44"/>
      <c r="Y88" s="44"/>
      <c r="Z88" s="44"/>
      <c r="AA88" s="44">
        <f>LOS!L82</f>
        <v>102</v>
      </c>
      <c r="AB88" s="44">
        <f>LOS!M82</f>
        <v>169</v>
      </c>
      <c r="AC88" s="45"/>
      <c r="AD88" s="44" t="str">
        <f>LOS!Q82</f>
        <v>C</v>
      </c>
      <c r="AE88" s="44">
        <f>LOS!R82</f>
        <v>190</v>
      </c>
      <c r="AF88" s="44">
        <f>LOS!S82</f>
        <v>99</v>
      </c>
      <c r="AG88" s="45"/>
      <c r="AH88" s="44" t="str">
        <f>LOS!W82</f>
        <v>C</v>
      </c>
      <c r="AI88" s="82">
        <f>(Trend!L82)</f>
        <v>-0.44675470637835701</v>
      </c>
      <c r="AJ88" s="77">
        <f>Cap!K82</f>
        <v>0</v>
      </c>
      <c r="AK88" s="77">
        <f>Cap!L82</f>
        <v>330</v>
      </c>
      <c r="AL88" s="77">
        <f>Cap!M82</f>
        <v>680</v>
      </c>
      <c r="AM88" s="77">
        <f>Cap!N82</f>
        <v>720</v>
      </c>
    </row>
    <row r="89" spans="2:39" x14ac:dyDescent="0.25">
      <c r="B89" s="48">
        <f>'2025MasterFile-Stat'!F83</f>
        <v>504</v>
      </c>
      <c r="C89" s="47" t="str">
        <f>'2025MasterFile-Stat'!B83</f>
        <v>Lake Francis Dr</v>
      </c>
      <c r="D89" s="47" t="str">
        <f>LEFT('2025MasterFile-Stat'!C83,FIND(" to ",'2025MasterFile-Stat'!C83)-1)</f>
        <v>Errol Pkwy</v>
      </c>
      <c r="E89" s="47" t="str">
        <f>RIGHT('2025MasterFile-Stat'!C83,LEN('2025MasterFile-Stat'!C83)-FIND(" to ",'2025MasterFile-Stat'!C83)-3)</f>
        <v>Vick Rd</v>
      </c>
      <c r="F89" s="44" t="str">
        <f>'2025MasterFile-Stat'!G83</f>
        <v>2L</v>
      </c>
      <c r="G89" s="44"/>
      <c r="H89" s="46" t="str">
        <f>'2025MasterFile-Stat'!H83</f>
        <v>D</v>
      </c>
      <c r="I89" s="44" t="str">
        <f>'2025MasterFile-Stat'!A83</f>
        <v>Min Coll</v>
      </c>
      <c r="J89" s="44"/>
      <c r="K89" s="44"/>
      <c r="L89" s="26">
        <f>IF(Cap!H83="A",Cap!O83,
 IF(Cap!H83="B",Cap!P83,
 IF(Cap!H83="C",Cap!Q83,
 IF(Cap!H83="D",Cap!R83,
 IF(Cap!H83="E",Cap!S83,"")))))</f>
        <v>13300</v>
      </c>
      <c r="M89" s="44"/>
      <c r="N89" s="44">
        <f>IF(Cap!H83="A",Cap!J83,
 IF(Cap!H83="B",Cap!K83,
 IF(Cap!H83="C",Cap!L83,
 IF(Cap!H83="D",Cap!M83,
 IF(Cap!H83="E",Cap!N83,"")))))</f>
        <v>680</v>
      </c>
      <c r="O89" s="44"/>
      <c r="P89" s="44"/>
      <c r="Q89" s="44"/>
      <c r="R89" s="44">
        <f>LOS!J83</f>
        <v>3159</v>
      </c>
      <c r="S89" s="45"/>
      <c r="T89" s="44" t="str">
        <f>LOS!K83</f>
        <v>C</v>
      </c>
      <c r="U89" s="44"/>
      <c r="V89" s="44"/>
      <c r="W89" s="44"/>
      <c r="X89" s="44"/>
      <c r="Y89" s="44"/>
      <c r="Z89" s="44"/>
      <c r="AA89" s="44">
        <f>LOS!L83</f>
        <v>132</v>
      </c>
      <c r="AB89" s="44">
        <f>LOS!M83</f>
        <v>81</v>
      </c>
      <c r="AC89" s="45"/>
      <c r="AD89" s="44" t="str">
        <f>LOS!Q83</f>
        <v>C</v>
      </c>
      <c r="AE89" s="44">
        <f>LOS!R83</f>
        <v>126</v>
      </c>
      <c r="AF89" s="44">
        <f>LOS!S83</f>
        <v>167</v>
      </c>
      <c r="AG89" s="45"/>
      <c r="AH89" s="44" t="str">
        <f>LOS!W83</f>
        <v>C</v>
      </c>
      <c r="AI89" s="82">
        <f>(Trend!L83)</f>
        <v>-0.81038303260545497</v>
      </c>
      <c r="AJ89" s="77">
        <f>Cap!K83</f>
        <v>0</v>
      </c>
      <c r="AK89" s="77">
        <f>Cap!L83</f>
        <v>330</v>
      </c>
      <c r="AL89" s="77">
        <f>Cap!M83</f>
        <v>680</v>
      </c>
      <c r="AM89" s="77">
        <f>Cap!N83</f>
        <v>720</v>
      </c>
    </row>
    <row r="90" spans="2:39" x14ac:dyDescent="0.25">
      <c r="B90" s="48">
        <f>'2025MasterFile-Stat'!F84</f>
        <v>505</v>
      </c>
      <c r="C90" s="47" t="str">
        <f>'2025MasterFile-Stat'!B84</f>
        <v>Lake Francis Dr</v>
      </c>
      <c r="D90" s="47" t="str">
        <f>LEFT('2025MasterFile-Stat'!C84,FIND(" to ",'2025MasterFile-Stat'!C84)-1)</f>
        <v>Schopke Lester Rd</v>
      </c>
      <c r="E90" s="47" t="str">
        <f>RIGHT('2025MasterFile-Stat'!C84,LEN('2025MasterFile-Stat'!C84)-FIND(" to ",'2025MasterFile-Stat'!C84)-3)</f>
        <v>Errol Pkwy</v>
      </c>
      <c r="F90" s="44" t="str">
        <f>'2025MasterFile-Stat'!G84</f>
        <v>2L</v>
      </c>
      <c r="G90" s="44"/>
      <c r="H90" s="46" t="str">
        <f>'2025MasterFile-Stat'!H84</f>
        <v>D</v>
      </c>
      <c r="I90" s="44" t="str">
        <f>'2025MasterFile-Stat'!A84</f>
        <v>Min Coll</v>
      </c>
      <c r="J90" s="44"/>
      <c r="K90" s="44"/>
      <c r="L90" s="26">
        <f>IF(Cap!H84="A",Cap!O84,
 IF(Cap!H84="B",Cap!P84,
 IF(Cap!H84="C",Cap!Q84,
 IF(Cap!H84="D",Cap!R84,
 IF(Cap!H84="E",Cap!S84,"")))))</f>
        <v>13300</v>
      </c>
      <c r="M90" s="44"/>
      <c r="N90" s="44">
        <f>IF(Cap!H84="A",Cap!J84,
 IF(Cap!H84="B",Cap!K84,
 IF(Cap!H84="C",Cap!L84,
 IF(Cap!H84="D",Cap!M84,
 IF(Cap!H84="E",Cap!N84,"")))))</f>
        <v>680</v>
      </c>
      <c r="O90" s="44"/>
      <c r="P90" s="44"/>
      <c r="Q90" s="44"/>
      <c r="R90" s="44">
        <f>LOS!J84</f>
        <v>1173</v>
      </c>
      <c r="S90" s="45"/>
      <c r="T90" s="44" t="str">
        <f>LOS!K84</f>
        <v>C</v>
      </c>
      <c r="U90" s="44"/>
      <c r="V90" s="44"/>
      <c r="W90" s="44"/>
      <c r="X90" s="44"/>
      <c r="Y90" s="44"/>
      <c r="Z90" s="44"/>
      <c r="AA90" s="44">
        <f>LOS!L84</f>
        <v>38</v>
      </c>
      <c r="AB90" s="44">
        <f>LOS!M84</f>
        <v>47</v>
      </c>
      <c r="AC90" s="45"/>
      <c r="AD90" s="44" t="str">
        <f>LOS!Q84</f>
        <v>C</v>
      </c>
      <c r="AE90" s="44">
        <f>LOS!R84</f>
        <v>53</v>
      </c>
      <c r="AF90" s="44">
        <f>LOS!S84</f>
        <v>54</v>
      </c>
      <c r="AG90" s="45"/>
      <c r="AH90" s="44" t="str">
        <f>LOS!W84</f>
        <v>C</v>
      </c>
      <c r="AI90" s="82">
        <f>(Trend!L84)</f>
        <v>0.400682011935312</v>
      </c>
      <c r="AJ90" s="77">
        <f>Cap!K84</f>
        <v>0</v>
      </c>
      <c r="AK90" s="77">
        <f>Cap!L84</f>
        <v>330</v>
      </c>
      <c r="AL90" s="77">
        <f>Cap!M84</f>
        <v>680</v>
      </c>
      <c r="AM90" s="77">
        <f>Cap!N84</f>
        <v>720</v>
      </c>
    </row>
    <row r="91" spans="2:39" x14ac:dyDescent="0.25">
      <c r="B91" s="48" t="str">
        <f>'2025MasterFile-Stat'!F85</f>
        <v>67*</v>
      </c>
      <c r="C91" s="47" t="str">
        <f>'2025MasterFile-Stat'!B85</f>
        <v>Lakeville Rd</v>
      </c>
      <c r="D91" s="47" t="str">
        <f>LEFT('2025MasterFile-Stat'!C85,FIND(" to ",'2025MasterFile-Stat'!C85)-1)</f>
        <v>Beggs Rd</v>
      </c>
      <c r="E91" s="47" t="str">
        <f>RIGHT('2025MasterFile-Stat'!C85,LEN('2025MasterFile-Stat'!C85)-FIND(" to ",'2025MasterFile-Stat'!C85)-3)</f>
        <v>Clarcona Ocoee Rd</v>
      </c>
      <c r="F91" s="44" t="str">
        <f>'2025MasterFile-Stat'!G85</f>
        <v>2L</v>
      </c>
      <c r="G91" s="44"/>
      <c r="H91" s="46" t="str">
        <f>'2025MasterFile-Stat'!H85</f>
        <v>E</v>
      </c>
      <c r="I91" s="44" t="str">
        <f>'2025MasterFile-Stat'!A85</f>
        <v>Min Coll</v>
      </c>
      <c r="J91" s="44"/>
      <c r="K91" s="44"/>
      <c r="L91" s="26">
        <f>IF(Cap!H85="A",Cap!O85,
 IF(Cap!H85="B",Cap!P85,
 IF(Cap!H85="C",Cap!Q85,
 IF(Cap!H85="D",Cap!R85,
 IF(Cap!H85="E",Cap!S85,"")))))</f>
        <v>15900</v>
      </c>
      <c r="M91" s="44"/>
      <c r="N91" s="44">
        <f>IF(Cap!H85="A",Cap!J85,
 IF(Cap!H85="B",Cap!K85,
 IF(Cap!H85="C",Cap!L85,
 IF(Cap!H85="D",Cap!M85,
 IF(Cap!H85="E",Cap!N85,"")))))</f>
        <v>790</v>
      </c>
      <c r="O91" s="44"/>
      <c r="P91" s="44"/>
      <c r="Q91" s="44"/>
      <c r="R91" s="44">
        <f>LOS!J85</f>
        <v>5718</v>
      </c>
      <c r="S91" s="45"/>
      <c r="T91" s="44" t="str">
        <f>LOS!K85</f>
        <v>C</v>
      </c>
      <c r="U91" s="44"/>
      <c r="V91" s="44"/>
      <c r="W91" s="44"/>
      <c r="X91" s="44"/>
      <c r="Y91" s="44"/>
      <c r="Z91" s="44"/>
      <c r="AA91" s="44">
        <f>LOS!L85</f>
        <v>329</v>
      </c>
      <c r="AB91" s="44">
        <f>LOS!M85</f>
        <v>314</v>
      </c>
      <c r="AC91" s="45"/>
      <c r="AD91" s="44" t="str">
        <f>LOS!Q85</f>
        <v>C</v>
      </c>
      <c r="AE91" s="44">
        <f>LOS!R85</f>
        <v>222</v>
      </c>
      <c r="AF91" s="44">
        <f>LOS!S85</f>
        <v>278</v>
      </c>
      <c r="AG91" s="45"/>
      <c r="AH91" s="44" t="str">
        <f>LOS!W85</f>
        <v>C</v>
      </c>
      <c r="AI91" s="82">
        <f>(Trend!L85)</f>
        <v>-0.76214833759651701</v>
      </c>
      <c r="AJ91" s="77">
        <f>Cap!K85</f>
        <v>0</v>
      </c>
      <c r="AK91" s="77">
        <f>Cap!L85</f>
        <v>750</v>
      </c>
      <c r="AL91" s="77">
        <f>Cap!M85</f>
        <v>790</v>
      </c>
      <c r="AM91" s="77">
        <f>Cap!N85</f>
        <v>790</v>
      </c>
    </row>
    <row r="92" spans="2:39" x14ac:dyDescent="0.25">
      <c r="B92" s="48">
        <f>'2025MasterFile-Stat'!F86</f>
        <v>657</v>
      </c>
      <c r="C92" s="47" t="str">
        <f>'2025MasterFile-Stat'!B86</f>
        <v>Lakeville Rd</v>
      </c>
      <c r="D92" s="47" t="str">
        <f>LEFT('2025MasterFile-Stat'!C86,FIND(" to ",'2025MasterFile-Stat'!C86)-1)</f>
        <v>Apopka Blvd</v>
      </c>
      <c r="E92" s="47" t="str">
        <f>RIGHT('2025MasterFile-Stat'!C86,LEN('2025MasterFile-Stat'!C86)-FIND(" to ",'2025MasterFile-Stat'!C86)-3)</f>
        <v>Wildwood St</v>
      </c>
      <c r="F92" s="44" t="str">
        <f>'2025MasterFile-Stat'!G86</f>
        <v>2L</v>
      </c>
      <c r="G92" s="44"/>
      <c r="H92" s="46" t="str">
        <f>'2025MasterFile-Stat'!H86</f>
        <v>E</v>
      </c>
      <c r="I92" s="44" t="str">
        <f>'2025MasterFile-Stat'!A86</f>
        <v>Min Art</v>
      </c>
      <c r="J92" s="44"/>
      <c r="K92" s="44"/>
      <c r="L92" s="26">
        <f>IF(Cap!H86="A",Cap!O86,
 IF(Cap!H86="B",Cap!P86,
 IF(Cap!H86="C",Cap!Q86,
 IF(Cap!H86="D",Cap!R86,
 IF(Cap!H86="E",Cap!S86,"")))))</f>
        <v>17700</v>
      </c>
      <c r="M92" s="44"/>
      <c r="N92" s="44">
        <f>IF(Cap!H86="A",Cap!J86,
 IF(Cap!H86="B",Cap!K86,
 IF(Cap!H86="C",Cap!L86,
 IF(Cap!H86="D",Cap!M86,
 IF(Cap!H86="E",Cap!N86,"")))))</f>
        <v>880</v>
      </c>
      <c r="O92" s="44"/>
      <c r="P92" s="44"/>
      <c r="Q92" s="44"/>
      <c r="R92" s="44">
        <f>LOS!J86</f>
        <v>3693</v>
      </c>
      <c r="S92" s="45"/>
      <c r="T92" s="44" t="str">
        <f>LOS!K86</f>
        <v>C</v>
      </c>
      <c r="U92" s="44"/>
      <c r="V92" s="44"/>
      <c r="W92" s="44"/>
      <c r="X92" s="44"/>
      <c r="Y92" s="44"/>
      <c r="Z92" s="44"/>
      <c r="AA92" s="44">
        <f>LOS!L86</f>
        <v>137</v>
      </c>
      <c r="AB92" s="44">
        <f>LOS!M86</f>
        <v>90</v>
      </c>
      <c r="AC92" s="45"/>
      <c r="AD92" s="44" t="str">
        <f>LOS!Q86</f>
        <v>C</v>
      </c>
      <c r="AE92" s="44">
        <f>LOS!R86</f>
        <v>133</v>
      </c>
      <c r="AF92" s="44">
        <f>LOS!S86</f>
        <v>169</v>
      </c>
      <c r="AG92" s="45"/>
      <c r="AH92" s="44" t="str">
        <f>LOS!W86</f>
        <v>C</v>
      </c>
      <c r="AI92" s="82">
        <f>(Trend!L86)</f>
        <v>-18.007040346606502</v>
      </c>
      <c r="AJ92" s="77">
        <f>Cap!K86</f>
        <v>0</v>
      </c>
      <c r="AK92" s="77">
        <f>Cap!L86</f>
        <v>830</v>
      </c>
      <c r="AL92" s="77">
        <f>Cap!M86</f>
        <v>880</v>
      </c>
      <c r="AM92" s="77">
        <f>Cap!N86</f>
        <v>880</v>
      </c>
    </row>
    <row r="93" spans="2:39" x14ac:dyDescent="0.25">
      <c r="B93" s="48" t="str">
        <f>'2025MasterFile-Stat'!F87</f>
        <v>(30, 31)*</v>
      </c>
      <c r="C93" s="47" t="str">
        <f>'2025MasterFile-Stat'!B87</f>
        <v>Lakeville Rd</v>
      </c>
      <c r="D93" s="47" t="str">
        <f>LEFT('2025MasterFile-Stat'!C87,FIND(" to ",'2025MasterFile-Stat'!C87)-1)</f>
        <v>Wildwood St</v>
      </c>
      <c r="E93" s="47" t="str">
        <f>RIGHT('2025MasterFile-Stat'!C87,LEN('2025MasterFile-Stat'!C87)-FIND(" to ",'2025MasterFile-Stat'!C87)-3)</f>
        <v>Beggs Rd</v>
      </c>
      <c r="F93" s="44" t="str">
        <f>'2025MasterFile-Stat'!G87</f>
        <v>2L</v>
      </c>
      <c r="G93" s="44"/>
      <c r="H93" s="46" t="str">
        <f>'2025MasterFile-Stat'!H87</f>
        <v>E</v>
      </c>
      <c r="I93" s="44" t="str">
        <f>'2025MasterFile-Stat'!A87</f>
        <v>Min Coll</v>
      </c>
      <c r="J93" s="44"/>
      <c r="K93" s="44"/>
      <c r="L93" s="26">
        <f>IF(Cap!H87="A",Cap!O87,
 IF(Cap!H87="B",Cap!P87,
 IF(Cap!H87="C",Cap!Q87,
 IF(Cap!H87="D",Cap!R87,
 IF(Cap!H87="E",Cap!S87,"")))))</f>
        <v>15900</v>
      </c>
      <c r="M93" s="44"/>
      <c r="N93" s="44">
        <f>IF(Cap!H87="A",Cap!J87,
 IF(Cap!H87="B",Cap!K87,
 IF(Cap!H87="C",Cap!L87,
 IF(Cap!H87="D",Cap!M87,
 IF(Cap!H87="E",Cap!N87,"")))))</f>
        <v>790</v>
      </c>
      <c r="O93" s="44"/>
      <c r="P93" s="44"/>
      <c r="Q93" s="44"/>
      <c r="R93" s="44">
        <f>LOS!J87</f>
        <v>7629</v>
      </c>
      <c r="S93" s="45"/>
      <c r="T93" s="44" t="str">
        <f>LOS!K87</f>
        <v>C</v>
      </c>
      <c r="U93" s="44"/>
      <c r="V93" s="44"/>
      <c r="W93" s="44"/>
      <c r="X93" s="44"/>
      <c r="Y93" s="44"/>
      <c r="Z93" s="44"/>
      <c r="AA93" s="44">
        <f>LOS!L87</f>
        <v>396</v>
      </c>
      <c r="AB93" s="44">
        <f>LOS!M87</f>
        <v>305</v>
      </c>
      <c r="AC93" s="45"/>
      <c r="AD93" s="44" t="str">
        <f>LOS!Q87</f>
        <v>C</v>
      </c>
      <c r="AE93" s="44">
        <f>LOS!R87</f>
        <v>378</v>
      </c>
      <c r="AF93" s="44">
        <f>LOS!S87</f>
        <v>373</v>
      </c>
      <c r="AG93" s="45"/>
      <c r="AH93" s="44" t="str">
        <f>LOS!W87</f>
        <v>C</v>
      </c>
      <c r="AI93" s="82">
        <f>(Trend!L87)</f>
        <v>4.9912322652643599</v>
      </c>
      <c r="AJ93" s="77">
        <f>Cap!K87</f>
        <v>0</v>
      </c>
      <c r="AK93" s="77">
        <f>Cap!L87</f>
        <v>750</v>
      </c>
      <c r="AL93" s="77">
        <f>Cap!M87</f>
        <v>790</v>
      </c>
      <c r="AM93" s="77">
        <f>Cap!N87</f>
        <v>790</v>
      </c>
    </row>
    <row r="94" spans="2:39" x14ac:dyDescent="0.25">
      <c r="B94" s="48">
        <f>'2025MasterFile-Stat'!F88</f>
        <v>801</v>
      </c>
      <c r="C94" s="47" t="str">
        <f>'2025MasterFile-Stat'!B88</f>
        <v>Lester Rd</v>
      </c>
      <c r="D94" s="47" t="str">
        <f>LEFT('2025MasterFile-Stat'!C88,FIND(" to ",'2025MasterFile-Stat'!C88)-1)</f>
        <v>Schopke Lester Rd</v>
      </c>
      <c r="E94" s="47" t="str">
        <f>RIGHT('2025MasterFile-Stat'!C88,LEN('2025MasterFile-Stat'!C88)-FIND(" to ",'2025MasterFile-Stat'!C88)-3)</f>
        <v>Plymouth-Sorrento Rd (CR 437)</v>
      </c>
      <c r="F94" s="44" t="str">
        <f>'2025MasterFile-Stat'!G88</f>
        <v>2L</v>
      </c>
      <c r="G94" s="44"/>
      <c r="H94" s="46" t="str">
        <f>'2025MasterFile-Stat'!H88</f>
        <v>E</v>
      </c>
      <c r="I94" s="44" t="str">
        <f>'2025MasterFile-Stat'!A88</f>
        <v>Min Coll</v>
      </c>
      <c r="J94" s="44"/>
      <c r="K94" s="44"/>
      <c r="L94" s="26">
        <f>IF(Cap!H88="A",Cap!O88,
 IF(Cap!H88="B",Cap!P88,
 IF(Cap!H88="C",Cap!Q88,
 IF(Cap!H88="D",Cap!R88,
 IF(Cap!H88="E",Cap!S88,"")))))</f>
        <v>14000</v>
      </c>
      <c r="M94" s="44"/>
      <c r="N94" s="44">
        <f>IF(Cap!H88="A",Cap!J88,
 IF(Cap!H88="B",Cap!K88,
 IF(Cap!H88="C",Cap!L88,
 IF(Cap!H88="D",Cap!M88,
 IF(Cap!H88="E",Cap!N88,"")))))</f>
        <v>720</v>
      </c>
      <c r="O94" s="44"/>
      <c r="P94" s="44"/>
      <c r="Q94" s="44"/>
      <c r="R94" s="44">
        <f>LOS!J88</f>
        <v>5494</v>
      </c>
      <c r="S94" s="45"/>
      <c r="T94" s="44" t="str">
        <f>LOS!K88</f>
        <v>C</v>
      </c>
      <c r="U94" s="44"/>
      <c r="V94" s="44"/>
      <c r="W94" s="44"/>
      <c r="X94" s="44"/>
      <c r="Y94" s="44"/>
      <c r="Z94" s="44"/>
      <c r="AA94" s="44">
        <f>LOS!L88</f>
        <v>155</v>
      </c>
      <c r="AB94" s="44">
        <f>LOS!M88</f>
        <v>297</v>
      </c>
      <c r="AC94" s="45"/>
      <c r="AD94" s="44" t="str">
        <f>LOS!Q88</f>
        <v>C</v>
      </c>
      <c r="AE94" s="44">
        <f>LOS!R88</f>
        <v>292</v>
      </c>
      <c r="AF94" s="44">
        <f>LOS!S88</f>
        <v>179</v>
      </c>
      <c r="AG94" s="45"/>
      <c r="AH94" s="44" t="str">
        <f>LOS!W88</f>
        <v>C</v>
      </c>
      <c r="AI94" s="82">
        <f>(Trend!L88)</f>
        <v>1.7710229341105901</v>
      </c>
      <c r="AJ94" s="77">
        <f>Cap!K88</f>
        <v>0</v>
      </c>
      <c r="AK94" s="77">
        <f>Cap!L88</f>
        <v>330</v>
      </c>
      <c r="AL94" s="77">
        <f>Cap!M88</f>
        <v>680</v>
      </c>
      <c r="AM94" s="77">
        <f>Cap!N88</f>
        <v>720</v>
      </c>
    </row>
    <row r="95" spans="2:39" x14ac:dyDescent="0.25">
      <c r="B95" s="48">
        <f>'2025MasterFile-Stat'!F89</f>
        <v>506</v>
      </c>
      <c r="C95" s="47" t="str">
        <f>'2025MasterFile-Stat'!B89</f>
        <v>Lester Rd</v>
      </c>
      <c r="D95" s="47" t="str">
        <f>LEFT('2025MasterFile-Stat'!C89,FIND(" to ",'2025MasterFile-Stat'!C89)-1)</f>
        <v>Vick Rd</v>
      </c>
      <c r="E95" s="47" t="str">
        <f>RIGHT('2025MasterFile-Stat'!C89,LEN('2025MasterFile-Stat'!C89)-FIND(" to ",'2025MasterFile-Stat'!C89)-3)</f>
        <v>Schopke Lester Rd</v>
      </c>
      <c r="F95" s="44" t="str">
        <f>'2025MasterFile-Stat'!G89</f>
        <v>2L</v>
      </c>
      <c r="G95" s="44"/>
      <c r="H95" s="46" t="str">
        <f>'2025MasterFile-Stat'!H89</f>
        <v>E</v>
      </c>
      <c r="I95" s="44" t="str">
        <f>'2025MasterFile-Stat'!A89</f>
        <v>Min Coll</v>
      </c>
      <c r="J95" s="44"/>
      <c r="K95" s="44"/>
      <c r="L95" s="26">
        <f>IF(Cap!H89="A",Cap!O89,
 IF(Cap!H89="B",Cap!P89,
 IF(Cap!H89="C",Cap!Q89,
 IF(Cap!H89="D",Cap!R89,
 IF(Cap!H89="E",Cap!S89,"")))))</f>
        <v>14000</v>
      </c>
      <c r="M95" s="44"/>
      <c r="N95" s="44">
        <f>IF(Cap!H89="A",Cap!J89,
 IF(Cap!H89="B",Cap!K89,
 IF(Cap!H89="C",Cap!L89,
 IF(Cap!H89="D",Cap!M89,
 IF(Cap!H89="E",Cap!N89,"")))))</f>
        <v>720</v>
      </c>
      <c r="O95" s="44"/>
      <c r="P95" s="44"/>
      <c r="Q95" s="44"/>
      <c r="R95" s="44">
        <f>LOS!J89</f>
        <v>6465</v>
      </c>
      <c r="S95" s="45"/>
      <c r="T95" s="44" t="str">
        <f>LOS!K89</f>
        <v>C</v>
      </c>
      <c r="U95" s="44"/>
      <c r="V95" s="44"/>
      <c r="W95" s="44"/>
      <c r="X95" s="44"/>
      <c r="Y95" s="44"/>
      <c r="Z95" s="44"/>
      <c r="AA95" s="44">
        <f>LOS!L89</f>
        <v>339</v>
      </c>
      <c r="AB95" s="44">
        <f>LOS!M89</f>
        <v>218</v>
      </c>
      <c r="AC95" s="45"/>
      <c r="AD95" s="44" t="str">
        <f>LOS!Q89</f>
        <v>D</v>
      </c>
      <c r="AE95" s="44">
        <f>LOS!R89</f>
        <v>260</v>
      </c>
      <c r="AF95" s="44">
        <f>LOS!S89</f>
        <v>297</v>
      </c>
      <c r="AG95" s="45"/>
      <c r="AH95" s="44" t="str">
        <f>LOS!W89</f>
        <v>C</v>
      </c>
      <c r="AI95" s="82">
        <f>(Trend!L89)</f>
        <v>-0.83526682134585295</v>
      </c>
      <c r="AJ95" s="77">
        <f>Cap!K89</f>
        <v>0</v>
      </c>
      <c r="AK95" s="77">
        <f>Cap!L89</f>
        <v>330</v>
      </c>
      <c r="AL95" s="77">
        <f>Cap!M89</f>
        <v>680</v>
      </c>
      <c r="AM95" s="77">
        <f>Cap!N89</f>
        <v>720</v>
      </c>
    </row>
    <row r="96" spans="2:39" x14ac:dyDescent="0.25">
      <c r="B96" s="48">
        <f>'2025MasterFile-Stat'!F90</f>
        <v>583</v>
      </c>
      <c r="C96" s="47" t="str">
        <f>'2025MasterFile-Stat'!B90</f>
        <v>Lester Rd</v>
      </c>
      <c r="D96" s="47" t="str">
        <f>LEFT('2025MasterFile-Stat'!C90,FIND(" to ",'2025MasterFile-Stat'!C90)-1)</f>
        <v>Rock Springs Rd</v>
      </c>
      <c r="E96" s="47" t="str">
        <f>RIGHT('2025MasterFile-Stat'!C90,LEN('2025MasterFile-Stat'!C90)-FIND(" to ",'2025MasterFile-Stat'!C90)-3)</f>
        <v>Vick Rd</v>
      </c>
      <c r="F96" s="44" t="str">
        <f>'2025MasterFile-Stat'!G90</f>
        <v>2L</v>
      </c>
      <c r="G96" s="44"/>
      <c r="H96" s="46" t="str">
        <f>'2025MasterFile-Stat'!H90</f>
        <v>E</v>
      </c>
      <c r="I96" s="44" t="str">
        <f>'2025MasterFile-Stat'!A90</f>
        <v>Min Coll</v>
      </c>
      <c r="J96" s="44"/>
      <c r="K96" s="44"/>
      <c r="L96" s="26">
        <f>IF(Cap!H90="A",Cap!O90,
 IF(Cap!H90="B",Cap!P90,
 IF(Cap!H90="C",Cap!Q90,
 IF(Cap!H90="D",Cap!R90,
 IF(Cap!H90="E",Cap!S90,"")))))</f>
        <v>14000</v>
      </c>
      <c r="M96" s="44"/>
      <c r="N96" s="44">
        <f>IF(Cap!H90="A",Cap!J90,
 IF(Cap!H90="B",Cap!K90,
 IF(Cap!H90="C",Cap!L90,
 IF(Cap!H90="D",Cap!M90,
 IF(Cap!H90="E",Cap!N90,"")))))</f>
        <v>720</v>
      </c>
      <c r="O96" s="44"/>
      <c r="P96" s="44"/>
      <c r="Q96" s="44"/>
      <c r="R96" s="44">
        <f>LOS!J90</f>
        <v>5964</v>
      </c>
      <c r="S96" s="45"/>
      <c r="T96" s="44" t="str">
        <f>LOS!K90</f>
        <v>C</v>
      </c>
      <c r="U96" s="44"/>
      <c r="V96" s="44"/>
      <c r="W96" s="44"/>
      <c r="X96" s="44"/>
      <c r="Y96" s="44"/>
      <c r="Z96" s="44"/>
      <c r="AA96" s="44">
        <f>LOS!L90</f>
        <v>266</v>
      </c>
      <c r="AB96" s="44">
        <f>LOS!M90</f>
        <v>193</v>
      </c>
      <c r="AC96" s="45"/>
      <c r="AD96" s="44" t="str">
        <f>LOS!Q90</f>
        <v>C</v>
      </c>
      <c r="AE96" s="44">
        <f>LOS!R90</f>
        <v>240</v>
      </c>
      <c r="AF96" s="44">
        <f>LOS!S90</f>
        <v>298</v>
      </c>
      <c r="AG96" s="45"/>
      <c r="AH96" s="44" t="str">
        <f>LOS!W90</f>
        <v>C</v>
      </c>
      <c r="AI96" s="82">
        <f>(Trend!L90)</f>
        <v>0.18276324614362399</v>
      </c>
      <c r="AJ96" s="77">
        <f>Cap!K90</f>
        <v>0</v>
      </c>
      <c r="AK96" s="77">
        <f>Cap!L90</f>
        <v>330</v>
      </c>
      <c r="AL96" s="77">
        <f>Cap!M90</f>
        <v>680</v>
      </c>
      <c r="AM96" s="77">
        <f>Cap!N90</f>
        <v>720</v>
      </c>
    </row>
    <row r="97" spans="2:39" x14ac:dyDescent="0.25">
      <c r="B97" s="48">
        <f>'2025MasterFile-Stat'!F91</f>
        <v>526</v>
      </c>
      <c r="C97" s="47" t="str">
        <f>'2025MasterFile-Stat'!B91</f>
        <v>Lust Rd</v>
      </c>
      <c r="D97" s="47" t="str">
        <f>LEFT('2025MasterFile-Stat'!C91,FIND(" to ",'2025MasterFile-Stat'!C91)-1)</f>
        <v>Binion Rd</v>
      </c>
      <c r="E97" s="47" t="str">
        <f>RIGHT('2025MasterFile-Stat'!C91,LEN('2025MasterFile-Stat'!C91)-FIND(" to ",'2025MasterFile-Stat'!C91)-3)</f>
        <v>Avian Pointe Blvd</v>
      </c>
      <c r="F97" s="44" t="str">
        <f>'2025MasterFile-Stat'!G91</f>
        <v>2L</v>
      </c>
      <c r="G97" s="44"/>
      <c r="H97" s="46" t="str">
        <f>'2025MasterFile-Stat'!H91</f>
        <v>E</v>
      </c>
      <c r="I97" s="44" t="str">
        <f>'2025MasterFile-Stat'!A91</f>
        <v>Min Coll</v>
      </c>
      <c r="J97" s="44"/>
      <c r="K97" s="44"/>
      <c r="L97" s="26">
        <f>IF(Cap!H91="A",Cap!O91,
 IF(Cap!H91="B",Cap!P91,
 IF(Cap!H91="C",Cap!Q91,
 IF(Cap!H91="D",Cap!R91,
 IF(Cap!H91="E",Cap!S91,"")))))</f>
        <v>14000</v>
      </c>
      <c r="M97" s="44"/>
      <c r="N97" s="44">
        <f>IF(Cap!H91="A",Cap!J91,
 IF(Cap!H91="B",Cap!K91,
 IF(Cap!H91="C",Cap!L91,
 IF(Cap!H91="D",Cap!M91,
 IF(Cap!H91="E",Cap!N91,"")))))</f>
        <v>720</v>
      </c>
      <c r="O97" s="44"/>
      <c r="P97" s="44"/>
      <c r="Q97" s="44"/>
      <c r="R97" s="44">
        <f>LOS!J91</f>
        <v>1666</v>
      </c>
      <c r="S97" s="45"/>
      <c r="T97" s="44" t="str">
        <f>LOS!K91</f>
        <v>C</v>
      </c>
      <c r="U97" s="44"/>
      <c r="V97" s="44"/>
      <c r="W97" s="44"/>
      <c r="X97" s="44"/>
      <c r="Y97" s="44"/>
      <c r="Z97" s="44"/>
      <c r="AA97" s="44">
        <f>LOS!L91</f>
        <v>111</v>
      </c>
      <c r="AB97" s="44">
        <f>LOS!M91</f>
        <v>31</v>
      </c>
      <c r="AC97" s="45"/>
      <c r="AD97" s="44" t="str">
        <f>LOS!Q91</f>
        <v>C</v>
      </c>
      <c r="AE97" s="44">
        <f>LOS!R91</f>
        <v>45</v>
      </c>
      <c r="AF97" s="44">
        <f>LOS!S91</f>
        <v>85</v>
      </c>
      <c r="AG97" s="45"/>
      <c r="AH97" s="44" t="str">
        <f>LOS!W91</f>
        <v>C</v>
      </c>
      <c r="AI97" s="82">
        <f>(Trend!L91)</f>
        <v>16.7707082833169</v>
      </c>
      <c r="AJ97" s="77">
        <f>Cap!K91</f>
        <v>0</v>
      </c>
      <c r="AK97" s="77">
        <f>Cap!L91</f>
        <v>330</v>
      </c>
      <c r="AL97" s="77">
        <f>Cap!M91</f>
        <v>680</v>
      </c>
      <c r="AM97" s="77">
        <f>Cap!N91</f>
        <v>720</v>
      </c>
    </row>
    <row r="98" spans="2:39" x14ac:dyDescent="0.25">
      <c r="B98" s="48">
        <f>'2025MasterFile-Stat'!F92</f>
        <v>413</v>
      </c>
      <c r="C98" s="47" t="str">
        <f>'2025MasterFile-Stat'!B92</f>
        <v>Magee Avenue</v>
      </c>
      <c r="D98" s="47" t="str">
        <f>LEFT('2025MasterFile-Stat'!C92,FIND(" to ",'2025MasterFile-Stat'!C92)-1)</f>
        <v>US 441</v>
      </c>
      <c r="E98" s="47" t="str">
        <f>RIGHT('2025MasterFile-Stat'!C92,LEN('2025MasterFile-Stat'!C92)-FIND(" to ",'2025MasterFile-Stat'!C92)-3)</f>
        <v>E 6th Street</v>
      </c>
      <c r="F98" s="44" t="str">
        <f>'2025MasterFile-Stat'!G92</f>
        <v>2L</v>
      </c>
      <c r="G98" s="44"/>
      <c r="H98" s="46" t="str">
        <f>'2025MasterFile-Stat'!H92</f>
        <v>E</v>
      </c>
      <c r="I98" s="44" t="str">
        <f>'2025MasterFile-Stat'!A92</f>
        <v>Min Coll</v>
      </c>
      <c r="J98" s="44"/>
      <c r="K98" s="44"/>
      <c r="L98" s="26">
        <f>IF(Cap!H92="A",Cap!O92,
 IF(Cap!H92="B",Cap!P92,
 IF(Cap!H92="C",Cap!Q92,
 IF(Cap!H92="D",Cap!R92,
 IF(Cap!H92="E",Cap!S92,"")))))</f>
        <v>10100</v>
      </c>
      <c r="M98" s="44"/>
      <c r="N98" s="44">
        <f>IF(Cap!H92="A",Cap!J92,
 IF(Cap!H92="B",Cap!K92,
 IF(Cap!H92="C",Cap!L92,
 IF(Cap!H92="D",Cap!M92,
 IF(Cap!H92="E",Cap!N92,"")))))</f>
        <v>520</v>
      </c>
      <c r="O98" s="44"/>
      <c r="P98" s="44"/>
      <c r="Q98" s="44"/>
      <c r="R98" s="44">
        <f>LOS!J92</f>
        <v>939</v>
      </c>
      <c r="S98" s="45"/>
      <c r="T98" s="44" t="str">
        <f>LOS!K92</f>
        <v>C</v>
      </c>
      <c r="U98" s="44"/>
      <c r="V98" s="44"/>
      <c r="W98" s="44"/>
      <c r="X98" s="44"/>
      <c r="Y98" s="44"/>
      <c r="Z98" s="44"/>
      <c r="AA98" s="44">
        <f>LOS!L92</f>
        <v>25</v>
      </c>
      <c r="AB98" s="44">
        <f>LOS!M92</f>
        <v>32</v>
      </c>
      <c r="AC98" s="45"/>
      <c r="AD98" s="44" t="str">
        <f>LOS!Q92</f>
        <v>C</v>
      </c>
      <c r="AE98" s="44">
        <f>LOS!R92</f>
        <v>33</v>
      </c>
      <c r="AF98" s="44">
        <f>LOS!S92</f>
        <v>60</v>
      </c>
      <c r="AG98" s="45"/>
      <c r="AH98" s="44" t="str">
        <f>LOS!W92</f>
        <v>C</v>
      </c>
      <c r="AI98" s="82" t="str">
        <f>(Trend!L92)</f>
        <v>N/A</v>
      </c>
      <c r="AJ98" s="77">
        <f>Cap!K92</f>
        <v>0</v>
      </c>
      <c r="AK98" s="77">
        <f>Cap!L92</f>
        <v>240</v>
      </c>
      <c r="AL98" s="77">
        <f>Cap!M92</f>
        <v>490</v>
      </c>
      <c r="AM98" s="77">
        <f>Cap!N92</f>
        <v>520</v>
      </c>
    </row>
    <row r="99" spans="2:39" x14ac:dyDescent="0.25">
      <c r="B99" s="48">
        <f>'2025MasterFile-Stat'!F93</f>
        <v>412</v>
      </c>
      <c r="C99" s="47" t="str">
        <f>'2025MasterFile-Stat'!B93</f>
        <v>Magee Avenue</v>
      </c>
      <c r="D99" s="47" t="str">
        <f>LEFT('2025MasterFile-Stat'!C93,FIND(" to ",'2025MasterFile-Stat'!C93)-1)</f>
        <v>Monroe Ave</v>
      </c>
      <c r="E99" s="47" t="str">
        <f>RIGHT('2025MasterFile-Stat'!C93,LEN('2025MasterFile-Stat'!C93)-FIND(" to ",'2025MasterFile-Stat'!C93)-3)</f>
        <v>US 441</v>
      </c>
      <c r="F99" s="44" t="str">
        <f>'2025MasterFile-Stat'!G93</f>
        <v>2L</v>
      </c>
      <c r="G99" s="44"/>
      <c r="H99" s="46" t="str">
        <f>'2025MasterFile-Stat'!H93</f>
        <v>E</v>
      </c>
      <c r="I99" s="44" t="str">
        <f>'2025MasterFile-Stat'!A93</f>
        <v>Min Coll</v>
      </c>
      <c r="J99" s="44"/>
      <c r="K99" s="44"/>
      <c r="L99" s="26">
        <f>IF(Cap!H93="A",Cap!O93,
 IF(Cap!H93="B",Cap!P93,
 IF(Cap!H93="C",Cap!Q93,
 IF(Cap!H93="D",Cap!R93,
 IF(Cap!H93="E",Cap!S93,"")))))</f>
        <v>14000</v>
      </c>
      <c r="M99" s="44"/>
      <c r="N99" s="44">
        <f>IF(Cap!H93="A",Cap!J93,
 IF(Cap!H93="B",Cap!K93,
 IF(Cap!H93="C",Cap!L93,
 IF(Cap!H93="D",Cap!M93,
 IF(Cap!H93="E",Cap!N93,"")))))</f>
        <v>720</v>
      </c>
      <c r="O99" s="44"/>
      <c r="P99" s="44"/>
      <c r="Q99" s="44"/>
      <c r="R99" s="44">
        <f>LOS!J93</f>
        <v>1864</v>
      </c>
      <c r="S99" s="45"/>
      <c r="T99" s="44" t="str">
        <f>LOS!K93</f>
        <v>C</v>
      </c>
      <c r="U99" s="44"/>
      <c r="V99" s="44"/>
      <c r="W99" s="44"/>
      <c r="X99" s="44"/>
      <c r="Y99" s="44"/>
      <c r="Z99" s="44"/>
      <c r="AA99" s="44">
        <f>LOS!L93</f>
        <v>43</v>
      </c>
      <c r="AB99" s="44">
        <f>LOS!M93</f>
        <v>37</v>
      </c>
      <c r="AC99" s="45"/>
      <c r="AD99" s="44" t="str">
        <f>LOS!Q93</f>
        <v>C</v>
      </c>
      <c r="AE99" s="44">
        <f>LOS!R93</f>
        <v>159</v>
      </c>
      <c r="AF99" s="44">
        <f>LOS!S93</f>
        <v>54</v>
      </c>
      <c r="AG99" s="45"/>
      <c r="AH99" s="44" t="str">
        <f>LOS!W93</f>
        <v>C</v>
      </c>
      <c r="AI99" s="82" t="str">
        <f>(Trend!L93)</f>
        <v>N/A</v>
      </c>
      <c r="AJ99" s="77">
        <f>Cap!K93</f>
        <v>0</v>
      </c>
      <c r="AK99" s="77">
        <f>Cap!L93</f>
        <v>330</v>
      </c>
      <c r="AL99" s="77">
        <f>Cap!M93</f>
        <v>680</v>
      </c>
      <c r="AM99" s="77">
        <f>Cap!N93</f>
        <v>720</v>
      </c>
    </row>
    <row r="100" spans="2:39" x14ac:dyDescent="0.25">
      <c r="B100" s="48">
        <f>'2025MasterFile-Stat'!F94</f>
        <v>569</v>
      </c>
      <c r="C100" s="47" t="str">
        <f>'2025MasterFile-Stat'!B94</f>
        <v>Marden Rd</v>
      </c>
      <c r="D100" s="47" t="str">
        <f>LEFT('2025MasterFile-Stat'!C94,FIND(" to ",'2025MasterFile-Stat'!C94)-1)</f>
        <v>SR 414</v>
      </c>
      <c r="E100" s="47" t="str">
        <f>RIGHT('2025MasterFile-Stat'!C94,LEN('2025MasterFile-Stat'!C94)-FIND(" to ",'2025MasterFile-Stat'!C94)-3)</f>
        <v>Keene Rd</v>
      </c>
      <c r="F100" s="44" t="str">
        <f>'2025MasterFile-Stat'!G94</f>
        <v>2L</v>
      </c>
      <c r="G100" s="44"/>
      <c r="H100" s="46" t="str">
        <f>'2025MasterFile-Stat'!H94</f>
        <v>E</v>
      </c>
      <c r="I100" s="44" t="str">
        <f>'2025MasterFile-Stat'!A94</f>
        <v>Min Coll</v>
      </c>
      <c r="J100" s="44"/>
      <c r="K100" s="44"/>
      <c r="L100" s="26">
        <f>IF(Cap!H94="A",Cap!O94,
 IF(Cap!H94="B",Cap!P94,
 IF(Cap!H94="C",Cap!Q94,
 IF(Cap!H94="D",Cap!R94,
 IF(Cap!H94="E",Cap!S94,"")))))</f>
        <v>14000</v>
      </c>
      <c r="M100" s="44"/>
      <c r="N100" s="44">
        <f>IF(Cap!H94="A",Cap!J94,
 IF(Cap!H94="B",Cap!K94,
 IF(Cap!H94="C",Cap!L94,
 IF(Cap!H94="D",Cap!M94,
 IF(Cap!H94="E",Cap!N94,"")))))</f>
        <v>720</v>
      </c>
      <c r="O100" s="44"/>
      <c r="P100" s="44"/>
      <c r="Q100" s="44"/>
      <c r="R100" s="44">
        <f>LOS!J94</f>
        <v>2371</v>
      </c>
      <c r="S100" s="45"/>
      <c r="T100" s="44" t="str">
        <f>LOS!K94</f>
        <v>C</v>
      </c>
      <c r="U100" s="44"/>
      <c r="V100" s="44"/>
      <c r="W100" s="44"/>
      <c r="X100" s="44"/>
      <c r="Y100" s="44"/>
      <c r="Z100" s="44"/>
      <c r="AA100" s="44">
        <f>LOS!L94</f>
        <v>113</v>
      </c>
      <c r="AB100" s="44">
        <f>LOS!M94</f>
        <v>109</v>
      </c>
      <c r="AC100" s="45"/>
      <c r="AD100" s="44" t="str">
        <f>LOS!Q94</f>
        <v>C</v>
      </c>
      <c r="AE100" s="44">
        <f>LOS!R94</f>
        <v>141</v>
      </c>
      <c r="AF100" s="44">
        <f>LOS!S94</f>
        <v>74</v>
      </c>
      <c r="AG100" s="45"/>
      <c r="AH100" s="44" t="str">
        <f>LOS!W94</f>
        <v>C</v>
      </c>
      <c r="AI100" s="82">
        <f>(Trend!L94)</f>
        <v>-9.9873471109272707</v>
      </c>
      <c r="AJ100" s="77">
        <f>Cap!K94</f>
        <v>0</v>
      </c>
      <c r="AK100" s="77">
        <f>Cap!L94</f>
        <v>330</v>
      </c>
      <c r="AL100" s="77">
        <f>Cap!M94</f>
        <v>680</v>
      </c>
      <c r="AM100" s="77">
        <f>Cap!N94</f>
        <v>720</v>
      </c>
    </row>
    <row r="101" spans="2:39" x14ac:dyDescent="0.25">
      <c r="B101" s="48">
        <f>'2025MasterFile-Stat'!F95</f>
        <v>560</v>
      </c>
      <c r="C101" s="47" t="str">
        <f>'2025MasterFile-Stat'!B95</f>
        <v>Marden Rd</v>
      </c>
      <c r="D101" s="47" t="str">
        <f>LEFT('2025MasterFile-Stat'!C95,FIND(" to ",'2025MasterFile-Stat'!C95)-1)</f>
        <v>Marden Ridge Lp</v>
      </c>
      <c r="E101" s="47" t="str">
        <f>RIGHT('2025MasterFile-Stat'!C95,LEN('2025MasterFile-Stat'!C95)-FIND(" to ",'2025MasterFile-Stat'!C95)-3)</f>
        <v>SR 414</v>
      </c>
      <c r="F101" s="44" t="str">
        <f>'2025MasterFile-Stat'!G95</f>
        <v>2L</v>
      </c>
      <c r="G101" s="44"/>
      <c r="H101" s="46" t="str">
        <f>'2025MasterFile-Stat'!H95</f>
        <v>E</v>
      </c>
      <c r="I101" s="44" t="str">
        <f>'2025MasterFile-Stat'!A95</f>
        <v>Min Coll</v>
      </c>
      <c r="J101" s="44"/>
      <c r="K101" s="44"/>
      <c r="L101" s="26">
        <f>IF(Cap!H95="A",Cap!O95,
 IF(Cap!H95="B",Cap!P95,
 IF(Cap!H95="C",Cap!Q95,
 IF(Cap!H95="D",Cap!R95,
 IF(Cap!H95="E",Cap!S95,"")))))</f>
        <v>14000</v>
      </c>
      <c r="M101" s="44"/>
      <c r="N101" s="44">
        <f>IF(Cap!H95="A",Cap!J95,
 IF(Cap!H95="B",Cap!K95,
 IF(Cap!H95="C",Cap!L95,
 IF(Cap!H95="D",Cap!M95,
 IF(Cap!H95="E",Cap!N95,"")))))</f>
        <v>720</v>
      </c>
      <c r="O101" s="44"/>
      <c r="P101" s="44"/>
      <c r="Q101" s="44"/>
      <c r="R101" s="44">
        <f>LOS!J95</f>
        <v>6969</v>
      </c>
      <c r="S101" s="45"/>
      <c r="T101" s="44" t="str">
        <f>LOS!K95</f>
        <v>D</v>
      </c>
      <c r="U101" s="44"/>
      <c r="V101" s="44"/>
      <c r="W101" s="44"/>
      <c r="X101" s="44"/>
      <c r="Y101" s="44"/>
      <c r="Z101" s="44"/>
      <c r="AA101" s="44">
        <f>LOS!L95</f>
        <v>301</v>
      </c>
      <c r="AB101" s="44">
        <f>LOS!M95</f>
        <v>358</v>
      </c>
      <c r="AC101" s="45"/>
      <c r="AD101" s="44" t="str">
        <f>LOS!Q95</f>
        <v>D</v>
      </c>
      <c r="AE101" s="44">
        <f>LOS!R95</f>
        <v>281</v>
      </c>
      <c r="AF101" s="44">
        <f>LOS!S95</f>
        <v>260</v>
      </c>
      <c r="AG101" s="45"/>
      <c r="AH101" s="44" t="str">
        <f>LOS!W95</f>
        <v>C</v>
      </c>
      <c r="AI101" s="82">
        <f>(Trend!L95)</f>
        <v>9.9913904433946605</v>
      </c>
      <c r="AJ101" s="77">
        <f>Cap!K95</f>
        <v>0</v>
      </c>
      <c r="AK101" s="77">
        <f>Cap!L95</f>
        <v>330</v>
      </c>
      <c r="AL101" s="77">
        <f>Cap!M95</f>
        <v>680</v>
      </c>
      <c r="AM101" s="77">
        <f>Cap!N95</f>
        <v>720</v>
      </c>
    </row>
    <row r="102" spans="2:39" x14ac:dyDescent="0.25">
      <c r="B102" s="48">
        <f>'2025MasterFile-Stat'!F96</f>
        <v>555</v>
      </c>
      <c r="C102" s="47" t="str">
        <f>'2025MasterFile-Stat'!B96</f>
        <v>Marden Rd</v>
      </c>
      <c r="D102" s="47" t="str">
        <f>LEFT('2025MasterFile-Stat'!C96,FIND(" to ",'2025MasterFile-Stat'!C96)-1)</f>
        <v>Ocoee-Apopka Rd</v>
      </c>
      <c r="E102" s="47" t="str">
        <f>RIGHT('2025MasterFile-Stat'!C96,LEN('2025MasterFile-Stat'!C96)-FIND(" to ",'2025MasterFile-Stat'!C96)-3)</f>
        <v>Marden Ridge Lp</v>
      </c>
      <c r="F102" s="44" t="str">
        <f>'2025MasterFile-Stat'!G96</f>
        <v>2L</v>
      </c>
      <c r="G102" s="44"/>
      <c r="H102" s="46" t="str">
        <f>'2025MasterFile-Stat'!H96</f>
        <v>E</v>
      </c>
      <c r="I102" s="44" t="str">
        <f>'2025MasterFile-Stat'!A96</f>
        <v>Min Coll</v>
      </c>
      <c r="J102" s="44"/>
      <c r="K102" s="44"/>
      <c r="L102" s="26">
        <f>IF(Cap!H96="A",Cap!O96,
 IF(Cap!H96="B",Cap!P96,
 IF(Cap!H96="C",Cap!Q96,
 IF(Cap!H96="D",Cap!R96,
 IF(Cap!H96="E",Cap!S96,"")))))</f>
        <v>14000</v>
      </c>
      <c r="M102" s="44"/>
      <c r="N102" s="44">
        <f>IF(Cap!H96="A",Cap!J96,
 IF(Cap!H96="B",Cap!K96,
 IF(Cap!H96="C",Cap!L96,
 IF(Cap!H96="D",Cap!M96,
 IF(Cap!H96="E",Cap!N96,"")))))</f>
        <v>720</v>
      </c>
      <c r="O102" s="44"/>
      <c r="P102" s="44"/>
      <c r="Q102" s="44"/>
      <c r="R102" s="44">
        <f>LOS!J96</f>
        <v>5936</v>
      </c>
      <c r="S102" s="45"/>
      <c r="T102" s="44" t="str">
        <f>LOS!K96</f>
        <v>C</v>
      </c>
      <c r="U102" s="44"/>
      <c r="V102" s="44"/>
      <c r="W102" s="44"/>
      <c r="X102" s="44"/>
      <c r="Y102" s="44"/>
      <c r="Z102" s="44"/>
      <c r="AA102" s="44">
        <f>LOS!L96</f>
        <v>271</v>
      </c>
      <c r="AB102" s="44">
        <f>LOS!M96</f>
        <v>325</v>
      </c>
      <c r="AC102" s="45"/>
      <c r="AD102" s="44" t="str">
        <f>LOS!Q96</f>
        <v>C</v>
      </c>
      <c r="AE102" s="44">
        <f>LOS!R96</f>
        <v>228</v>
      </c>
      <c r="AF102" s="44">
        <f>LOS!S96</f>
        <v>240</v>
      </c>
      <c r="AG102" s="45"/>
      <c r="AH102" s="44" t="str">
        <f>LOS!W96</f>
        <v>C</v>
      </c>
      <c r="AI102" s="82">
        <f>(Trend!L96)</f>
        <v>1.0747978436660599</v>
      </c>
      <c r="AJ102" s="77">
        <f>Cap!K96</f>
        <v>0</v>
      </c>
      <c r="AK102" s="77">
        <f>Cap!L96</f>
        <v>330</v>
      </c>
      <c r="AL102" s="77">
        <f>Cap!M96</f>
        <v>680</v>
      </c>
      <c r="AM102" s="77">
        <f>Cap!N96</f>
        <v>720</v>
      </c>
    </row>
    <row r="103" spans="2:39" x14ac:dyDescent="0.25">
      <c r="B103" s="48">
        <f>'2025MasterFile-Stat'!F97</f>
        <v>584</v>
      </c>
      <c r="C103" s="47" t="str">
        <f>'2025MasterFile-Stat'!B97</f>
        <v>Marshall Lake Rd</v>
      </c>
      <c r="D103" s="47" t="str">
        <f>LEFT('2025MasterFile-Stat'!C97,FIND(" to ",'2025MasterFile-Stat'!C97)-1)</f>
        <v>SR 451</v>
      </c>
      <c r="E103" s="47" t="str">
        <f>RIGHT('2025MasterFile-Stat'!C97,LEN('2025MasterFile-Stat'!C97)-FIND(" to ",'2025MasterFile-Stat'!C97)-3)</f>
        <v>Bradshaw Rd</v>
      </c>
      <c r="F103" s="44" t="str">
        <f>'2025MasterFile-Stat'!G97</f>
        <v>2L</v>
      </c>
      <c r="G103" s="44"/>
      <c r="H103" s="46" t="str">
        <f>'2025MasterFile-Stat'!H97</f>
        <v>E</v>
      </c>
      <c r="I103" s="44" t="str">
        <f>'2025MasterFile-Stat'!A97</f>
        <v>Min Coll</v>
      </c>
      <c r="J103" s="44"/>
      <c r="K103" s="44"/>
      <c r="L103" s="26">
        <f>IF(Cap!H97="A",Cap!O97,
 IF(Cap!H97="B",Cap!P97,
 IF(Cap!H97="C",Cap!Q97,
 IF(Cap!H97="D",Cap!R97,
 IF(Cap!H97="E",Cap!S97,"")))))</f>
        <v>14000</v>
      </c>
      <c r="M103" s="44"/>
      <c r="N103" s="44">
        <f>IF(Cap!H97="A",Cap!J97,
 IF(Cap!H97="B",Cap!K97,
 IF(Cap!H97="C",Cap!L97,
 IF(Cap!H97="D",Cap!M97,
 IF(Cap!H97="E",Cap!N97,"")))))</f>
        <v>720</v>
      </c>
      <c r="O103" s="44"/>
      <c r="P103" s="44"/>
      <c r="Q103" s="44"/>
      <c r="R103" s="44">
        <f>LOS!J97</f>
        <v>1187</v>
      </c>
      <c r="S103" s="45"/>
      <c r="T103" s="44" t="str">
        <f>LOS!K97</f>
        <v>C</v>
      </c>
      <c r="U103" s="44"/>
      <c r="V103" s="44"/>
      <c r="W103" s="44"/>
      <c r="X103" s="44"/>
      <c r="Y103" s="44"/>
      <c r="Z103" s="44"/>
      <c r="AA103" s="44">
        <f>LOS!L97</f>
        <v>45</v>
      </c>
      <c r="AB103" s="44">
        <f>LOS!M97</f>
        <v>87</v>
      </c>
      <c r="AC103" s="45"/>
      <c r="AD103" s="44" t="str">
        <f>LOS!Q97</f>
        <v>C</v>
      </c>
      <c r="AE103" s="44">
        <f>LOS!R97</f>
        <v>99</v>
      </c>
      <c r="AF103" s="44">
        <f>LOS!S97</f>
        <v>21</v>
      </c>
      <c r="AG103" s="45"/>
      <c r="AH103" s="44" t="str">
        <f>LOS!W97</f>
        <v>C</v>
      </c>
      <c r="AI103" s="82">
        <f>(Trend!L97)</f>
        <v>15.2232518955392</v>
      </c>
      <c r="AJ103" s="77">
        <f>Cap!K97</f>
        <v>0</v>
      </c>
      <c r="AK103" s="77">
        <f>Cap!L97</f>
        <v>330</v>
      </c>
      <c r="AL103" s="77">
        <f>Cap!M97</f>
        <v>680</v>
      </c>
      <c r="AM103" s="77">
        <f>Cap!N97</f>
        <v>720</v>
      </c>
    </row>
    <row r="104" spans="2:39" x14ac:dyDescent="0.25">
      <c r="B104" s="48">
        <f>'2025MasterFile-Stat'!F98</f>
        <v>519</v>
      </c>
      <c r="C104" s="47" t="str">
        <f>'2025MasterFile-Stat'!B98</f>
        <v>Martin St</v>
      </c>
      <c r="D104" s="47" t="str">
        <f>LEFT('2025MasterFile-Stat'!C98,FIND(" to ",'2025MasterFile-Stat'!C98)-1)</f>
        <v>Park Ave</v>
      </c>
      <c r="E104" s="47" t="str">
        <f>RIGHT('2025MasterFile-Stat'!C98,LEN('2025MasterFile-Stat'!C98)-FIND(" to ",'2025MasterFile-Stat'!C98)-3)</f>
        <v>Lake Ave</v>
      </c>
      <c r="F104" s="44" t="str">
        <f>'2025MasterFile-Stat'!G98</f>
        <v>2L</v>
      </c>
      <c r="G104" s="44"/>
      <c r="H104" s="46" t="str">
        <f>'2025MasterFile-Stat'!H98</f>
        <v>E</v>
      </c>
      <c r="I104" s="44" t="str">
        <f>'2025MasterFile-Stat'!A98</f>
        <v>Min Coll</v>
      </c>
      <c r="J104" s="44"/>
      <c r="K104" s="44"/>
      <c r="L104" s="26">
        <f>IF(Cap!H98="A",Cap!O98,
 IF(Cap!H98="B",Cap!P98,
 IF(Cap!H98="C",Cap!Q98,
 IF(Cap!H98="D",Cap!R98,
 IF(Cap!H98="E",Cap!S98,"")))))</f>
        <v>14000</v>
      </c>
      <c r="M104" s="44"/>
      <c r="N104" s="44">
        <f>IF(Cap!H98="A",Cap!J98,
 IF(Cap!H98="B",Cap!K98,
 IF(Cap!H98="C",Cap!L98,
 IF(Cap!H98="D",Cap!M98,
 IF(Cap!H98="E",Cap!N98,"")))))</f>
        <v>720</v>
      </c>
      <c r="O104" s="44"/>
      <c r="P104" s="44"/>
      <c r="Q104" s="44"/>
      <c r="R104" s="44">
        <f>LOS!J98</f>
        <v>3019</v>
      </c>
      <c r="S104" s="45"/>
      <c r="T104" s="44" t="str">
        <f>LOS!K98</f>
        <v>C</v>
      </c>
      <c r="U104" s="44"/>
      <c r="V104" s="44"/>
      <c r="W104" s="44"/>
      <c r="X104" s="44"/>
      <c r="Y104" s="44"/>
      <c r="Z104" s="44"/>
      <c r="AA104" s="44">
        <f>LOS!L98</f>
        <v>143</v>
      </c>
      <c r="AB104" s="44">
        <f>LOS!M98</f>
        <v>156</v>
      </c>
      <c r="AC104" s="45"/>
      <c r="AD104" s="44" t="str">
        <f>LOS!Q98</f>
        <v>C</v>
      </c>
      <c r="AE104" s="44">
        <f>LOS!R98</f>
        <v>125</v>
      </c>
      <c r="AF104" s="44">
        <f>LOS!S98</f>
        <v>141</v>
      </c>
      <c r="AG104" s="45"/>
      <c r="AH104" s="44" t="str">
        <f>LOS!W98</f>
        <v>C</v>
      </c>
      <c r="AI104" s="82">
        <f>(Trend!L98)</f>
        <v>-1.6926134481620101</v>
      </c>
      <c r="AJ104" s="77">
        <f>Cap!K98</f>
        <v>0</v>
      </c>
      <c r="AK104" s="77">
        <f>Cap!L98</f>
        <v>330</v>
      </c>
      <c r="AL104" s="77">
        <f>Cap!M98</f>
        <v>680</v>
      </c>
      <c r="AM104" s="77">
        <f>Cap!N98</f>
        <v>720</v>
      </c>
    </row>
    <row r="105" spans="2:39" x14ac:dyDescent="0.25">
      <c r="B105" s="48">
        <f>'2025MasterFile-Stat'!F99</f>
        <v>830</v>
      </c>
      <c r="C105" s="47" t="str">
        <f>'2025MasterFile-Stat'!B99</f>
        <v>Martin St</v>
      </c>
      <c r="D105" s="47" t="str">
        <f>LEFT('2025MasterFile-Stat'!C99,FIND(" to ",'2025MasterFile-Stat'!C99)-1)</f>
        <v>Maine Ave</v>
      </c>
      <c r="E105" s="47" t="str">
        <f>RIGHT('2025MasterFile-Stat'!C99,LEN('2025MasterFile-Stat'!C99)-FIND(" to ",'2025MasterFile-Stat'!C99)-3)</f>
        <v>Vick Rd</v>
      </c>
      <c r="F105" s="44" t="str">
        <f>'2025MasterFile-Stat'!G99</f>
        <v>2L</v>
      </c>
      <c r="G105" s="44"/>
      <c r="H105" s="46" t="str">
        <f>'2025MasterFile-Stat'!H99</f>
        <v>E</v>
      </c>
      <c r="I105" s="44" t="str">
        <f>'2025MasterFile-Stat'!A99</f>
        <v>Min Coll</v>
      </c>
      <c r="J105" s="44"/>
      <c r="K105" s="44"/>
      <c r="L105" s="26">
        <f>IF(Cap!H99="A",Cap!O99,
 IF(Cap!H99="B",Cap!P99,
 IF(Cap!H99="C",Cap!Q99,
 IF(Cap!H99="D",Cap!R99,
 IF(Cap!H99="E",Cap!S99,"")))))</f>
        <v>14000</v>
      </c>
      <c r="M105" s="44"/>
      <c r="N105" s="44">
        <f>IF(Cap!H99="A",Cap!J99,
 IF(Cap!H99="B",Cap!K99,
 IF(Cap!H99="C",Cap!L99,
 IF(Cap!H99="D",Cap!M99,
 IF(Cap!H99="E",Cap!N99,"")))))</f>
        <v>720</v>
      </c>
      <c r="O105" s="44"/>
      <c r="P105" s="44"/>
      <c r="Q105" s="44"/>
      <c r="R105" s="44">
        <f>LOS!J99</f>
        <v>4337</v>
      </c>
      <c r="S105" s="45"/>
      <c r="T105" s="44" t="str">
        <f>LOS!K99</f>
        <v>C</v>
      </c>
      <c r="U105" s="44"/>
      <c r="V105" s="44"/>
      <c r="W105" s="44"/>
      <c r="X105" s="44"/>
      <c r="Y105" s="44"/>
      <c r="Z105" s="44"/>
      <c r="AA105" s="44">
        <f>LOS!L99</f>
        <v>240</v>
      </c>
      <c r="AB105" s="44">
        <f>LOS!M99</f>
        <v>138</v>
      </c>
      <c r="AC105" s="45"/>
      <c r="AD105" s="44" t="str">
        <f>LOS!Q99</f>
        <v>C</v>
      </c>
      <c r="AE105" s="44">
        <f>LOS!R99</f>
        <v>142</v>
      </c>
      <c r="AF105" s="44">
        <f>LOS!S99</f>
        <v>164</v>
      </c>
      <c r="AG105" s="45"/>
      <c r="AH105" s="44" t="str">
        <f>LOS!W99</f>
        <v>C</v>
      </c>
      <c r="AI105" s="82">
        <f>(Trend!L99)</f>
        <v>-5.6213972792264899</v>
      </c>
      <c r="AJ105" s="77">
        <f>Cap!K99</f>
        <v>0</v>
      </c>
      <c r="AK105" s="77">
        <f>Cap!L99</f>
        <v>330</v>
      </c>
      <c r="AL105" s="77">
        <f>Cap!M99</f>
        <v>680</v>
      </c>
      <c r="AM105" s="77">
        <f>Cap!N99</f>
        <v>720</v>
      </c>
    </row>
    <row r="106" spans="2:39" x14ac:dyDescent="0.25">
      <c r="B106" s="48">
        <f>'2025MasterFile-Stat'!F100</f>
        <v>407</v>
      </c>
      <c r="C106" s="47" t="str">
        <f>'2025MasterFile-Stat'!B100</f>
        <v>Midland Ave</v>
      </c>
      <c r="D106" s="47" t="str">
        <f>LEFT('2025MasterFile-Stat'!C100,FIND(" to ",'2025MasterFile-Stat'!C100)-1)</f>
        <v>US 441</v>
      </c>
      <c r="E106" s="47" t="str">
        <f>RIGHT('2025MasterFile-Stat'!C100,LEN('2025MasterFile-Stat'!C100)-FIND(" to ",'2025MasterFile-Stat'!C100)-3)</f>
        <v>6th St</v>
      </c>
      <c r="F106" s="44" t="str">
        <f>'2025MasterFile-Stat'!G100</f>
        <v>2L</v>
      </c>
      <c r="G106" s="44"/>
      <c r="H106" s="46" t="str">
        <f>'2025MasterFile-Stat'!H100</f>
        <v>E</v>
      </c>
      <c r="I106" s="44" t="str">
        <f>'2025MasterFile-Stat'!A100</f>
        <v>Min Coll</v>
      </c>
      <c r="J106" s="44"/>
      <c r="K106" s="44"/>
      <c r="L106" s="26">
        <f>IF(Cap!H100="A",Cap!O100,
 IF(Cap!H100="B",Cap!P100,
 IF(Cap!H100="C",Cap!Q100,
 IF(Cap!H100="D",Cap!R100,
 IF(Cap!H100="E",Cap!S100,"")))))</f>
        <v>14000</v>
      </c>
      <c r="M106" s="44"/>
      <c r="N106" s="44">
        <f>IF(Cap!H100="A",Cap!J100,
 IF(Cap!H100="B",Cap!K100,
 IF(Cap!H100="C",Cap!L100,
 IF(Cap!H100="D",Cap!M100,
 IF(Cap!H100="E",Cap!N100,"")))))</f>
        <v>720</v>
      </c>
      <c r="O106" s="44"/>
      <c r="P106" s="44"/>
      <c r="Q106" s="44"/>
      <c r="R106" s="44">
        <f>LOS!J100</f>
        <v>1322</v>
      </c>
      <c r="S106" s="45"/>
      <c r="T106" s="44" t="str">
        <f>LOS!K100</f>
        <v>C</v>
      </c>
      <c r="U106" s="44"/>
      <c r="V106" s="44"/>
      <c r="W106" s="44"/>
      <c r="X106" s="44"/>
      <c r="Y106" s="44"/>
      <c r="Z106" s="44"/>
      <c r="AA106" s="44">
        <f>LOS!L100</f>
        <v>44</v>
      </c>
      <c r="AB106" s="44">
        <f>LOS!M100</f>
        <v>32</v>
      </c>
      <c r="AC106" s="45"/>
      <c r="AD106" s="44" t="str">
        <f>LOS!Q100</f>
        <v>C</v>
      </c>
      <c r="AE106" s="44">
        <f>LOS!R100</f>
        <v>68</v>
      </c>
      <c r="AF106" s="44">
        <f>LOS!S100</f>
        <v>66</v>
      </c>
      <c r="AG106" s="45"/>
      <c r="AH106" s="44" t="str">
        <f>LOS!W100</f>
        <v>C</v>
      </c>
      <c r="AI106" s="82">
        <f>(Trend!L100)</f>
        <v>-83.835098335873795</v>
      </c>
      <c r="AJ106" s="77">
        <f>Cap!K100</f>
        <v>0</v>
      </c>
      <c r="AK106" s="77">
        <f>Cap!L100</f>
        <v>330</v>
      </c>
      <c r="AL106" s="77">
        <f>Cap!M100</f>
        <v>680</v>
      </c>
      <c r="AM106" s="77">
        <f>Cap!N100</f>
        <v>720</v>
      </c>
    </row>
    <row r="107" spans="2:39" x14ac:dyDescent="0.25">
      <c r="B107" s="48">
        <f>'2025MasterFile-Stat'!F101</f>
        <v>603</v>
      </c>
      <c r="C107" s="47" t="str">
        <f>'2025MasterFile-Stat'!B101</f>
        <v>Monroe Ave</v>
      </c>
      <c r="D107" s="47" t="str">
        <f>LEFT('2025MasterFile-Stat'!C101,FIND(" to ",'2025MasterFile-Stat'!C101)-1)</f>
        <v>Park Ave</v>
      </c>
      <c r="E107" s="47" t="str">
        <f>RIGHT('2025MasterFile-Stat'!C101,LEN('2025MasterFile-Stat'!C101)-FIND(" to ",'2025MasterFile-Stat'!C101)-3)</f>
        <v>Alabama Ave</v>
      </c>
      <c r="F107" s="44" t="str">
        <f>'2025MasterFile-Stat'!G101</f>
        <v>2L</v>
      </c>
      <c r="G107" s="44"/>
      <c r="H107" s="46" t="str">
        <f>'2025MasterFile-Stat'!H101</f>
        <v>D</v>
      </c>
      <c r="I107" s="44" t="str">
        <f>'2025MasterFile-Stat'!A101</f>
        <v>Min Coll</v>
      </c>
      <c r="J107" s="44"/>
      <c r="K107" s="44"/>
      <c r="L107" s="26">
        <f>IF(Cap!H101="A",Cap!O101,
 IF(Cap!H101="B",Cap!P101,
 IF(Cap!H101="C",Cap!Q101,
 IF(Cap!H101="D",Cap!R101,
 IF(Cap!H101="E",Cap!S101,"")))))</f>
        <v>13300</v>
      </c>
      <c r="M107" s="44"/>
      <c r="N107" s="44">
        <f>IF(Cap!H101="A",Cap!J101,
 IF(Cap!H101="B",Cap!K101,
 IF(Cap!H101="C",Cap!L101,
 IF(Cap!H101="D",Cap!M101,
 IF(Cap!H101="E",Cap!N101,"")))))</f>
        <v>680</v>
      </c>
      <c r="O107" s="44"/>
      <c r="P107" s="44"/>
      <c r="Q107" s="44"/>
      <c r="R107" s="44">
        <f>LOS!J101</f>
        <v>3230</v>
      </c>
      <c r="S107" s="45"/>
      <c r="T107" s="44" t="str">
        <f>LOS!K101</f>
        <v>C</v>
      </c>
      <c r="U107" s="44"/>
      <c r="V107" s="44"/>
      <c r="W107" s="44"/>
      <c r="X107" s="44"/>
      <c r="Y107" s="44"/>
      <c r="Z107" s="44"/>
      <c r="AA107" s="44">
        <f>LOS!L101</f>
        <v>151</v>
      </c>
      <c r="AB107" s="44">
        <f>LOS!M101</f>
        <v>56</v>
      </c>
      <c r="AC107" s="45"/>
      <c r="AD107" s="44" t="str">
        <f>LOS!Q101</f>
        <v>C</v>
      </c>
      <c r="AE107" s="44">
        <f>LOS!R101</f>
        <v>133</v>
      </c>
      <c r="AF107" s="44">
        <f>LOS!S101</f>
        <v>268</v>
      </c>
      <c r="AG107" s="45"/>
      <c r="AH107" s="44" t="str">
        <f>LOS!W101</f>
        <v>C</v>
      </c>
      <c r="AI107" s="82">
        <f>(Trend!L101)</f>
        <v>2.7708978328176501</v>
      </c>
      <c r="AJ107" s="77">
        <f>Cap!K101</f>
        <v>0</v>
      </c>
      <c r="AK107" s="77">
        <f>Cap!L101</f>
        <v>330</v>
      </c>
      <c r="AL107" s="77">
        <f>Cap!M101</f>
        <v>680</v>
      </c>
      <c r="AM107" s="77">
        <f>Cap!N101</f>
        <v>720</v>
      </c>
    </row>
    <row r="108" spans="2:39" x14ac:dyDescent="0.25">
      <c r="B108" s="48">
        <f>'2025MasterFile-Stat'!F102</f>
        <v>604</v>
      </c>
      <c r="C108" s="47" t="str">
        <f>'2025MasterFile-Stat'!B102</f>
        <v>Monroe Ave</v>
      </c>
      <c r="D108" s="47" t="str">
        <f>LEFT('2025MasterFile-Stat'!C102,FIND(" to ",'2025MasterFile-Stat'!C102)-1)</f>
        <v>Alabama Ave</v>
      </c>
      <c r="E108" s="47" t="str">
        <f>RIGHT('2025MasterFile-Stat'!C102,LEN('2025MasterFile-Stat'!C102)-FIND(" to ",'2025MasterFile-Stat'!C102)-3)</f>
        <v>Sheeler Rd</v>
      </c>
      <c r="F108" s="44" t="str">
        <f>'2025MasterFile-Stat'!G102</f>
        <v>2L</v>
      </c>
      <c r="G108" s="44"/>
      <c r="H108" s="46" t="str">
        <f>'2025MasterFile-Stat'!H102</f>
        <v>D</v>
      </c>
      <c r="I108" s="44" t="str">
        <f>'2025MasterFile-Stat'!A102</f>
        <v>Min Coll</v>
      </c>
      <c r="J108" s="44"/>
      <c r="K108" s="44"/>
      <c r="L108" s="26">
        <f>IF(Cap!H102="A",Cap!O102,
 IF(Cap!H102="B",Cap!P102,
 IF(Cap!H102="C",Cap!Q102,
 IF(Cap!H102="D",Cap!R102,
 IF(Cap!H102="E",Cap!S102,"")))))</f>
        <v>13300</v>
      </c>
      <c r="M108" s="44"/>
      <c r="N108" s="44">
        <f>IF(Cap!H102="A",Cap!J102,
 IF(Cap!H102="B",Cap!K102,
 IF(Cap!H102="C",Cap!L102,
 IF(Cap!H102="D",Cap!M102,
 IF(Cap!H102="E",Cap!N102,"")))))</f>
        <v>680</v>
      </c>
      <c r="O108" s="44"/>
      <c r="P108" s="44"/>
      <c r="Q108" s="44"/>
      <c r="R108" s="44">
        <f>LOS!J102</f>
        <v>4325</v>
      </c>
      <c r="S108" s="45"/>
      <c r="T108" s="44" t="str">
        <f>LOS!K102</f>
        <v>C</v>
      </c>
      <c r="U108" s="44"/>
      <c r="V108" s="44"/>
      <c r="W108" s="44"/>
      <c r="X108" s="44"/>
      <c r="Y108" s="44"/>
      <c r="Z108" s="44"/>
      <c r="AA108" s="44">
        <f>LOS!L102</f>
        <v>156</v>
      </c>
      <c r="AB108" s="44">
        <f>LOS!M102</f>
        <v>103</v>
      </c>
      <c r="AC108" s="45"/>
      <c r="AD108" s="44" t="str">
        <f>LOS!Q102</f>
        <v>C</v>
      </c>
      <c r="AE108" s="44">
        <f>LOS!R102</f>
        <v>205</v>
      </c>
      <c r="AF108" s="44">
        <f>LOS!S102</f>
        <v>281</v>
      </c>
      <c r="AG108" s="45"/>
      <c r="AH108" s="44" t="str">
        <f>LOS!W102</f>
        <v>C</v>
      </c>
      <c r="AI108" s="82">
        <f>(Trend!L102)</f>
        <v>2.1225433526015101</v>
      </c>
      <c r="AJ108" s="77">
        <f>Cap!K102</f>
        <v>0</v>
      </c>
      <c r="AK108" s="77">
        <f>Cap!L102</f>
        <v>330</v>
      </c>
      <c r="AL108" s="77">
        <f>Cap!M102</f>
        <v>680</v>
      </c>
      <c r="AM108" s="77">
        <f>Cap!N102</f>
        <v>720</v>
      </c>
    </row>
    <row r="109" spans="2:39" x14ac:dyDescent="0.25">
      <c r="B109" s="48" t="str">
        <f>'2025MasterFile-Stat'!F103</f>
        <v>17*</v>
      </c>
      <c r="C109" s="47" t="str">
        <f>'2025MasterFile-Stat'!B103</f>
        <v>Mt. Plymouth Rd</v>
      </c>
      <c r="D109" s="47" t="str">
        <f>LEFT('2025MasterFile-Stat'!C103,FIND(" to ",'2025MasterFile-Stat'!C103)-1)</f>
        <v>Kelly Park Rd</v>
      </c>
      <c r="E109" s="47" t="str">
        <f>RIGHT('2025MasterFile-Stat'!C103,LEN('2025MasterFile-Stat'!C103)-FIND(" to ",'2025MasterFile-Stat'!C103)-3)</f>
        <v>Haas Rd</v>
      </c>
      <c r="F109" s="44" t="str">
        <f>'2025MasterFile-Stat'!G103</f>
        <v>2L</v>
      </c>
      <c r="G109" s="44"/>
      <c r="H109" s="46" t="str">
        <f>'2025MasterFile-Stat'!H103</f>
        <v>E</v>
      </c>
      <c r="I109" s="44" t="str">
        <f>'2025MasterFile-Stat'!A103</f>
        <v>Min Coll</v>
      </c>
      <c r="J109" s="44"/>
      <c r="K109" s="44"/>
      <c r="L109" s="26">
        <f>IF(Cap!H103="A",Cap!O103,
 IF(Cap!H103="B",Cap!P103,
 IF(Cap!H103="C",Cap!Q103,
 IF(Cap!H103="D",Cap!R103,
 IF(Cap!H103="E",Cap!S103,"")))))</f>
        <v>15900</v>
      </c>
      <c r="M109" s="44"/>
      <c r="N109" s="44">
        <f>IF(Cap!H103="A",Cap!J103,
 IF(Cap!H103="B",Cap!K103,
 IF(Cap!H103="C",Cap!L103,
 IF(Cap!H103="D",Cap!M103,
 IF(Cap!H103="E",Cap!N103,"")))))</f>
        <v>790</v>
      </c>
      <c r="O109" s="44"/>
      <c r="P109" s="44"/>
      <c r="Q109" s="44"/>
      <c r="R109" s="44">
        <f>LOS!J103</f>
        <v>8104</v>
      </c>
      <c r="S109" s="45"/>
      <c r="T109" s="44" t="str">
        <f>LOS!K103</f>
        <v>C</v>
      </c>
      <c r="U109" s="44"/>
      <c r="V109" s="44"/>
      <c r="W109" s="44"/>
      <c r="X109" s="44"/>
      <c r="Y109" s="44"/>
      <c r="Z109" s="44"/>
      <c r="AA109" s="44">
        <f>LOS!L103</f>
        <v>261</v>
      </c>
      <c r="AB109" s="44">
        <f>LOS!M103</f>
        <v>423</v>
      </c>
      <c r="AC109" s="45"/>
      <c r="AD109" s="44" t="str">
        <f>LOS!Q103</f>
        <v>C</v>
      </c>
      <c r="AE109" s="44">
        <f>LOS!R103</f>
        <v>471</v>
      </c>
      <c r="AF109" s="44">
        <f>LOS!S103</f>
        <v>332</v>
      </c>
      <c r="AG109" s="45"/>
      <c r="AH109" s="44" t="str">
        <f>LOS!W103</f>
        <v>C</v>
      </c>
      <c r="AI109" s="82">
        <f>(Trend!L103)</f>
        <v>2.3820813576247599</v>
      </c>
      <c r="AJ109" s="77">
        <f>Cap!K103</f>
        <v>0</v>
      </c>
      <c r="AK109" s="77">
        <f>Cap!L103</f>
        <v>750</v>
      </c>
      <c r="AL109" s="77">
        <f>Cap!M103</f>
        <v>790</v>
      </c>
      <c r="AM109" s="77">
        <f>Cap!N103</f>
        <v>790</v>
      </c>
    </row>
    <row r="110" spans="2:39" x14ac:dyDescent="0.25">
      <c r="B110" s="48">
        <f>'2025MasterFile-Stat'!F104</f>
        <v>17.100000000000001</v>
      </c>
      <c r="C110" s="47" t="str">
        <f>'2025MasterFile-Stat'!B104</f>
        <v>Mt. Plymouth Rd</v>
      </c>
      <c r="D110" s="47" t="str">
        <f>LEFT('2025MasterFile-Stat'!C104,FIND(" to ",'2025MasterFile-Stat'!C104)-1)</f>
        <v>Haas Rd</v>
      </c>
      <c r="E110" s="47" t="str">
        <f>RIGHT('2025MasterFile-Stat'!C104,LEN('2025MasterFile-Stat'!C104)-FIND(" to ",'2025MasterFile-Stat'!C104)-3)</f>
        <v>Lake County Line</v>
      </c>
      <c r="F110" s="44" t="str">
        <f>'2025MasterFile-Stat'!G104</f>
        <v>2L</v>
      </c>
      <c r="G110" s="44"/>
      <c r="H110" s="46" t="str">
        <f>'2025MasterFile-Stat'!H104</f>
        <v>E</v>
      </c>
      <c r="I110" s="44" t="str">
        <f>'2025MasterFile-Stat'!A104</f>
        <v>Min Coll</v>
      </c>
      <c r="J110" s="44"/>
      <c r="K110" s="44"/>
      <c r="L110" s="26">
        <f>IF(Cap!H104="A",Cap!O104,
 IF(Cap!H104="B",Cap!P104,
 IF(Cap!H104="C",Cap!Q104,
 IF(Cap!H104="D",Cap!R104,
 IF(Cap!H104="E",Cap!S104,"")))))</f>
        <v>15900</v>
      </c>
      <c r="M110" s="44"/>
      <c r="N110" s="44">
        <f>IF(Cap!H104="A",Cap!J104,
 IF(Cap!H104="B",Cap!K104,
 IF(Cap!H104="C",Cap!L104,
 IF(Cap!H104="D",Cap!M104,
 IF(Cap!H104="E",Cap!N104,"")))))</f>
        <v>790</v>
      </c>
      <c r="O110" s="44"/>
      <c r="P110" s="44"/>
      <c r="Q110" s="44"/>
      <c r="R110" s="44">
        <f>LOS!J104</f>
        <v>6388</v>
      </c>
      <c r="S110" s="45"/>
      <c r="T110" s="44" t="str">
        <f>LOS!K104</f>
        <v>C</v>
      </c>
      <c r="U110" s="44"/>
      <c r="V110" s="44"/>
      <c r="W110" s="44"/>
      <c r="X110" s="44"/>
      <c r="Y110" s="44"/>
      <c r="Z110" s="44"/>
      <c r="AA110" s="44">
        <f>LOS!L104</f>
        <v>358</v>
      </c>
      <c r="AB110" s="44">
        <f>LOS!M104</f>
        <v>205</v>
      </c>
      <c r="AC110" s="45"/>
      <c r="AD110" s="44" t="str">
        <f>LOS!Q104</f>
        <v>C</v>
      </c>
      <c r="AE110" s="44">
        <f>LOS!R104</f>
        <v>251</v>
      </c>
      <c r="AF110" s="44">
        <f>LOS!S104</f>
        <v>368</v>
      </c>
      <c r="AG110" s="45"/>
      <c r="AH110" s="44" t="str">
        <f>LOS!W104</f>
        <v>C</v>
      </c>
      <c r="AI110" s="82">
        <f>(Trend!L104)</f>
        <v>3.7210394489678</v>
      </c>
      <c r="AJ110" s="77">
        <f>Cap!K104</f>
        <v>0</v>
      </c>
      <c r="AK110" s="77">
        <f>Cap!L104</f>
        <v>750</v>
      </c>
      <c r="AL110" s="77">
        <f>Cap!M104</f>
        <v>790</v>
      </c>
      <c r="AM110" s="77">
        <f>Cap!N104</f>
        <v>790</v>
      </c>
    </row>
    <row r="111" spans="2:39" x14ac:dyDescent="0.25">
      <c r="B111" s="48">
        <f>'2025MasterFile-Stat'!F105</f>
        <v>512</v>
      </c>
      <c r="C111" s="47" t="str">
        <f>'2025MasterFile-Stat'!B105</f>
        <v>North Maine Ave</v>
      </c>
      <c r="D111" s="47" t="str">
        <f>LEFT('2025MasterFile-Stat'!C105,FIND(" to ",'2025MasterFile-Stat'!C105)-1)</f>
        <v>Martin St</v>
      </c>
      <c r="E111" s="47" t="str">
        <f>RIGHT('2025MasterFile-Stat'!C105,LEN('2025MasterFile-Stat'!C105)-FIND(" to ",'2025MasterFile-Stat'!C105)-3)</f>
        <v>Old Dixie Hwy</v>
      </c>
      <c r="F111" s="44" t="str">
        <f>'2025MasterFile-Stat'!G105</f>
        <v>2L</v>
      </c>
      <c r="G111" s="44"/>
      <c r="H111" s="46" t="str">
        <f>'2025MasterFile-Stat'!H105</f>
        <v>D</v>
      </c>
      <c r="I111" s="44" t="str">
        <f>'2025MasterFile-Stat'!A105</f>
        <v>Min Coll</v>
      </c>
      <c r="J111" s="44"/>
      <c r="K111" s="44"/>
      <c r="L111" s="26">
        <f>IF(Cap!H105="A",Cap!O105,
 IF(Cap!H105="B",Cap!P105,
 IF(Cap!H105="C",Cap!Q105,
 IF(Cap!H105="D",Cap!R105,
 IF(Cap!H105="E",Cap!S105,"")))))</f>
        <v>13300</v>
      </c>
      <c r="M111" s="44"/>
      <c r="N111" s="44">
        <f>IF(Cap!H105="A",Cap!J105,
 IF(Cap!H105="B",Cap!K105,
 IF(Cap!H105="C",Cap!L105,
 IF(Cap!H105="D",Cap!M105,
 IF(Cap!H105="E",Cap!N105,"")))))</f>
        <v>680</v>
      </c>
      <c r="O111" s="44"/>
      <c r="P111" s="44"/>
      <c r="Q111" s="44"/>
      <c r="R111" s="44">
        <f>LOS!J105</f>
        <v>5335</v>
      </c>
      <c r="S111" s="45"/>
      <c r="T111" s="44" t="str">
        <f>LOS!K105</f>
        <v>C</v>
      </c>
      <c r="U111" s="44"/>
      <c r="V111" s="44"/>
      <c r="W111" s="44"/>
      <c r="X111" s="44"/>
      <c r="Y111" s="44"/>
      <c r="Z111" s="44"/>
      <c r="AA111" s="44">
        <f>LOS!L105</f>
        <v>272</v>
      </c>
      <c r="AB111" s="44">
        <f>LOS!M105</f>
        <v>247</v>
      </c>
      <c r="AC111" s="45"/>
      <c r="AD111" s="44" t="str">
        <f>LOS!Q105</f>
        <v>C</v>
      </c>
      <c r="AE111" s="44">
        <f>LOS!R105</f>
        <v>257</v>
      </c>
      <c r="AF111" s="44">
        <f>LOS!S105</f>
        <v>167</v>
      </c>
      <c r="AG111" s="45"/>
      <c r="AH111" s="44" t="str">
        <f>LOS!W105</f>
        <v>C</v>
      </c>
      <c r="AI111" s="82">
        <f>(Trend!L105)</f>
        <v>5.46204311152899</v>
      </c>
      <c r="AJ111" s="77">
        <f>Cap!K105</f>
        <v>0</v>
      </c>
      <c r="AK111" s="77">
        <f>Cap!L105</f>
        <v>330</v>
      </c>
      <c r="AL111" s="77">
        <f>Cap!M105</f>
        <v>680</v>
      </c>
      <c r="AM111" s="77">
        <f>Cap!N105</f>
        <v>720</v>
      </c>
    </row>
    <row r="112" spans="2:39" x14ac:dyDescent="0.25">
      <c r="B112" s="48">
        <f>'2025MasterFile-Stat'!F106</f>
        <v>674</v>
      </c>
      <c r="C112" s="47" t="str">
        <f>'2025MasterFile-Stat'!B106</f>
        <v>Old Dixie Hwy/West Highland Ave/Orange St</v>
      </c>
      <c r="D112" s="47" t="str">
        <f>LEFT('2025MasterFile-Stat'!C106,FIND(" to ",'2025MasterFile-Stat'!C106)-1)</f>
        <v>Vick Rd</v>
      </c>
      <c r="E112" s="47" t="str">
        <f>RIGHT('2025MasterFile-Stat'!C106,LEN('2025MasterFile-Stat'!C106)-FIND(" to ",'2025MasterFile-Stat'!C106)-3)</f>
        <v>Bradshaw Rd</v>
      </c>
      <c r="F112" s="44" t="str">
        <f>'2025MasterFile-Stat'!G106</f>
        <v>2L</v>
      </c>
      <c r="G112" s="44"/>
      <c r="H112" s="46" t="str">
        <f>'2025MasterFile-Stat'!H106</f>
        <v>E</v>
      </c>
      <c r="I112" s="44" t="str">
        <f>'2025MasterFile-Stat'!A106</f>
        <v>Min Coll</v>
      </c>
      <c r="J112" s="44"/>
      <c r="K112" s="44"/>
      <c r="L112" s="26">
        <f>IF(Cap!H106="A",Cap!O106,
 IF(Cap!H106="B",Cap!P106,
 IF(Cap!H106="C",Cap!Q106,
 IF(Cap!H106="D",Cap!R106,
 IF(Cap!H106="E",Cap!S106,"")))))</f>
        <v>14000</v>
      </c>
      <c r="M112" s="44"/>
      <c r="N112" s="44">
        <f>IF(Cap!H106="A",Cap!J106,
 IF(Cap!H106="B",Cap!K106,
 IF(Cap!H106="C",Cap!L106,
 IF(Cap!H106="D",Cap!M106,
 IF(Cap!H106="E",Cap!N106,"")))))</f>
        <v>720</v>
      </c>
      <c r="O112" s="44"/>
      <c r="P112" s="44"/>
      <c r="Q112" s="44"/>
      <c r="R112" s="44">
        <f>LOS!J106</f>
        <v>9644</v>
      </c>
      <c r="S112" s="45"/>
      <c r="T112" s="44" t="str">
        <f>LOS!K106</f>
        <v>D</v>
      </c>
      <c r="U112" s="44"/>
      <c r="V112" s="44"/>
      <c r="W112" s="44"/>
      <c r="X112" s="44"/>
      <c r="Y112" s="44"/>
      <c r="Z112" s="44"/>
      <c r="AA112" s="44">
        <f>LOS!L106</f>
        <v>545</v>
      </c>
      <c r="AB112" s="44">
        <f>LOS!M106</f>
        <v>268</v>
      </c>
      <c r="AC112" s="45"/>
      <c r="AD112" s="44" t="str">
        <f>LOS!Q106</f>
        <v>D</v>
      </c>
      <c r="AE112" s="44">
        <f>LOS!R106</f>
        <v>473</v>
      </c>
      <c r="AF112" s="44">
        <f>LOS!S106</f>
        <v>377</v>
      </c>
      <c r="AG112" s="45"/>
      <c r="AH112" s="44" t="str">
        <f>LOS!W106</f>
        <v>D</v>
      </c>
      <c r="AI112" s="82">
        <f>(Trend!L106)</f>
        <v>6.7866030692670796</v>
      </c>
      <c r="AJ112" s="77">
        <f>Cap!K106</f>
        <v>0</v>
      </c>
      <c r="AK112" s="77">
        <f>Cap!L106</f>
        <v>330</v>
      </c>
      <c r="AL112" s="77">
        <f>Cap!M106</f>
        <v>680</v>
      </c>
      <c r="AM112" s="77">
        <f>Cap!N106</f>
        <v>720</v>
      </c>
    </row>
    <row r="113" spans="2:39" x14ac:dyDescent="0.25">
      <c r="B113" s="48">
        <f>'2025MasterFile-Stat'!F107</f>
        <v>510</v>
      </c>
      <c r="C113" s="47" t="str">
        <f>'2025MasterFile-Stat'!B107</f>
        <v>Old Dixie Hwy/West Highland Ave/Orange St</v>
      </c>
      <c r="D113" s="47" t="str">
        <f>LEFT('2025MasterFile-Stat'!C107,FIND(" to ",'2025MasterFile-Stat'!C107)-1)</f>
        <v>Boy Scout Blvd</v>
      </c>
      <c r="E113" s="47" t="str">
        <f>RIGHT('2025MasterFile-Stat'!C107,LEN('2025MasterFile-Stat'!C107)-FIND(" to ",'2025MasterFile-Stat'!C107)-3)</f>
        <v>Errol Pkwy</v>
      </c>
      <c r="F113" s="44" t="str">
        <f>'2025MasterFile-Stat'!G107</f>
        <v>2L</v>
      </c>
      <c r="G113" s="44"/>
      <c r="H113" s="46" t="str">
        <f>'2025MasterFile-Stat'!H107</f>
        <v>E</v>
      </c>
      <c r="I113" s="44" t="str">
        <f>'2025MasterFile-Stat'!A107</f>
        <v>Min Coll</v>
      </c>
      <c r="J113" s="44"/>
      <c r="K113" s="44"/>
      <c r="L113" s="26">
        <f>IF(Cap!H107="A",Cap!O107,
 IF(Cap!H107="B",Cap!P107,
 IF(Cap!H107="C",Cap!Q107,
 IF(Cap!H107="D",Cap!R107,
 IF(Cap!H107="E",Cap!S107,"")))))</f>
        <v>14000</v>
      </c>
      <c r="M113" s="44"/>
      <c r="N113" s="44">
        <f>IF(Cap!H107="A",Cap!J107,
 IF(Cap!H107="B",Cap!K107,
 IF(Cap!H107="C",Cap!L107,
 IF(Cap!H107="D",Cap!M107,
 IF(Cap!H107="E",Cap!N107,"")))))</f>
        <v>720</v>
      </c>
      <c r="O113" s="44"/>
      <c r="P113" s="44"/>
      <c r="Q113" s="44"/>
      <c r="R113" s="44">
        <f>LOS!J107</f>
        <v>5020</v>
      </c>
      <c r="S113" s="45"/>
      <c r="T113" s="44" t="str">
        <f>LOS!K107</f>
        <v>C</v>
      </c>
      <c r="U113" s="44"/>
      <c r="V113" s="44"/>
      <c r="W113" s="44"/>
      <c r="X113" s="44"/>
      <c r="Y113" s="44"/>
      <c r="Z113" s="44"/>
      <c r="AA113" s="44">
        <f>LOS!L107</f>
        <v>211</v>
      </c>
      <c r="AB113" s="44">
        <f>LOS!M107</f>
        <v>165</v>
      </c>
      <c r="AC113" s="45"/>
      <c r="AD113" s="44" t="str">
        <f>LOS!Q107</f>
        <v>C</v>
      </c>
      <c r="AE113" s="44">
        <f>LOS!R107</f>
        <v>230</v>
      </c>
      <c r="AF113" s="44">
        <f>LOS!S107</f>
        <v>293</v>
      </c>
      <c r="AG113" s="45"/>
      <c r="AH113" s="44" t="str">
        <f>LOS!W107</f>
        <v>C</v>
      </c>
      <c r="AI113" s="82">
        <f>(Trend!L107)</f>
        <v>16.229083665342401</v>
      </c>
      <c r="AJ113" s="77">
        <f>Cap!K107</f>
        <v>0</v>
      </c>
      <c r="AK113" s="77">
        <f>Cap!L107</f>
        <v>330</v>
      </c>
      <c r="AL113" s="77">
        <f>Cap!M107</f>
        <v>680</v>
      </c>
      <c r="AM113" s="77">
        <f>Cap!N107</f>
        <v>720</v>
      </c>
    </row>
    <row r="114" spans="2:39" x14ac:dyDescent="0.25">
      <c r="B114" s="48">
        <f>'2025MasterFile-Stat'!F108</f>
        <v>511</v>
      </c>
      <c r="C114" s="47" t="str">
        <f>'2025MasterFile-Stat'!B108</f>
        <v>Old Dixie Hwy/West Highland Ave/Orange St</v>
      </c>
      <c r="D114" s="47" t="str">
        <f>LEFT('2025MasterFile-Stat'!C108,FIND(" to ",'2025MasterFile-Stat'!C108)-1)</f>
        <v>Errol Pkwy</v>
      </c>
      <c r="E114" s="47" t="str">
        <f>RIGHT('2025MasterFile-Stat'!C108,LEN('2025MasterFile-Stat'!C108)-FIND(" to ",'2025MasterFile-Stat'!C108)-3)</f>
        <v>Vick Rd</v>
      </c>
      <c r="F114" s="44" t="str">
        <f>'2025MasterFile-Stat'!G108</f>
        <v>2L</v>
      </c>
      <c r="G114" s="44"/>
      <c r="H114" s="46" t="str">
        <f>'2025MasterFile-Stat'!H108</f>
        <v>E</v>
      </c>
      <c r="I114" s="44" t="str">
        <f>'2025MasterFile-Stat'!A108</f>
        <v>Min Coll</v>
      </c>
      <c r="J114" s="44"/>
      <c r="K114" s="44"/>
      <c r="L114" s="26">
        <f>IF(Cap!H108="A",Cap!O108,
 IF(Cap!H108="B",Cap!P108,
 IF(Cap!H108="C",Cap!Q108,
 IF(Cap!H108="D",Cap!R108,
 IF(Cap!H108="E",Cap!S108,"")))))</f>
        <v>14000</v>
      </c>
      <c r="M114" s="44"/>
      <c r="N114" s="44">
        <f>IF(Cap!H108="A",Cap!J108,
 IF(Cap!H108="B",Cap!K108,
 IF(Cap!H108="C",Cap!L108,
 IF(Cap!H108="D",Cap!M108,
 IF(Cap!H108="E",Cap!N108,"")))))</f>
        <v>720</v>
      </c>
      <c r="O114" s="44"/>
      <c r="P114" s="44"/>
      <c r="Q114" s="44"/>
      <c r="R114" s="44">
        <f>LOS!J108</f>
        <v>7681</v>
      </c>
      <c r="S114" s="45"/>
      <c r="T114" s="44" t="str">
        <f>LOS!K108</f>
        <v>D</v>
      </c>
      <c r="U114" s="44"/>
      <c r="V114" s="44"/>
      <c r="W114" s="44"/>
      <c r="X114" s="44"/>
      <c r="Y114" s="44"/>
      <c r="Z114" s="44"/>
      <c r="AA114" s="44">
        <f>LOS!L108</f>
        <v>188</v>
      </c>
      <c r="AB114" s="44">
        <f>LOS!M108</f>
        <v>360</v>
      </c>
      <c r="AC114" s="45"/>
      <c r="AD114" s="44" t="str">
        <f>LOS!Q108</f>
        <v>D</v>
      </c>
      <c r="AE114" s="44">
        <f>LOS!R108</f>
        <v>416</v>
      </c>
      <c r="AF114" s="44">
        <f>LOS!S108</f>
        <v>350</v>
      </c>
      <c r="AG114" s="45"/>
      <c r="AH114" s="44" t="str">
        <f>LOS!W108</f>
        <v>D</v>
      </c>
      <c r="AI114" s="82">
        <f>(Trend!L108)</f>
        <v>9.9687540684829994</v>
      </c>
      <c r="AJ114" s="77">
        <f>Cap!K108</f>
        <v>0</v>
      </c>
      <c r="AK114" s="77">
        <f>Cap!L108</f>
        <v>330</v>
      </c>
      <c r="AL114" s="77">
        <f>Cap!M108</f>
        <v>680</v>
      </c>
      <c r="AM114" s="77">
        <f>Cap!N108</f>
        <v>720</v>
      </c>
    </row>
    <row r="115" spans="2:39" x14ac:dyDescent="0.25">
      <c r="B115" s="48">
        <f>'2025MasterFile-Stat'!F109</f>
        <v>514</v>
      </c>
      <c r="C115" s="47" t="str">
        <f>'2025MasterFile-Stat'!B109</f>
        <v>Old Dixie Hwy/West Highland Ave/Orange St</v>
      </c>
      <c r="D115" s="47" t="str">
        <f>LEFT('2025MasterFile-Stat'!C109,FIND(" to ",'2025MasterFile-Stat'!C109)-1)</f>
        <v>Hawthorne Ave</v>
      </c>
      <c r="E115" s="47" t="str">
        <f>RIGHT('2025MasterFile-Stat'!C109,LEN('2025MasterFile-Stat'!C109)-FIND(" to ",'2025MasterFile-Stat'!C109)-3)</f>
        <v>Park Ave</v>
      </c>
      <c r="F115" s="44" t="str">
        <f>'2025MasterFile-Stat'!G109</f>
        <v>2L</v>
      </c>
      <c r="G115" s="44"/>
      <c r="H115" s="46" t="str">
        <f>'2025MasterFile-Stat'!H109</f>
        <v>E</v>
      </c>
      <c r="I115" s="44" t="str">
        <f>'2025MasterFile-Stat'!A109</f>
        <v>Min Coll</v>
      </c>
      <c r="J115" s="44"/>
      <c r="K115" s="44"/>
      <c r="L115" s="26">
        <f>IF(Cap!H109="A",Cap!O109,
 IF(Cap!H109="B",Cap!P109,
 IF(Cap!H109="C",Cap!Q109,
 IF(Cap!H109="D",Cap!R109,
 IF(Cap!H109="E",Cap!S109,"")))))</f>
        <v>14000</v>
      </c>
      <c r="M115" s="44"/>
      <c r="N115" s="44">
        <f>IF(Cap!H109="A",Cap!J109,
 IF(Cap!H109="B",Cap!K109,
 IF(Cap!H109="C",Cap!L109,
 IF(Cap!H109="D",Cap!M109,
 IF(Cap!H109="E",Cap!N109,"")))))</f>
        <v>720</v>
      </c>
      <c r="O115" s="44"/>
      <c r="P115" s="44"/>
      <c r="Q115" s="44"/>
      <c r="R115" s="44">
        <f>LOS!J109</f>
        <v>3304</v>
      </c>
      <c r="S115" s="45"/>
      <c r="T115" s="44" t="str">
        <f>LOS!K109</f>
        <v>C</v>
      </c>
      <c r="U115" s="44"/>
      <c r="V115" s="44"/>
      <c r="W115" s="44"/>
      <c r="X115" s="44"/>
      <c r="Y115" s="44"/>
      <c r="Z115" s="44"/>
      <c r="AA115" s="44">
        <f>LOS!L109</f>
        <v>172</v>
      </c>
      <c r="AB115" s="44">
        <f>LOS!M109</f>
        <v>77</v>
      </c>
      <c r="AC115" s="45"/>
      <c r="AD115" s="44" t="str">
        <f>LOS!Q109</f>
        <v>C</v>
      </c>
      <c r="AE115" s="44">
        <f>LOS!R109</f>
        <v>166</v>
      </c>
      <c r="AF115" s="44">
        <f>LOS!S109</f>
        <v>186</v>
      </c>
      <c r="AG115" s="45"/>
      <c r="AH115" s="44" t="str">
        <f>LOS!W109</f>
        <v>C</v>
      </c>
      <c r="AI115" s="82">
        <f>(Trend!L109)</f>
        <v>-10.744552058113999</v>
      </c>
      <c r="AJ115" s="77">
        <f>Cap!K109</f>
        <v>0</v>
      </c>
      <c r="AK115" s="77">
        <f>Cap!L109</f>
        <v>330</v>
      </c>
      <c r="AL115" s="77">
        <f>Cap!M109</f>
        <v>680</v>
      </c>
      <c r="AM115" s="77">
        <f>Cap!N109</f>
        <v>720</v>
      </c>
    </row>
    <row r="116" spans="2:39" x14ac:dyDescent="0.25">
      <c r="B116" s="48">
        <f>'2025MasterFile-Stat'!F110</f>
        <v>518</v>
      </c>
      <c r="C116" s="47" t="str">
        <f>'2025MasterFile-Stat'!B110</f>
        <v>Old Dixie Hwy/West Highland Ave/Orange St</v>
      </c>
      <c r="D116" s="47" t="str">
        <f>LEFT('2025MasterFile-Stat'!C110,FIND(" to ",'2025MasterFile-Stat'!C110)-1)</f>
        <v>Bradshaw Rd</v>
      </c>
      <c r="E116" s="47" t="str">
        <f>RIGHT('2025MasterFile-Stat'!C110,LEN('2025MasterFile-Stat'!C110)-FIND(" to ",'2025MasterFile-Stat'!C110)-3)</f>
        <v>Hawthorne Ave</v>
      </c>
      <c r="F116" s="44" t="str">
        <f>'2025MasterFile-Stat'!G110</f>
        <v>2L</v>
      </c>
      <c r="G116" s="44"/>
      <c r="H116" s="46" t="str">
        <f>'2025MasterFile-Stat'!H110</f>
        <v>E</v>
      </c>
      <c r="I116" s="44" t="str">
        <f>'2025MasterFile-Stat'!A110</f>
        <v>Min Coll</v>
      </c>
      <c r="J116" s="44"/>
      <c r="K116" s="44"/>
      <c r="L116" s="26">
        <f>IF(Cap!H110="A",Cap!O110,
 IF(Cap!H110="B",Cap!P110,
 IF(Cap!H110="C",Cap!Q110,
 IF(Cap!H110="D",Cap!R110,
 IF(Cap!H110="E",Cap!S110,"")))))</f>
        <v>14000</v>
      </c>
      <c r="M116" s="44"/>
      <c r="N116" s="44">
        <f>IF(Cap!H110="A",Cap!J110,
 IF(Cap!H110="B",Cap!K110,
 IF(Cap!H110="C",Cap!L110,
 IF(Cap!H110="D",Cap!M110,
 IF(Cap!H110="E",Cap!N110,"")))))</f>
        <v>720</v>
      </c>
      <c r="O116" s="44"/>
      <c r="P116" s="44"/>
      <c r="Q116" s="44"/>
      <c r="R116" s="44">
        <f>LOS!J110</f>
        <v>5162</v>
      </c>
      <c r="S116" s="45"/>
      <c r="T116" s="44" t="str">
        <f>LOS!K110</f>
        <v>C</v>
      </c>
      <c r="U116" s="44"/>
      <c r="V116" s="44"/>
      <c r="W116" s="44"/>
      <c r="X116" s="44"/>
      <c r="Y116" s="44"/>
      <c r="Z116" s="44"/>
      <c r="AA116" s="44">
        <f>LOS!L110</f>
        <v>141</v>
      </c>
      <c r="AB116" s="44">
        <f>LOS!M110</f>
        <v>213</v>
      </c>
      <c r="AC116" s="45"/>
      <c r="AD116" s="44" t="str">
        <f>LOS!Q110</f>
        <v>C</v>
      </c>
      <c r="AE116" s="44">
        <f>LOS!R110</f>
        <v>270</v>
      </c>
      <c r="AF116" s="44">
        <f>LOS!S110</f>
        <v>220</v>
      </c>
      <c r="AG116" s="45"/>
      <c r="AH116" s="44" t="str">
        <f>LOS!W110</f>
        <v>C</v>
      </c>
      <c r="AI116" s="82">
        <f>(Trend!L110)</f>
        <v>10.647036032548099</v>
      </c>
      <c r="AJ116" s="77">
        <f>Cap!K110</f>
        <v>0</v>
      </c>
      <c r="AK116" s="77">
        <f>Cap!L110</f>
        <v>330</v>
      </c>
      <c r="AL116" s="77">
        <f>Cap!M110</f>
        <v>680</v>
      </c>
      <c r="AM116" s="77">
        <f>Cap!N110</f>
        <v>720</v>
      </c>
    </row>
    <row r="117" spans="2:39" x14ac:dyDescent="0.25">
      <c r="B117" s="48">
        <f>'2025MasterFile-Stat'!F111</f>
        <v>582</v>
      </c>
      <c r="C117" s="47" t="str">
        <f>'2025MasterFile-Stat'!B111</f>
        <v>Old Dixie Hwy/West Highland Ave/Orange St</v>
      </c>
      <c r="D117" s="47" t="str">
        <f>LEFT('2025MasterFile-Stat'!C111,FIND(" to ",'2025MasterFile-Stat'!C111)-1)</f>
        <v>Plymouth-Sorrento Rd (CR 437)</v>
      </c>
      <c r="E117" s="47" t="str">
        <f>RIGHT('2025MasterFile-Stat'!C111,LEN('2025MasterFile-Stat'!C111)-FIND(" to ",'2025MasterFile-Stat'!C111)-3)</f>
        <v>Boy Scout Blvd</v>
      </c>
      <c r="F117" s="44" t="str">
        <f>'2025MasterFile-Stat'!G111</f>
        <v>2L</v>
      </c>
      <c r="G117" s="44"/>
      <c r="H117" s="46" t="str">
        <f>'2025MasterFile-Stat'!H111</f>
        <v>E</v>
      </c>
      <c r="I117" s="44" t="str">
        <f>'2025MasterFile-Stat'!A111</f>
        <v>Min Coll</v>
      </c>
      <c r="J117" s="44"/>
      <c r="K117" s="44"/>
      <c r="L117" s="26">
        <f>IF(Cap!H111="A",Cap!O111,
 IF(Cap!H111="B",Cap!P111,
 IF(Cap!H111="C",Cap!Q111,
 IF(Cap!H111="D",Cap!R111,
 IF(Cap!H111="E",Cap!S111,"")))))</f>
        <v>14000</v>
      </c>
      <c r="M117" s="44"/>
      <c r="N117" s="44">
        <f>IF(Cap!H111="A",Cap!J111,
 IF(Cap!H111="B",Cap!K111,
 IF(Cap!H111="C",Cap!L111,
 IF(Cap!H111="D",Cap!M111,
 IF(Cap!H111="E",Cap!N111,"")))))</f>
        <v>720</v>
      </c>
      <c r="O117" s="44"/>
      <c r="P117" s="44"/>
      <c r="Q117" s="44"/>
      <c r="R117" s="44">
        <f>LOS!J111</f>
        <v>2583</v>
      </c>
      <c r="S117" s="45"/>
      <c r="T117" s="44" t="str">
        <f>LOS!K111</f>
        <v>C</v>
      </c>
      <c r="U117" s="44"/>
      <c r="V117" s="44"/>
      <c r="W117" s="44"/>
      <c r="X117" s="44"/>
      <c r="Y117" s="44"/>
      <c r="Z117" s="44"/>
      <c r="AA117" s="44">
        <f>LOS!L111</f>
        <v>87</v>
      </c>
      <c r="AB117" s="44">
        <f>LOS!M111</f>
        <v>85</v>
      </c>
      <c r="AC117" s="45"/>
      <c r="AD117" s="44" t="str">
        <f>LOS!Q111</f>
        <v>C</v>
      </c>
      <c r="AE117" s="44">
        <f>LOS!R111</f>
        <v>146</v>
      </c>
      <c r="AF117" s="44">
        <f>LOS!S111</f>
        <v>125</v>
      </c>
      <c r="AG117" s="45"/>
      <c r="AH117" s="44" t="str">
        <f>LOS!W111</f>
        <v>C</v>
      </c>
      <c r="AI117" s="82">
        <f>(Trend!L111)</f>
        <v>1.4982578397216599</v>
      </c>
      <c r="AJ117" s="77">
        <f>Cap!K111</f>
        <v>0</v>
      </c>
      <c r="AK117" s="77">
        <f>Cap!L111</f>
        <v>330</v>
      </c>
      <c r="AL117" s="77">
        <f>Cap!M111</f>
        <v>680</v>
      </c>
      <c r="AM117" s="77">
        <f>Cap!N111</f>
        <v>720</v>
      </c>
    </row>
    <row r="118" spans="2:39" x14ac:dyDescent="0.25">
      <c r="B118" s="48">
        <f>'2025MasterFile-Stat'!F112</f>
        <v>817</v>
      </c>
      <c r="C118" s="47" t="str">
        <f>'2025MasterFile-Stat'!B112</f>
        <v>Ondich Rd</v>
      </c>
      <c r="D118" s="47" t="str">
        <f>LEFT('2025MasterFile-Stat'!C112,FIND(" to ",'2025MasterFile-Stat'!C112)-1)</f>
        <v>Effie Dr</v>
      </c>
      <c r="E118" s="47" t="str">
        <f>RIGHT('2025MasterFile-Stat'!C112,LEN('2025MasterFile-Stat'!C112)-FIND(" to ",'2025MasterFile-Stat'!C112)-3)</f>
        <v>Plymouth-Sorrento Rd (CR 437)</v>
      </c>
      <c r="F118" s="44" t="str">
        <f>'2025MasterFile-Stat'!G112</f>
        <v>2L</v>
      </c>
      <c r="G118" s="44"/>
      <c r="H118" s="46" t="str">
        <f>'2025MasterFile-Stat'!H112</f>
        <v>E</v>
      </c>
      <c r="I118" s="44" t="str">
        <f>'2025MasterFile-Stat'!A112</f>
        <v>Min Coll</v>
      </c>
      <c r="J118" s="44"/>
      <c r="K118" s="44"/>
      <c r="L118" s="26">
        <f>IF(Cap!H112="A",Cap!O112,
 IF(Cap!H112="B",Cap!P112,
 IF(Cap!H112="C",Cap!Q112,
 IF(Cap!H112="D",Cap!R112,
 IF(Cap!H112="E",Cap!S112,"")))))</f>
        <v>14000</v>
      </c>
      <c r="M118" s="44"/>
      <c r="N118" s="44">
        <f>IF(Cap!H112="A",Cap!J112,
 IF(Cap!H112="B",Cap!K112,
 IF(Cap!H112="C",Cap!L112,
 IF(Cap!H112="D",Cap!M112,
 IF(Cap!H112="E",Cap!N112,"")))))</f>
        <v>720</v>
      </c>
      <c r="O118" s="44"/>
      <c r="P118" s="44"/>
      <c r="Q118" s="44"/>
      <c r="R118" s="44">
        <f>LOS!J112</f>
        <v>833</v>
      </c>
      <c r="S118" s="45"/>
      <c r="T118" s="44" t="str">
        <f>LOS!K112</f>
        <v>C</v>
      </c>
      <c r="U118" s="44"/>
      <c r="V118" s="44"/>
      <c r="W118" s="44"/>
      <c r="X118" s="44"/>
      <c r="Y118" s="44"/>
      <c r="Z118" s="44"/>
      <c r="AA118" s="44">
        <f>LOS!L112</f>
        <v>27</v>
      </c>
      <c r="AB118" s="44">
        <f>LOS!M112</f>
        <v>53</v>
      </c>
      <c r="AC118" s="45"/>
      <c r="AD118" s="44" t="str">
        <f>LOS!Q112</f>
        <v>C</v>
      </c>
      <c r="AE118" s="44">
        <f>LOS!R112</f>
        <v>52</v>
      </c>
      <c r="AF118" s="44">
        <f>LOS!S112</f>
        <v>49</v>
      </c>
      <c r="AG118" s="45"/>
      <c r="AH118" s="44" t="str">
        <f>LOS!W112</f>
        <v>C</v>
      </c>
      <c r="AI118" s="82" t="str">
        <f>(Trend!L112)</f>
        <v>N/A</v>
      </c>
      <c r="AJ118" s="77">
        <f>Cap!K112</f>
        <v>0</v>
      </c>
      <c r="AK118" s="77">
        <f>Cap!L112</f>
        <v>330</v>
      </c>
      <c r="AL118" s="77">
        <f>Cap!M112</f>
        <v>680</v>
      </c>
      <c r="AM118" s="77">
        <f>Cap!N112</f>
        <v>720</v>
      </c>
    </row>
    <row r="119" spans="2:39" x14ac:dyDescent="0.25">
      <c r="B119" s="48">
        <f>'2025MasterFile-Stat'!F113</f>
        <v>901</v>
      </c>
      <c r="C119" s="47" t="str">
        <f>'2025MasterFile-Stat'!B113</f>
        <v>Ondich Rd</v>
      </c>
      <c r="D119" s="47" t="str">
        <f>LEFT('2025MasterFile-Stat'!C113,FIND(" to ",'2025MasterFile-Stat'!C113)-1)</f>
        <v>Round Lake Rd</v>
      </c>
      <c r="E119" s="47" t="str">
        <f>RIGHT('2025MasterFile-Stat'!C113,LEN('2025MasterFile-Stat'!C113)-FIND(" to ",'2025MasterFile-Stat'!C113)-3)</f>
        <v>Effie Dr</v>
      </c>
      <c r="F119" s="44" t="str">
        <f>'2025MasterFile-Stat'!G113</f>
        <v>2L</v>
      </c>
      <c r="G119" s="44"/>
      <c r="H119" s="46" t="str">
        <f>'2025MasterFile-Stat'!H113</f>
        <v>E</v>
      </c>
      <c r="I119" s="44" t="str">
        <f>'2025MasterFile-Stat'!A113</f>
        <v>Min Coll</v>
      </c>
      <c r="J119" s="44"/>
      <c r="K119" s="44"/>
      <c r="L119" s="26">
        <f>IF(Cap!H113="A",Cap!O113,
 IF(Cap!H113="B",Cap!P113,
 IF(Cap!H113="C",Cap!Q113,
 IF(Cap!H113="D",Cap!R113,
 IF(Cap!H113="E",Cap!S113,"")))))</f>
        <v>14000</v>
      </c>
      <c r="M119" s="44"/>
      <c r="N119" s="44">
        <f>IF(Cap!H113="A",Cap!J113,
 IF(Cap!H113="B",Cap!K113,
 IF(Cap!H113="C",Cap!L113,
 IF(Cap!H113="D",Cap!M113,
 IF(Cap!H113="E",Cap!N113,"")))))</f>
        <v>720</v>
      </c>
      <c r="O119" s="44"/>
      <c r="P119" s="44"/>
      <c r="Q119" s="44"/>
      <c r="R119" s="44">
        <f>LOS!J113</f>
        <v>1040</v>
      </c>
      <c r="S119" s="45"/>
      <c r="T119" s="44" t="str">
        <f>LOS!K113</f>
        <v>C</v>
      </c>
      <c r="U119" s="44"/>
      <c r="V119" s="44"/>
      <c r="W119" s="44"/>
      <c r="X119" s="44"/>
      <c r="Y119" s="44"/>
      <c r="Z119" s="44"/>
      <c r="AA119" s="44">
        <f>LOS!L113</f>
        <v>38</v>
      </c>
      <c r="AB119" s="44">
        <f>LOS!M113</f>
        <v>66</v>
      </c>
      <c r="AC119" s="45"/>
      <c r="AD119" s="44" t="str">
        <f>LOS!Q113</f>
        <v>C</v>
      </c>
      <c r="AE119" s="44">
        <f>LOS!R113</f>
        <v>60</v>
      </c>
      <c r="AF119" s="44">
        <f>LOS!S113</f>
        <v>62</v>
      </c>
      <c r="AG119" s="45"/>
      <c r="AH119" s="44" t="str">
        <f>LOS!W113</f>
        <v>C</v>
      </c>
      <c r="AI119" s="82">
        <f>(Trend!L113)</f>
        <v>-131.432692307721</v>
      </c>
      <c r="AJ119" s="77">
        <f>Cap!K113</f>
        <v>0</v>
      </c>
      <c r="AK119" s="77">
        <f>Cap!L113</f>
        <v>330</v>
      </c>
      <c r="AL119" s="77">
        <f>Cap!M113</f>
        <v>680</v>
      </c>
      <c r="AM119" s="77">
        <f>Cap!N113</f>
        <v>720</v>
      </c>
    </row>
    <row r="120" spans="2:39" x14ac:dyDescent="0.25">
      <c r="B120" s="48">
        <f>'2025MasterFile-Stat'!F114</f>
        <v>672</v>
      </c>
      <c r="C120" s="47" t="str">
        <f>'2025MasterFile-Stat'!B114</f>
        <v>Overland Rd</v>
      </c>
      <c r="D120" s="47" t="str">
        <f>LEFT('2025MasterFile-Stat'!C114,FIND(" to ",'2025MasterFile-Stat'!C114)-1)</f>
        <v>Apopka Rd</v>
      </c>
      <c r="E120" s="47" t="str">
        <f>RIGHT('2025MasterFile-Stat'!C114,LEN('2025MasterFile-Stat'!C114)-FIND(" to ",'2025MasterFile-Stat'!C114)-3)</f>
        <v>Beggs Rd</v>
      </c>
      <c r="F120" s="44" t="str">
        <f>'2025MasterFile-Stat'!G114</f>
        <v>2L</v>
      </c>
      <c r="G120" s="44"/>
      <c r="H120" s="46" t="str">
        <f>'2025MasterFile-Stat'!H114</f>
        <v>E</v>
      </c>
      <c r="I120" s="44" t="str">
        <f>'2025MasterFile-Stat'!A114</f>
        <v>Min Coll</v>
      </c>
      <c r="J120" s="44"/>
      <c r="K120" s="44"/>
      <c r="L120" s="26">
        <f>IF(Cap!H114="A",Cap!O114,
 IF(Cap!H114="B",Cap!P114,
 IF(Cap!H114="C",Cap!Q114,
 IF(Cap!H114="D",Cap!R114,
 IF(Cap!H114="E",Cap!S114,"")))))</f>
        <v>15900</v>
      </c>
      <c r="M120" s="44"/>
      <c r="N120" s="44">
        <f>IF(Cap!H114="A",Cap!J114,
 IF(Cap!H114="B",Cap!K114,
 IF(Cap!H114="C",Cap!L114,
 IF(Cap!H114="D",Cap!M114,
 IF(Cap!H114="E",Cap!N114,"")))))</f>
        <v>790</v>
      </c>
      <c r="O120" s="44"/>
      <c r="P120" s="44"/>
      <c r="Q120" s="44"/>
      <c r="R120" s="44">
        <f>LOS!J114</f>
        <v>5780</v>
      </c>
      <c r="S120" s="45"/>
      <c r="T120" s="44" t="str">
        <f>LOS!K114</f>
        <v>C</v>
      </c>
      <c r="U120" s="44"/>
      <c r="V120" s="44"/>
      <c r="W120" s="44"/>
      <c r="X120" s="44"/>
      <c r="Y120" s="44"/>
      <c r="Z120" s="44"/>
      <c r="AA120" s="44">
        <f>LOS!L114</f>
        <v>178</v>
      </c>
      <c r="AB120" s="44">
        <f>LOS!M114</f>
        <v>218</v>
      </c>
      <c r="AC120" s="45"/>
      <c r="AD120" s="44" t="str">
        <f>LOS!Q114</f>
        <v>C</v>
      </c>
      <c r="AE120" s="44">
        <f>LOS!R114</f>
        <v>275</v>
      </c>
      <c r="AF120" s="44">
        <f>LOS!S114</f>
        <v>256</v>
      </c>
      <c r="AG120" s="45"/>
      <c r="AH120" s="44" t="str">
        <f>LOS!W114</f>
        <v>C</v>
      </c>
      <c r="AI120" s="82">
        <f>(Trend!L114)</f>
        <v>14.757785467131299</v>
      </c>
      <c r="AJ120" s="77">
        <f>Cap!K114</f>
        <v>0</v>
      </c>
      <c r="AK120" s="77">
        <f>Cap!L114</f>
        <v>750</v>
      </c>
      <c r="AL120" s="77">
        <f>Cap!M114</f>
        <v>790</v>
      </c>
      <c r="AM120" s="77">
        <f>Cap!N114</f>
        <v>790</v>
      </c>
    </row>
    <row r="121" spans="2:39" x14ac:dyDescent="0.25">
      <c r="B121" s="48">
        <f>'2025MasterFile-Stat'!F115</f>
        <v>586</v>
      </c>
      <c r="C121" s="47" t="str">
        <f>'2025MasterFile-Stat'!B115</f>
        <v>Peterson Rd</v>
      </c>
      <c r="D121" s="47" t="str">
        <f>LEFT('2025MasterFile-Stat'!C115,FIND(" to ",'2025MasterFile-Stat'!C115)-1)</f>
        <v>Grand Avian Pkwy</v>
      </c>
      <c r="E121" s="47" t="str">
        <f>RIGHT('2025MasterFile-Stat'!C115,LEN('2025MasterFile-Stat'!C115)-FIND(" to ",'2025MasterFile-Stat'!C115)-3)</f>
        <v>King St</v>
      </c>
      <c r="F121" s="44" t="str">
        <f>'2025MasterFile-Stat'!G115</f>
        <v>2L</v>
      </c>
      <c r="G121" s="44"/>
      <c r="H121" s="46" t="str">
        <f>'2025MasterFile-Stat'!H115</f>
        <v>E</v>
      </c>
      <c r="I121" s="44" t="str">
        <f>'2025MasterFile-Stat'!A115</f>
        <v>Min Coll</v>
      </c>
      <c r="J121" s="44"/>
      <c r="K121" s="44"/>
      <c r="L121" s="26">
        <f>IF(Cap!H115="A",Cap!O115,
 IF(Cap!H115="B",Cap!P115,
 IF(Cap!H115="C",Cap!Q115,
 IF(Cap!H115="D",Cap!R115,
 IF(Cap!H115="E",Cap!S115,"")))))</f>
        <v>14000</v>
      </c>
      <c r="M121" s="44"/>
      <c r="N121" s="44">
        <f>IF(Cap!H115="A",Cap!J115,
 IF(Cap!H115="B",Cap!K115,
 IF(Cap!H115="C",Cap!L115,
 IF(Cap!H115="D",Cap!M115,
 IF(Cap!H115="E",Cap!N115,"")))))</f>
        <v>720</v>
      </c>
      <c r="O121" s="44"/>
      <c r="P121" s="44"/>
      <c r="Q121" s="44"/>
      <c r="R121" s="44">
        <f>LOS!J115</f>
        <v>1482</v>
      </c>
      <c r="S121" s="45"/>
      <c r="T121" s="44" t="str">
        <f>LOS!K115</f>
        <v>C</v>
      </c>
      <c r="U121" s="44"/>
      <c r="V121" s="44"/>
      <c r="W121" s="44"/>
      <c r="X121" s="44"/>
      <c r="Y121" s="44"/>
      <c r="Z121" s="44"/>
      <c r="AA121" s="44">
        <f>LOS!L115</f>
        <v>57</v>
      </c>
      <c r="AB121" s="44">
        <f>LOS!M115</f>
        <v>56</v>
      </c>
      <c r="AC121" s="45"/>
      <c r="AD121" s="44" t="str">
        <f>LOS!Q115</f>
        <v>C</v>
      </c>
      <c r="AE121" s="44">
        <f>LOS!R115</f>
        <v>50</v>
      </c>
      <c r="AF121" s="44">
        <f>LOS!S115</f>
        <v>49</v>
      </c>
      <c r="AG121" s="45"/>
      <c r="AH121" s="44" t="str">
        <f>LOS!W115</f>
        <v>C</v>
      </c>
      <c r="AI121" s="82">
        <f>(Trend!L115)</f>
        <v>-30.499325236173799</v>
      </c>
      <c r="AJ121" s="77">
        <f>Cap!K115</f>
        <v>0</v>
      </c>
      <c r="AK121" s="77">
        <f>Cap!L115</f>
        <v>330</v>
      </c>
      <c r="AL121" s="77">
        <f>Cap!M115</f>
        <v>680</v>
      </c>
      <c r="AM121" s="77">
        <f>Cap!N115</f>
        <v>720</v>
      </c>
    </row>
    <row r="122" spans="2:39" x14ac:dyDescent="0.25">
      <c r="B122" s="48" t="str">
        <f>'2025MasterFile-Stat'!F116</f>
        <v>(11, 8164)*</v>
      </c>
      <c r="C122" s="47" t="str">
        <f>'2025MasterFile-Stat'!B116</f>
        <v>Plymouth-Sorrento Rd</v>
      </c>
      <c r="D122" s="47" t="str">
        <f>LEFT('2025MasterFile-Stat'!C116,FIND(" to ",'2025MasterFile-Stat'!C116)-1)</f>
        <v>Appy Ln</v>
      </c>
      <c r="E122" s="47" t="str">
        <f>RIGHT('2025MasterFile-Stat'!C116,LEN('2025MasterFile-Stat'!C116)-FIND(" to ",'2025MasterFile-Stat'!C116)-3)</f>
        <v>Ponkan Rd</v>
      </c>
      <c r="F122" s="44" t="str">
        <f>'2025MasterFile-Stat'!G116</f>
        <v>2L</v>
      </c>
      <c r="G122" s="44"/>
      <c r="H122" s="46" t="str">
        <f>'2025MasterFile-Stat'!H116</f>
        <v>E</v>
      </c>
      <c r="I122" s="44" t="str">
        <f>'2025MasterFile-Stat'!A116</f>
        <v>Min Art</v>
      </c>
      <c r="J122" s="44"/>
      <c r="K122" s="44"/>
      <c r="L122" s="26">
        <f>IF(Cap!H116="A",Cap!O116,
 IF(Cap!H116="B",Cap!P116,
 IF(Cap!H116="C",Cap!Q116,
 IF(Cap!H116="D",Cap!R116,
 IF(Cap!H116="E",Cap!S116,"")))))</f>
        <v>17700</v>
      </c>
      <c r="M122" s="44"/>
      <c r="N122" s="44">
        <f>IF(Cap!H116="A",Cap!J116,
 IF(Cap!H116="B",Cap!K116,
 IF(Cap!H116="C",Cap!L116,
 IF(Cap!H116="D",Cap!M116,
 IF(Cap!H116="E",Cap!N116,"")))))</f>
        <v>880</v>
      </c>
      <c r="O122" s="44"/>
      <c r="P122" s="44"/>
      <c r="Q122" s="44"/>
      <c r="R122" s="44">
        <f>LOS!J116</f>
        <v>8771</v>
      </c>
      <c r="S122" s="45"/>
      <c r="T122" s="44" t="str">
        <f>LOS!K116</f>
        <v>C</v>
      </c>
      <c r="U122" s="44"/>
      <c r="V122" s="44"/>
      <c r="W122" s="44"/>
      <c r="X122" s="44"/>
      <c r="Y122" s="44"/>
      <c r="Z122" s="44"/>
      <c r="AA122" s="44">
        <f>LOS!L116</f>
        <v>346</v>
      </c>
      <c r="AB122" s="44">
        <f>LOS!M116</f>
        <v>360</v>
      </c>
      <c r="AC122" s="45"/>
      <c r="AD122" s="44" t="str">
        <f>LOS!Q116</f>
        <v>C</v>
      </c>
      <c r="AE122" s="44">
        <f>LOS!R116</f>
        <v>473</v>
      </c>
      <c r="AF122" s="44">
        <f>LOS!S116</f>
        <v>467</v>
      </c>
      <c r="AG122" s="45"/>
      <c r="AH122" s="44" t="str">
        <f>LOS!W116</f>
        <v>C</v>
      </c>
      <c r="AI122" s="82">
        <f>(Trend!L116)</f>
        <v>4.5997174476111002</v>
      </c>
      <c r="AJ122" s="77">
        <f>Cap!K116</f>
        <v>0</v>
      </c>
      <c r="AK122" s="77">
        <f>Cap!L116</f>
        <v>830</v>
      </c>
      <c r="AL122" s="77">
        <f>Cap!M116</f>
        <v>880</v>
      </c>
      <c r="AM122" s="77">
        <f>Cap!N116</f>
        <v>880</v>
      </c>
    </row>
    <row r="123" spans="2:39" x14ac:dyDescent="0.25">
      <c r="B123" s="48" t="str">
        <f>'2025MasterFile-Stat'!F117</f>
        <v>14*</v>
      </c>
      <c r="C123" s="47" t="str">
        <f>'2025MasterFile-Stat'!B117</f>
        <v>Plymouth-Sorrento Rd</v>
      </c>
      <c r="D123" s="47" t="str">
        <f>LEFT('2025MasterFile-Stat'!C117,FIND(" to ",'2025MasterFile-Stat'!C117)-1)</f>
        <v>County Line</v>
      </c>
      <c r="E123" s="47" t="str">
        <f>RIGHT('2025MasterFile-Stat'!C117,LEN('2025MasterFile-Stat'!C117)-FIND(" to ",'2025MasterFile-Stat'!C117)-3)</f>
        <v>Kelly Park Rd</v>
      </c>
      <c r="F123" s="44" t="str">
        <f>'2025MasterFile-Stat'!G117</f>
        <v>2L</v>
      </c>
      <c r="G123" s="44"/>
      <c r="H123" s="46" t="str">
        <f>'2025MasterFile-Stat'!H117</f>
        <v>E</v>
      </c>
      <c r="I123" s="44" t="str">
        <f>'2025MasterFile-Stat'!A117</f>
        <v>Min Art</v>
      </c>
      <c r="J123" s="44"/>
      <c r="K123" s="44"/>
      <c r="L123" s="26">
        <f>IF(Cap!H117="A",Cap!O117,
 IF(Cap!H117="B",Cap!P117,
 IF(Cap!H117="C",Cap!Q117,
 IF(Cap!H117="D",Cap!R117,
 IF(Cap!H117="E",Cap!S117,"")))))</f>
        <v>32600</v>
      </c>
      <c r="M123" s="44"/>
      <c r="N123" s="44">
        <f>IF(Cap!H117="A",Cap!J117,
 IF(Cap!H117="B",Cap!K117,
 IF(Cap!H117="C",Cap!L117,
 IF(Cap!H117="D",Cap!M117,
 IF(Cap!H117="E",Cap!N117,"")))))</f>
        <v>1610</v>
      </c>
      <c r="O123" s="44"/>
      <c r="P123" s="44"/>
      <c r="Q123" s="44"/>
      <c r="R123" s="44">
        <f>LOS!J117</f>
        <v>11502</v>
      </c>
      <c r="S123" s="45"/>
      <c r="T123" s="44" t="str">
        <f>LOS!K117</f>
        <v>B</v>
      </c>
      <c r="U123" s="44"/>
      <c r="V123" s="44"/>
      <c r="W123" s="44"/>
      <c r="X123" s="44"/>
      <c r="Y123" s="44"/>
      <c r="Z123" s="44"/>
      <c r="AA123" s="44">
        <f>LOS!L117</f>
        <v>407</v>
      </c>
      <c r="AB123" s="44">
        <f>LOS!M117</f>
        <v>625</v>
      </c>
      <c r="AC123" s="45"/>
      <c r="AD123" s="44" t="str">
        <f>LOS!Q117</f>
        <v>C</v>
      </c>
      <c r="AE123" s="44">
        <f>LOS!R117</f>
        <v>656</v>
      </c>
      <c r="AF123" s="44">
        <f>LOS!S117</f>
        <v>381</v>
      </c>
      <c r="AG123" s="45"/>
      <c r="AH123" s="44" t="str">
        <f>LOS!W117</f>
        <v>C</v>
      </c>
      <c r="AI123" s="82">
        <f>(Trend!L117)</f>
        <v>4.2181752938016102</v>
      </c>
      <c r="AJ123" s="77">
        <f>Cap!K117</f>
        <v>580</v>
      </c>
      <c r="AK123" s="77">
        <f>Cap!L117</f>
        <v>890</v>
      </c>
      <c r="AL123" s="77">
        <f>Cap!M117</f>
        <v>1200</v>
      </c>
      <c r="AM123" s="77">
        <f>Cap!N117</f>
        <v>1610</v>
      </c>
    </row>
    <row r="124" spans="2:39" x14ac:dyDescent="0.25">
      <c r="B124" s="48">
        <f>'2025MasterFile-Stat'!F118</f>
        <v>542</v>
      </c>
      <c r="C124" s="47" t="str">
        <f>'2025MasterFile-Stat'!B118</f>
        <v>Plymouth-Sorrento Rd</v>
      </c>
      <c r="D124" s="47" t="str">
        <f>LEFT('2025MasterFile-Stat'!C118,FIND(" to ",'2025MasterFile-Stat'!C118)-1)</f>
        <v>Lester Rd/Yothers Rd</v>
      </c>
      <c r="E124" s="47" t="str">
        <f>RIGHT('2025MasterFile-Stat'!C118,LEN('2025MasterFile-Stat'!C118)-FIND(" to ",'2025MasterFile-Stat'!C118)-3)</f>
        <v>SR 429 Connector Rd</v>
      </c>
      <c r="F124" s="44" t="str">
        <f>'2025MasterFile-Stat'!G118</f>
        <v>2L</v>
      </c>
      <c r="G124" s="44"/>
      <c r="H124" s="46" t="str">
        <f>'2025MasterFile-Stat'!H118</f>
        <v>E</v>
      </c>
      <c r="I124" s="44" t="str">
        <f>'2025MasterFile-Stat'!A118</f>
        <v>Min Art</v>
      </c>
      <c r="J124" s="44"/>
      <c r="K124" s="44"/>
      <c r="L124" s="26">
        <f>IF(Cap!H118="A",Cap!O118,
 IF(Cap!H118="B",Cap!P118,
 IF(Cap!H118="C",Cap!Q118,
 IF(Cap!H118="D",Cap!R118,
 IF(Cap!H118="E",Cap!S118,"")))))</f>
        <v>19000</v>
      </c>
      <c r="M124" s="44"/>
      <c r="N124" s="44">
        <f>IF(Cap!H118="A",Cap!J118,
 IF(Cap!H118="B",Cap!K118,
 IF(Cap!H118="C",Cap!L118,
 IF(Cap!H118="D",Cap!M118,
 IF(Cap!H118="E",Cap!N118,"")))))</f>
        <v>950</v>
      </c>
      <c r="O124" s="44"/>
      <c r="P124" s="44"/>
      <c r="Q124" s="44"/>
      <c r="R124" s="44">
        <f>LOS!J118</f>
        <v>11192</v>
      </c>
      <c r="S124" s="45"/>
      <c r="T124" s="44" t="str">
        <f>LOS!K118</f>
        <v>C</v>
      </c>
      <c r="U124" s="44"/>
      <c r="V124" s="44"/>
      <c r="W124" s="44"/>
      <c r="X124" s="44"/>
      <c r="Y124" s="44"/>
      <c r="Z124" s="44"/>
      <c r="AA124" s="44">
        <f>LOS!L118</f>
        <v>277</v>
      </c>
      <c r="AB124" s="44">
        <f>LOS!M118</f>
        <v>622</v>
      </c>
      <c r="AC124" s="45"/>
      <c r="AD124" s="44" t="str">
        <f>LOS!Q118</f>
        <v>C</v>
      </c>
      <c r="AE124" s="44">
        <f>LOS!R118</f>
        <v>602</v>
      </c>
      <c r="AF124" s="44">
        <f>LOS!S118</f>
        <v>376</v>
      </c>
      <c r="AG124" s="45"/>
      <c r="AH124" s="44" t="str">
        <f>LOS!W118</f>
        <v>C</v>
      </c>
      <c r="AI124" s="82">
        <f>(Trend!L118)</f>
        <v>3.0968548963554201</v>
      </c>
      <c r="AJ124" s="77">
        <f>Cap!K118</f>
        <v>0</v>
      </c>
      <c r="AK124" s="77">
        <f>Cap!L118</f>
        <v>890</v>
      </c>
      <c r="AL124" s="77">
        <f>Cap!M118</f>
        <v>950</v>
      </c>
      <c r="AM124" s="77">
        <f>Cap!N118</f>
        <v>950</v>
      </c>
    </row>
    <row r="125" spans="2:39" x14ac:dyDescent="0.25">
      <c r="B125" s="48">
        <f>'2025MasterFile-Stat'!F119</f>
        <v>543</v>
      </c>
      <c r="C125" s="47" t="str">
        <f>'2025MasterFile-Stat'!B119</f>
        <v>Plymouth-Sorrento Rd</v>
      </c>
      <c r="D125" s="47" t="str">
        <f>LEFT('2025MasterFile-Stat'!C119,FIND(" to ",'2025MasterFile-Stat'!C119)-1)</f>
        <v>SR 429 Connector Rd</v>
      </c>
      <c r="E125" s="47" t="str">
        <f>RIGHT('2025MasterFile-Stat'!C119,LEN('2025MasterFile-Stat'!C119)-FIND(" to ",'2025MasterFile-Stat'!C119)-3)</f>
        <v>US 441</v>
      </c>
      <c r="F125" s="44" t="str">
        <f>'2025MasterFile-Stat'!G119</f>
        <v>2L</v>
      </c>
      <c r="G125" s="44"/>
      <c r="H125" s="46" t="str">
        <f>'2025MasterFile-Stat'!H119</f>
        <v>E</v>
      </c>
      <c r="I125" s="44" t="str">
        <f>'2025MasterFile-Stat'!A119</f>
        <v>Min Art</v>
      </c>
      <c r="J125" s="44"/>
      <c r="K125" s="44"/>
      <c r="L125" s="26">
        <f>IF(Cap!H119="A",Cap!O119,
 IF(Cap!H119="B",Cap!P119,
 IF(Cap!H119="C",Cap!Q119,
 IF(Cap!H119="D",Cap!R119,
 IF(Cap!H119="E",Cap!S119,"")))))</f>
        <v>17700</v>
      </c>
      <c r="M125" s="44"/>
      <c r="N125" s="44">
        <f>IF(Cap!H119="A",Cap!J119,
 IF(Cap!H119="B",Cap!K119,
 IF(Cap!H119="C",Cap!L119,
 IF(Cap!H119="D",Cap!M119,
 IF(Cap!H119="E",Cap!N119,"")))))</f>
        <v>880</v>
      </c>
      <c r="O125" s="44"/>
      <c r="P125" s="44"/>
      <c r="Q125" s="44"/>
      <c r="R125" s="44">
        <f>LOS!J119</f>
        <v>8554</v>
      </c>
      <c r="S125" s="45"/>
      <c r="T125" s="44" t="str">
        <f>LOS!K119</f>
        <v>C</v>
      </c>
      <c r="U125" s="44"/>
      <c r="V125" s="44"/>
      <c r="W125" s="44"/>
      <c r="X125" s="44"/>
      <c r="Y125" s="44"/>
      <c r="Z125" s="44"/>
      <c r="AA125" s="44">
        <f>LOS!L119</f>
        <v>271</v>
      </c>
      <c r="AB125" s="44">
        <f>LOS!M119</f>
        <v>330</v>
      </c>
      <c r="AC125" s="45"/>
      <c r="AD125" s="44" t="str">
        <f>LOS!Q119</f>
        <v>C</v>
      </c>
      <c r="AE125" s="44">
        <f>LOS!R119</f>
        <v>433</v>
      </c>
      <c r="AF125" s="44">
        <f>LOS!S119</f>
        <v>342</v>
      </c>
      <c r="AG125" s="45"/>
      <c r="AH125" s="44" t="str">
        <f>LOS!W119</f>
        <v>C</v>
      </c>
      <c r="AI125" s="82">
        <f>(Trend!L119)</f>
        <v>4.3605330839385497</v>
      </c>
      <c r="AJ125" s="77">
        <f>Cap!K119</f>
        <v>0</v>
      </c>
      <c r="AK125" s="77">
        <f>Cap!L119</f>
        <v>830</v>
      </c>
      <c r="AL125" s="77">
        <f>Cap!M119</f>
        <v>880</v>
      </c>
      <c r="AM125" s="77">
        <f>Cap!N119</f>
        <v>880</v>
      </c>
    </row>
    <row r="126" spans="2:39" x14ac:dyDescent="0.25">
      <c r="B126" s="48">
        <f>'2025MasterFile-Stat'!F120</f>
        <v>544</v>
      </c>
      <c r="C126" s="47" t="str">
        <f>'2025MasterFile-Stat'!B120</f>
        <v>Plymouth-Sorrento Rd</v>
      </c>
      <c r="D126" s="47" t="str">
        <f>LEFT('2025MasterFile-Stat'!C120,FIND(" to ",'2025MasterFile-Stat'!C120)-1)</f>
        <v>Kelly Park Rd</v>
      </c>
      <c r="E126" s="47" t="str">
        <f>RIGHT('2025MasterFile-Stat'!C120,LEN('2025MasterFile-Stat'!C120)-FIND(" to ",'2025MasterFile-Stat'!C120)-3)</f>
        <v>Appy Ln</v>
      </c>
      <c r="F126" s="44" t="str">
        <f>'2025MasterFile-Stat'!G120</f>
        <v>2L</v>
      </c>
      <c r="G126" s="44"/>
      <c r="H126" s="46" t="str">
        <f>'2025MasterFile-Stat'!H120</f>
        <v>E</v>
      </c>
      <c r="I126" s="44" t="str">
        <f>'2025MasterFile-Stat'!A120</f>
        <v>Min Art</v>
      </c>
      <c r="J126" s="44"/>
      <c r="K126" s="44"/>
      <c r="L126" s="26">
        <f>IF(Cap!H120="A",Cap!O120,
 IF(Cap!H120="B",Cap!P120,
 IF(Cap!H120="C",Cap!Q120,
 IF(Cap!H120="D",Cap!R120,
 IF(Cap!H120="E",Cap!S120,"")))))</f>
        <v>19000</v>
      </c>
      <c r="M126" s="44"/>
      <c r="N126" s="44">
        <f>IF(Cap!H120="A",Cap!J120,
 IF(Cap!H120="B",Cap!K120,
 IF(Cap!H120="C",Cap!L120,
 IF(Cap!H120="D",Cap!M120,
 IF(Cap!H120="E",Cap!N120,"")))))</f>
        <v>950</v>
      </c>
      <c r="O126" s="44"/>
      <c r="P126" s="44"/>
      <c r="Q126" s="44"/>
      <c r="R126" s="44">
        <f>LOS!J120</f>
        <v>7570</v>
      </c>
      <c r="S126" s="45"/>
      <c r="T126" s="44" t="str">
        <f>LOS!K120</f>
        <v>C</v>
      </c>
      <c r="U126" s="44"/>
      <c r="V126" s="44"/>
      <c r="W126" s="44"/>
      <c r="X126" s="44"/>
      <c r="Y126" s="44"/>
      <c r="Z126" s="44"/>
      <c r="AA126" s="44">
        <f>LOS!L120</f>
        <v>224</v>
      </c>
      <c r="AB126" s="44">
        <f>LOS!M120</f>
        <v>296</v>
      </c>
      <c r="AC126" s="45"/>
      <c r="AD126" s="44" t="str">
        <f>LOS!Q120</f>
        <v>C</v>
      </c>
      <c r="AE126" s="44">
        <f>LOS!R120</f>
        <v>344</v>
      </c>
      <c r="AF126" s="44">
        <f>LOS!S120</f>
        <v>375</v>
      </c>
      <c r="AG126" s="45"/>
      <c r="AH126" s="44" t="str">
        <f>LOS!W120</f>
        <v>C</v>
      </c>
      <c r="AI126" s="82">
        <f>(Trend!L120)</f>
        <v>4.2562747688254303</v>
      </c>
      <c r="AJ126" s="77">
        <f>Cap!K120</f>
        <v>0</v>
      </c>
      <c r="AK126" s="77">
        <f>Cap!L120</f>
        <v>890</v>
      </c>
      <c r="AL126" s="77">
        <f>Cap!M120</f>
        <v>950</v>
      </c>
      <c r="AM126" s="77">
        <f>Cap!N120</f>
        <v>950</v>
      </c>
    </row>
    <row r="127" spans="2:39" x14ac:dyDescent="0.25">
      <c r="B127" s="48" t="str">
        <f>'2025MasterFile-Stat'!F121</f>
        <v>10*</v>
      </c>
      <c r="C127" s="47" t="str">
        <f>'2025MasterFile-Stat'!B121</f>
        <v>Plymouth-Sorrento Rd</v>
      </c>
      <c r="D127" s="47" t="str">
        <f>LEFT('2025MasterFile-Stat'!C121,FIND(" to ",'2025MasterFile-Stat'!C121)-1)</f>
        <v>Ponkan Rd</v>
      </c>
      <c r="E127" s="47" t="str">
        <f>RIGHT('2025MasterFile-Stat'!C121,LEN('2025MasterFile-Stat'!C121)-FIND(" to ",'2025MasterFile-Stat'!C121)-3)</f>
        <v>Lester Rd/Yothers Rd</v>
      </c>
      <c r="F127" s="44" t="str">
        <f>'2025MasterFile-Stat'!G121</f>
        <v>2L</v>
      </c>
      <c r="G127" s="44"/>
      <c r="H127" s="46" t="str">
        <f>'2025MasterFile-Stat'!H121</f>
        <v>E</v>
      </c>
      <c r="I127" s="44" t="str">
        <f>'2025MasterFile-Stat'!A121</f>
        <v>Min Art</v>
      </c>
      <c r="J127" s="44"/>
      <c r="K127" s="44"/>
      <c r="L127" s="26">
        <f>IF(Cap!H121="A",Cap!O121,
 IF(Cap!H121="B",Cap!P121,
 IF(Cap!H121="C",Cap!Q121,
 IF(Cap!H121="D",Cap!R121,
 IF(Cap!H121="E",Cap!S121,"")))))</f>
        <v>17700</v>
      </c>
      <c r="M127" s="44"/>
      <c r="N127" s="44">
        <f>IF(Cap!H121="A",Cap!J121,
 IF(Cap!H121="B",Cap!K121,
 IF(Cap!H121="C",Cap!L121,
 IF(Cap!H121="D",Cap!M121,
 IF(Cap!H121="E",Cap!N121,"")))))</f>
        <v>920</v>
      </c>
      <c r="O127" s="44"/>
      <c r="P127" s="44"/>
      <c r="Q127" s="44"/>
      <c r="R127" s="44">
        <f>LOS!J121</f>
        <v>11623</v>
      </c>
      <c r="S127" s="45"/>
      <c r="T127" s="44" t="str">
        <f>LOS!K121</f>
        <v>C</v>
      </c>
      <c r="U127" s="44"/>
      <c r="V127" s="44"/>
      <c r="W127" s="44"/>
      <c r="X127" s="44"/>
      <c r="Y127" s="44"/>
      <c r="Z127" s="44"/>
      <c r="AA127" s="44">
        <f>LOS!L121</f>
        <v>443</v>
      </c>
      <c r="AB127" s="44">
        <f>LOS!M121</f>
        <v>546</v>
      </c>
      <c r="AC127" s="45"/>
      <c r="AD127" s="44" t="str">
        <f>LOS!Q121</f>
        <v>C</v>
      </c>
      <c r="AE127" s="44">
        <f>LOS!R121</f>
        <v>638</v>
      </c>
      <c r="AF127" s="44">
        <f>LOS!S121</f>
        <v>475</v>
      </c>
      <c r="AG127" s="45"/>
      <c r="AH127" s="44" t="str">
        <f>LOS!W121</f>
        <v>C</v>
      </c>
      <c r="AI127" s="82">
        <f>(Trend!L121)</f>
        <v>6.4330985915508903</v>
      </c>
      <c r="AJ127" s="77">
        <f>Cap!K121</f>
        <v>0</v>
      </c>
      <c r="AK127" s="77">
        <f>Cap!L121</f>
        <v>870</v>
      </c>
      <c r="AL127" s="77">
        <f>Cap!M121</f>
        <v>920</v>
      </c>
      <c r="AM127" s="77">
        <f>Cap!N121</f>
        <v>920</v>
      </c>
    </row>
    <row r="128" spans="2:39" x14ac:dyDescent="0.25">
      <c r="B128" s="48" t="str">
        <f>'2025MasterFile-Stat'!F122</f>
        <v>(8115, 326)*</v>
      </c>
      <c r="C128" s="47" t="str">
        <f>'2025MasterFile-Stat'!B122</f>
        <v>Ponkan Rd</v>
      </c>
      <c r="D128" s="47" t="str">
        <f>LEFT('2025MasterFile-Stat'!C122,FIND(" to ",'2025MasterFile-Stat'!C122)-1)</f>
        <v>Plymouth-Sorrento Rd (CR 437)</v>
      </c>
      <c r="E128" s="47" t="str">
        <f>RIGHT('2025MasterFile-Stat'!C122,LEN('2025MasterFile-Stat'!C122)-FIND(" to ",'2025MasterFile-Stat'!C122)-3)</f>
        <v>Vick Rd</v>
      </c>
      <c r="F128" s="44" t="str">
        <f>'2025MasterFile-Stat'!G122</f>
        <v>2L</v>
      </c>
      <c r="G128" s="44"/>
      <c r="H128" s="46" t="str">
        <f>'2025MasterFile-Stat'!H122</f>
        <v>E</v>
      </c>
      <c r="I128" s="44" t="str">
        <f>'2025MasterFile-Stat'!A122</f>
        <v>Min Coll</v>
      </c>
      <c r="J128" s="44"/>
      <c r="K128" s="44"/>
      <c r="L128" s="26">
        <f>IF(Cap!H122="A",Cap!O122,
 IF(Cap!H122="B",Cap!P122,
 IF(Cap!H122="C",Cap!Q122,
 IF(Cap!H122="D",Cap!R122,
 IF(Cap!H122="E",Cap!S122,"")))))</f>
        <v>15900</v>
      </c>
      <c r="M128" s="44"/>
      <c r="N128" s="44">
        <f>IF(Cap!H122="A",Cap!J122,
 IF(Cap!H122="B",Cap!K122,
 IF(Cap!H122="C",Cap!L122,
 IF(Cap!H122="D",Cap!M122,
 IF(Cap!H122="E",Cap!N122,"")))))</f>
        <v>790</v>
      </c>
      <c r="O128" s="44"/>
      <c r="P128" s="44"/>
      <c r="Q128" s="44"/>
      <c r="R128" s="44">
        <f>LOS!J122</f>
        <v>5402</v>
      </c>
      <c r="S128" s="45"/>
      <c r="T128" s="44" t="str">
        <f>LOS!K122</f>
        <v>C</v>
      </c>
      <c r="U128" s="44"/>
      <c r="V128" s="44"/>
      <c r="W128" s="44"/>
      <c r="X128" s="44"/>
      <c r="Y128" s="44"/>
      <c r="Z128" s="44"/>
      <c r="AA128" s="44">
        <f>LOS!L122</f>
        <v>443</v>
      </c>
      <c r="AB128" s="44">
        <f>LOS!M122</f>
        <v>203</v>
      </c>
      <c r="AC128" s="45"/>
      <c r="AD128" s="44" t="str">
        <f>LOS!Q122</f>
        <v>C</v>
      </c>
      <c r="AE128" s="44">
        <f>LOS!R122</f>
        <v>350</v>
      </c>
      <c r="AF128" s="44">
        <f>LOS!S122</f>
        <v>372</v>
      </c>
      <c r="AG128" s="45"/>
      <c r="AH128" s="44" t="str">
        <f>LOS!W122</f>
        <v>C</v>
      </c>
      <c r="AI128" s="82">
        <f>(Trend!L122)</f>
        <v>4.7254939209741398</v>
      </c>
      <c r="AJ128" s="77">
        <f>Cap!K122</f>
        <v>0</v>
      </c>
      <c r="AK128" s="77">
        <f>Cap!L122</f>
        <v>750</v>
      </c>
      <c r="AL128" s="77">
        <f>Cap!M122</f>
        <v>790</v>
      </c>
      <c r="AM128" s="77">
        <f>Cap!N122</f>
        <v>790</v>
      </c>
    </row>
    <row r="129" spans="2:39" x14ac:dyDescent="0.25">
      <c r="B129" s="48" t="str">
        <f>'2025MasterFile-Stat'!F123</f>
        <v>(13, 14)*</v>
      </c>
      <c r="C129" s="47" t="str">
        <f>'2025MasterFile-Stat'!B123</f>
        <v>Ponkan Rd</v>
      </c>
      <c r="D129" s="47" t="str">
        <f>LEFT('2025MasterFile-Stat'!C123,FIND(" to ",'2025MasterFile-Stat'!C123)-1)</f>
        <v>Round Lake Rd</v>
      </c>
      <c r="E129" s="47" t="str">
        <f>RIGHT('2025MasterFile-Stat'!C123,LEN('2025MasterFile-Stat'!C123)-FIND(" to ",'2025MasterFile-Stat'!C123)-3)</f>
        <v>Plymouth-Sorrento Rd (CR 437)</v>
      </c>
      <c r="F129" s="44" t="str">
        <f>'2025MasterFile-Stat'!G123</f>
        <v>2L</v>
      </c>
      <c r="G129" s="44"/>
      <c r="H129" s="46" t="str">
        <f>'2025MasterFile-Stat'!H123</f>
        <v>E</v>
      </c>
      <c r="I129" s="44" t="str">
        <f>'2025MasterFile-Stat'!A123</f>
        <v>Min Coll</v>
      </c>
      <c r="J129" s="44"/>
      <c r="K129" s="44"/>
      <c r="L129" s="26">
        <f>IF(Cap!H123="A",Cap!O123,
 IF(Cap!H123="B",Cap!P123,
 IF(Cap!H123="C",Cap!Q123,
 IF(Cap!H123="D",Cap!R123,
 IF(Cap!H123="E",Cap!S123,"")))))</f>
        <v>14000</v>
      </c>
      <c r="M129" s="44"/>
      <c r="N129" s="44">
        <f>IF(Cap!H123="A",Cap!J123,
 IF(Cap!H123="B",Cap!K123,
 IF(Cap!H123="C",Cap!L123,
 IF(Cap!H123="D",Cap!M123,
 IF(Cap!H123="E",Cap!N123,"")))))</f>
        <v>720</v>
      </c>
      <c r="O129" s="44"/>
      <c r="P129" s="44"/>
      <c r="Q129" s="44"/>
      <c r="R129" s="44">
        <f>LOS!J123</f>
        <v>10818</v>
      </c>
      <c r="S129" s="45"/>
      <c r="T129" s="44" t="str">
        <f>LOS!K123</f>
        <v>D</v>
      </c>
      <c r="U129" s="44"/>
      <c r="V129" s="44"/>
      <c r="W129" s="44"/>
      <c r="X129" s="44"/>
      <c r="Y129" s="44"/>
      <c r="Z129" s="44"/>
      <c r="AA129" s="44">
        <f>LOS!L123</f>
        <v>554</v>
      </c>
      <c r="AB129" s="44">
        <f>LOS!M123</f>
        <v>501</v>
      </c>
      <c r="AC129" s="45"/>
      <c r="AD129" s="44" t="str">
        <f>LOS!Q123</f>
        <v>D</v>
      </c>
      <c r="AE129" s="44">
        <f>LOS!R123</f>
        <v>492</v>
      </c>
      <c r="AF129" s="44">
        <f>LOS!S123</f>
        <v>492</v>
      </c>
      <c r="AG129" s="45"/>
      <c r="AH129" s="44" t="str">
        <f>LOS!W123</f>
        <v>D</v>
      </c>
      <c r="AI129" s="82">
        <f>(Trend!L123)</f>
        <v>6.35994087213773</v>
      </c>
      <c r="AJ129" s="77">
        <f>Cap!K123</f>
        <v>0</v>
      </c>
      <c r="AK129" s="77">
        <f>Cap!L123</f>
        <v>330</v>
      </c>
      <c r="AL129" s="77">
        <f>Cap!M123</f>
        <v>680</v>
      </c>
      <c r="AM129" s="77">
        <f>Cap!N123</f>
        <v>720</v>
      </c>
    </row>
    <row r="130" spans="2:39" x14ac:dyDescent="0.25">
      <c r="B130" s="48" t="str">
        <f>'2025MasterFile-Stat'!F124</f>
        <v>326*</v>
      </c>
      <c r="C130" s="47" t="str">
        <f>'2025MasterFile-Stat'!B124</f>
        <v>Ponkan Rd</v>
      </c>
      <c r="D130" s="47" t="str">
        <f>LEFT('2025MasterFile-Stat'!C124,FIND(" to ",'2025MasterFile-Stat'!C124)-1)</f>
        <v>Vick Rd</v>
      </c>
      <c r="E130" s="47" t="str">
        <f>RIGHT('2025MasterFile-Stat'!C124,LEN('2025MasterFile-Stat'!C124)-FIND(" to ",'2025MasterFile-Stat'!C124)-3)</f>
        <v>Rock Springs Rd</v>
      </c>
      <c r="F130" s="44" t="str">
        <f>'2025MasterFile-Stat'!G124</f>
        <v>2L</v>
      </c>
      <c r="G130" s="44"/>
      <c r="H130" s="46" t="str">
        <f>'2025MasterFile-Stat'!H124</f>
        <v>E</v>
      </c>
      <c r="I130" s="44" t="str">
        <f>'2025MasterFile-Stat'!A124</f>
        <v>Min Coll</v>
      </c>
      <c r="J130" s="44"/>
      <c r="K130" s="44"/>
      <c r="L130" s="26">
        <f>IF(Cap!H124="A",Cap!O124,
 IF(Cap!H124="B",Cap!P124,
 IF(Cap!H124="C",Cap!Q124,
 IF(Cap!H124="D",Cap!R124,
 IF(Cap!H124="E",Cap!S124,"")))))</f>
        <v>15900</v>
      </c>
      <c r="M130" s="44"/>
      <c r="N130" s="44">
        <f>IF(Cap!H124="A",Cap!J124,
 IF(Cap!H124="B",Cap!K124,
 IF(Cap!H124="C",Cap!L124,
 IF(Cap!H124="D",Cap!M124,
 IF(Cap!H124="E",Cap!N124,"")))))</f>
        <v>790</v>
      </c>
      <c r="O130" s="44"/>
      <c r="P130" s="44"/>
      <c r="Q130" s="44"/>
      <c r="R130" s="44">
        <f>LOS!J124</f>
        <v>5402</v>
      </c>
      <c r="S130" s="45"/>
      <c r="T130" s="44" t="str">
        <f>LOS!K124</f>
        <v>C</v>
      </c>
      <c r="U130" s="44"/>
      <c r="V130" s="44"/>
      <c r="W130" s="44"/>
      <c r="X130" s="44"/>
      <c r="Y130" s="44"/>
      <c r="Z130" s="44"/>
      <c r="AA130" s="44">
        <f>LOS!L124</f>
        <v>237</v>
      </c>
      <c r="AB130" s="44">
        <f>LOS!M124</f>
        <v>164</v>
      </c>
      <c r="AC130" s="45"/>
      <c r="AD130" s="44" t="str">
        <f>LOS!Q124</f>
        <v>C</v>
      </c>
      <c r="AE130" s="44">
        <f>LOS!R124</f>
        <v>249</v>
      </c>
      <c r="AF130" s="44">
        <f>LOS!S124</f>
        <v>372</v>
      </c>
      <c r="AG130" s="45"/>
      <c r="AH130" s="44" t="str">
        <f>LOS!W124</f>
        <v>C</v>
      </c>
      <c r="AI130" s="82">
        <f>(Trend!L124)</f>
        <v>1.13375796178382</v>
      </c>
      <c r="AJ130" s="77">
        <f>Cap!K124</f>
        <v>0</v>
      </c>
      <c r="AK130" s="77">
        <f>Cap!L124</f>
        <v>750</v>
      </c>
      <c r="AL130" s="77">
        <f>Cap!M124</f>
        <v>790</v>
      </c>
      <c r="AM130" s="77">
        <f>Cap!N124</f>
        <v>790</v>
      </c>
    </row>
    <row r="131" spans="2:39" x14ac:dyDescent="0.25">
      <c r="B131" s="48">
        <f>'2025MasterFile-Stat'!F125</f>
        <v>540</v>
      </c>
      <c r="C131" s="47" t="str">
        <f>'2025MasterFile-Stat'!B125</f>
        <v>Rock Ridge Blvd</v>
      </c>
      <c r="D131" s="47" t="str">
        <f>LEFT('2025MasterFile-Stat'!C125,FIND(" to ",'2025MasterFile-Stat'!C125)-1)</f>
        <v>Rock Springs Rd</v>
      </c>
      <c r="E131" s="47" t="str">
        <f>RIGHT('2025MasterFile-Stat'!C125,LEN('2025MasterFile-Stat'!C125)-FIND(" to ",'2025MasterFile-Stat'!C125)-3)</f>
        <v>Haddington Ct</v>
      </c>
      <c r="F131" s="44" t="str">
        <f>'2025MasterFile-Stat'!G125</f>
        <v>2L</v>
      </c>
      <c r="G131" s="44"/>
      <c r="H131" s="46" t="str">
        <f>'2025MasterFile-Stat'!H125</f>
        <v>E</v>
      </c>
      <c r="I131" s="44" t="str">
        <f>'2025MasterFile-Stat'!A125</f>
        <v>Min Coll</v>
      </c>
      <c r="J131" s="44"/>
      <c r="K131" s="44"/>
      <c r="L131" s="26">
        <f>IF(Cap!H125="A",Cap!O125,
 IF(Cap!H125="B",Cap!P125,
 IF(Cap!H125="C",Cap!Q125,
 IF(Cap!H125="D",Cap!R125,
 IF(Cap!H125="E",Cap!S125,"")))))</f>
        <v>14000</v>
      </c>
      <c r="M131" s="44"/>
      <c r="N131" s="44">
        <f>IF(Cap!H125="A",Cap!J125,
 IF(Cap!H125="B",Cap!K125,
 IF(Cap!H125="C",Cap!L125,
 IF(Cap!H125="D",Cap!M125,
 IF(Cap!H125="E",Cap!N125,"")))))</f>
        <v>720</v>
      </c>
      <c r="O131" s="44"/>
      <c r="P131" s="44"/>
      <c r="Q131" s="44"/>
      <c r="R131" s="44">
        <f>LOS!J125</f>
        <v>3811</v>
      </c>
      <c r="S131" s="45"/>
      <c r="T131" s="44" t="str">
        <f>LOS!K125</f>
        <v>C</v>
      </c>
      <c r="U131" s="44"/>
      <c r="V131" s="44"/>
      <c r="W131" s="44"/>
      <c r="X131" s="44"/>
      <c r="Y131" s="44"/>
      <c r="Z131" s="44"/>
      <c r="AA131" s="44">
        <f>LOS!L125</f>
        <v>200</v>
      </c>
      <c r="AB131" s="44">
        <f>LOS!M125</f>
        <v>55</v>
      </c>
      <c r="AC131" s="45"/>
      <c r="AD131" s="44" t="str">
        <f>LOS!Q125</f>
        <v>C</v>
      </c>
      <c r="AE131" s="44">
        <f>LOS!R125</f>
        <v>111</v>
      </c>
      <c r="AF131" s="44">
        <f>LOS!S125</f>
        <v>190</v>
      </c>
      <c r="AG131" s="45"/>
      <c r="AH131" s="44" t="str">
        <f>LOS!W125</f>
        <v>C</v>
      </c>
      <c r="AI131" s="82">
        <f>(Trend!L125)</f>
        <v>11.2778798215714</v>
      </c>
      <c r="AJ131" s="77">
        <f>Cap!K125</f>
        <v>0</v>
      </c>
      <c r="AK131" s="77">
        <f>Cap!L125</f>
        <v>330</v>
      </c>
      <c r="AL131" s="77">
        <f>Cap!M125</f>
        <v>680</v>
      </c>
      <c r="AM131" s="77">
        <f>Cap!N125</f>
        <v>720</v>
      </c>
    </row>
    <row r="132" spans="2:39" x14ac:dyDescent="0.25">
      <c r="B132" s="48">
        <f>'2025MasterFile-Stat'!F126</f>
        <v>613</v>
      </c>
      <c r="C132" s="47" t="str">
        <f>'2025MasterFile-Stat'!B126</f>
        <v>Roger Williams Rd</v>
      </c>
      <c r="D132" s="47" t="str">
        <f>LEFT('2025MasterFile-Stat'!C126,FIND(" to ",'2025MasterFile-Stat'!C126)-1)</f>
        <v>US 441</v>
      </c>
      <c r="E132" s="47" t="str">
        <f>RIGHT('2025MasterFile-Stat'!C126,LEN('2025MasterFile-Stat'!C126)-FIND(" to ",'2025MasterFile-Stat'!C126)-3)</f>
        <v>SR 436</v>
      </c>
      <c r="F132" s="44" t="str">
        <f>'2025MasterFile-Stat'!G126</f>
        <v>2L</v>
      </c>
      <c r="G132" s="44"/>
      <c r="H132" s="46" t="str">
        <f>'2025MasterFile-Stat'!H126</f>
        <v>E</v>
      </c>
      <c r="I132" s="44" t="str">
        <f>'2025MasterFile-Stat'!A126</f>
        <v>Min Coll</v>
      </c>
      <c r="J132" s="44"/>
      <c r="K132" s="44"/>
      <c r="L132" s="26">
        <f>IF(Cap!H126="A",Cap!O126,
 IF(Cap!H126="B",Cap!P126,
 IF(Cap!H126="C",Cap!Q126,
 IF(Cap!H126="D",Cap!R126,
 IF(Cap!H126="E",Cap!S126,"")))))</f>
        <v>14000</v>
      </c>
      <c r="M132" s="44"/>
      <c r="N132" s="44">
        <f>IF(Cap!H126="A",Cap!J126,
 IF(Cap!H126="B",Cap!K126,
 IF(Cap!H126="C",Cap!L126,
 IF(Cap!H126="D",Cap!M126,
 IF(Cap!H126="E",Cap!N126,"")))))</f>
        <v>720</v>
      </c>
      <c r="O132" s="44"/>
      <c r="P132" s="44"/>
      <c r="Q132" s="44"/>
      <c r="R132" s="44">
        <f>LOS!J126</f>
        <v>3142</v>
      </c>
      <c r="S132" s="45"/>
      <c r="T132" s="44" t="str">
        <f>LOS!K126</f>
        <v>C</v>
      </c>
      <c r="U132" s="44"/>
      <c r="V132" s="44"/>
      <c r="W132" s="44"/>
      <c r="X132" s="44"/>
      <c r="Y132" s="44"/>
      <c r="Z132" s="44"/>
      <c r="AA132" s="44">
        <f>LOS!L126</f>
        <v>105</v>
      </c>
      <c r="AB132" s="44">
        <f>LOS!M126</f>
        <v>237</v>
      </c>
      <c r="AC132" s="45"/>
      <c r="AD132" s="44" t="str">
        <f>LOS!Q126</f>
        <v>C</v>
      </c>
      <c r="AE132" s="44">
        <f>LOS!R126</f>
        <v>93</v>
      </c>
      <c r="AF132" s="44">
        <f>LOS!S126</f>
        <v>165</v>
      </c>
      <c r="AG132" s="45"/>
      <c r="AH132" s="44" t="str">
        <f>LOS!W126</f>
        <v>C</v>
      </c>
      <c r="AI132" s="82">
        <f>(Trend!L126)</f>
        <v>-6.48313176320951</v>
      </c>
      <c r="AJ132" s="77">
        <f>Cap!K126</f>
        <v>0</v>
      </c>
      <c r="AK132" s="77">
        <f>Cap!L126</f>
        <v>330</v>
      </c>
      <c r="AL132" s="77">
        <f>Cap!M126</f>
        <v>680</v>
      </c>
      <c r="AM132" s="77">
        <f>Cap!N126</f>
        <v>720</v>
      </c>
    </row>
    <row r="133" spans="2:39" x14ac:dyDescent="0.25">
      <c r="B133" s="48">
        <f>'2025MasterFile-Stat'!F127</f>
        <v>976</v>
      </c>
      <c r="C133" s="47" t="str">
        <f>'2025MasterFile-Stat'!B127</f>
        <v>Rogers Rd</v>
      </c>
      <c r="D133" s="47" t="str">
        <f>LEFT('2025MasterFile-Stat'!C127,FIND(" to ",'2025MasterFile-Stat'!C127)-1)</f>
        <v>Lester Rd</v>
      </c>
      <c r="E133" s="47" t="str">
        <f>RIGHT('2025MasterFile-Stat'!C127,LEN('2025MasterFile-Stat'!C127)-FIND(" to ",'2025MasterFile-Stat'!C127)-3)</f>
        <v>Gray Stone</v>
      </c>
      <c r="F133" s="44" t="str">
        <f>'2025MasterFile-Stat'!G127</f>
        <v>2L</v>
      </c>
      <c r="G133" s="44"/>
      <c r="H133" s="46" t="str">
        <f>'2025MasterFile-Stat'!H127</f>
        <v>E</v>
      </c>
      <c r="I133" s="44" t="str">
        <f>'2025MasterFile-Stat'!A127</f>
        <v>Min Coll</v>
      </c>
      <c r="J133" s="44"/>
      <c r="K133" s="44"/>
      <c r="L133" s="26">
        <f>IF(Cap!H127="A",Cap!O127,
 IF(Cap!H127="B",Cap!P127,
 IF(Cap!H127="C",Cap!Q127,
 IF(Cap!H127="D",Cap!R127,
 IF(Cap!H127="E",Cap!S127,"")))))</f>
        <v>14000</v>
      </c>
      <c r="M133" s="44"/>
      <c r="N133" s="44">
        <f>IF(Cap!H127="A",Cap!J127,
 IF(Cap!H127="B",Cap!K127,
 IF(Cap!H127="C",Cap!L127,
 IF(Cap!H127="D",Cap!M127,
 IF(Cap!H127="E",Cap!N127,"")))))</f>
        <v>720</v>
      </c>
      <c r="O133" s="44"/>
      <c r="P133" s="44"/>
      <c r="Q133" s="44"/>
      <c r="R133" s="44">
        <f>LOS!J127</f>
        <v>1979</v>
      </c>
      <c r="S133" s="45"/>
      <c r="T133" s="44" t="str">
        <f>LOS!K127</f>
        <v>C</v>
      </c>
      <c r="U133" s="44"/>
      <c r="V133" s="44"/>
      <c r="W133" s="44"/>
      <c r="X133" s="44"/>
      <c r="Y133" s="44"/>
      <c r="Z133" s="44"/>
      <c r="AA133" s="44">
        <f>LOS!L127</f>
        <v>72</v>
      </c>
      <c r="AB133" s="44">
        <f>LOS!M127</f>
        <v>143</v>
      </c>
      <c r="AC133" s="45"/>
      <c r="AD133" s="44" t="str">
        <f>LOS!Q127</f>
        <v>C</v>
      </c>
      <c r="AE133" s="44">
        <f>LOS!R127</f>
        <v>110</v>
      </c>
      <c r="AF133" s="44">
        <f>LOS!S127</f>
        <v>69</v>
      </c>
      <c r="AG133" s="45"/>
      <c r="AH133" s="44" t="str">
        <f>LOS!W127</f>
        <v>C</v>
      </c>
      <c r="AI133" s="82">
        <f>(Trend!L127)</f>
        <v>1.46033350176935</v>
      </c>
      <c r="AJ133" s="77">
        <f>Cap!K127</f>
        <v>0</v>
      </c>
      <c r="AK133" s="77">
        <f>Cap!L127</f>
        <v>330</v>
      </c>
      <c r="AL133" s="77">
        <f>Cap!M127</f>
        <v>680</v>
      </c>
      <c r="AM133" s="77">
        <f>Cap!N127</f>
        <v>720</v>
      </c>
    </row>
    <row r="134" spans="2:39" x14ac:dyDescent="0.25">
      <c r="B134" s="48" t="str">
        <f>'2025MasterFile-Stat'!F128</f>
        <v>8*</v>
      </c>
      <c r="C134" s="47" t="str">
        <f>'2025MasterFile-Stat'!B128</f>
        <v>Round Lake Rd</v>
      </c>
      <c r="D134" s="47" t="str">
        <f>LEFT('2025MasterFile-Stat'!C128,FIND(" to ",'2025MasterFile-Stat'!C128)-1)</f>
        <v>Sadler Ave</v>
      </c>
      <c r="E134" s="47" t="str">
        <f>RIGHT('2025MasterFile-Stat'!C128,LEN('2025MasterFile-Stat'!C128)-FIND(" to ",'2025MasterFile-Stat'!C128)-3)</f>
        <v>Kelly Park Rd</v>
      </c>
      <c r="F134" s="44" t="str">
        <f>'2025MasterFile-Stat'!G128</f>
        <v>2L</v>
      </c>
      <c r="G134" s="44"/>
      <c r="H134" s="46" t="str">
        <f>'2025MasterFile-Stat'!H128</f>
        <v>E</v>
      </c>
      <c r="I134" s="44" t="str">
        <f>'2025MasterFile-Stat'!A128</f>
        <v>Min Coll</v>
      </c>
      <c r="J134" s="44"/>
      <c r="K134" s="44"/>
      <c r="L134" s="26">
        <f>IF(Cap!H128="A",Cap!O128,
 IF(Cap!H128="B",Cap!P128,
 IF(Cap!H128="C",Cap!Q128,
 IF(Cap!H128="D",Cap!R128,
 IF(Cap!H128="E",Cap!S128,"")))))</f>
        <v>15900</v>
      </c>
      <c r="M134" s="44"/>
      <c r="N134" s="44">
        <f>IF(Cap!H128="A",Cap!J128,
 IF(Cap!H128="B",Cap!K128,
 IF(Cap!H128="C",Cap!L128,
 IF(Cap!H128="D",Cap!M128,
 IF(Cap!H128="E",Cap!N128,"")))))</f>
        <v>790</v>
      </c>
      <c r="O134" s="44"/>
      <c r="P134" s="44"/>
      <c r="Q134" s="44"/>
      <c r="R134" s="44">
        <f>LOS!J128</f>
        <v>6796</v>
      </c>
      <c r="S134" s="45"/>
      <c r="T134" s="44" t="str">
        <f>LOS!K128</f>
        <v>C</v>
      </c>
      <c r="U134" s="44"/>
      <c r="V134" s="44"/>
      <c r="W134" s="44"/>
      <c r="X134" s="44"/>
      <c r="Y134" s="44"/>
      <c r="Z134" s="44"/>
      <c r="AA134" s="44">
        <f>LOS!L128</f>
        <v>379</v>
      </c>
      <c r="AB134" s="44">
        <f>LOS!M128</f>
        <v>361</v>
      </c>
      <c r="AC134" s="45"/>
      <c r="AD134" s="44" t="str">
        <f>LOS!Q128</f>
        <v>C</v>
      </c>
      <c r="AE134" s="44">
        <f>LOS!R128</f>
        <v>344</v>
      </c>
      <c r="AF134" s="44">
        <f>LOS!S128</f>
        <v>306</v>
      </c>
      <c r="AG134" s="45"/>
      <c r="AH134" s="44" t="str">
        <f>LOS!W128</f>
        <v>C</v>
      </c>
      <c r="AI134" s="82">
        <f>(Trend!L128)</f>
        <v>5.9731159731173298</v>
      </c>
      <c r="AJ134" s="77">
        <f>Cap!K128</f>
        <v>0</v>
      </c>
      <c r="AK134" s="77">
        <f>Cap!L128</f>
        <v>750</v>
      </c>
      <c r="AL134" s="77">
        <f>Cap!M128</f>
        <v>790</v>
      </c>
      <c r="AM134" s="77">
        <f>Cap!N128</f>
        <v>790</v>
      </c>
    </row>
    <row r="135" spans="2:39" x14ac:dyDescent="0.25">
      <c r="B135" s="48" t="str">
        <f>'2025MasterFile-Stat'!F129</f>
        <v>(8, 8067)*</v>
      </c>
      <c r="C135" s="47" t="str">
        <f>'2025MasterFile-Stat'!B129</f>
        <v>Round Lake Rd</v>
      </c>
      <c r="D135" s="47" t="str">
        <f>LEFT('2025MasterFile-Stat'!C129,FIND(" to ",'2025MasterFile-Stat'!C129)-1)</f>
        <v>Ponkan Rd</v>
      </c>
      <c r="E135" s="47" t="str">
        <f>RIGHT('2025MasterFile-Stat'!C129,LEN('2025MasterFile-Stat'!C129)-FIND(" to ",'2025MasterFile-Stat'!C129)-3)</f>
        <v>Sadler Ave</v>
      </c>
      <c r="F135" s="44" t="str">
        <f>'2025MasterFile-Stat'!G129</f>
        <v>2L</v>
      </c>
      <c r="G135" s="44"/>
      <c r="H135" s="46" t="str">
        <f>'2025MasterFile-Stat'!H129</f>
        <v>E</v>
      </c>
      <c r="I135" s="44" t="str">
        <f>'2025MasterFile-Stat'!A129</f>
        <v>Min Coll</v>
      </c>
      <c r="J135" s="44"/>
      <c r="K135" s="44"/>
      <c r="L135" s="26">
        <f>IF(Cap!H129="A",Cap!O129,
 IF(Cap!H129="B",Cap!P129,
 IF(Cap!H129="C",Cap!Q129,
 IF(Cap!H129="D",Cap!R129,
 IF(Cap!H129="E",Cap!S129,"")))))</f>
        <v>15900</v>
      </c>
      <c r="M135" s="44"/>
      <c r="N135" s="44">
        <f>IF(Cap!H129="A",Cap!J129,
 IF(Cap!H129="B",Cap!K129,
 IF(Cap!H129="C",Cap!L129,
 IF(Cap!H129="D",Cap!M129,
 IF(Cap!H129="E",Cap!N129,"")))))</f>
        <v>790</v>
      </c>
      <c r="O135" s="44"/>
      <c r="P135" s="44"/>
      <c r="Q135" s="44"/>
      <c r="R135" s="44">
        <f>LOS!J129</f>
        <v>6796</v>
      </c>
      <c r="S135" s="45"/>
      <c r="T135" s="44" t="str">
        <f>LOS!K129</f>
        <v>C</v>
      </c>
      <c r="U135" s="44"/>
      <c r="V135" s="44"/>
      <c r="W135" s="44"/>
      <c r="X135" s="44"/>
      <c r="Y135" s="44"/>
      <c r="Z135" s="44"/>
      <c r="AA135" s="44">
        <f>LOS!L129</f>
        <v>379</v>
      </c>
      <c r="AB135" s="44">
        <f>LOS!M129</f>
        <v>361</v>
      </c>
      <c r="AC135" s="45"/>
      <c r="AD135" s="44" t="str">
        <f>LOS!Q129</f>
        <v>C</v>
      </c>
      <c r="AE135" s="44">
        <f>LOS!R129</f>
        <v>344</v>
      </c>
      <c r="AF135" s="44">
        <f>LOS!S129</f>
        <v>306</v>
      </c>
      <c r="AG135" s="45"/>
      <c r="AH135" s="44" t="str">
        <f>LOS!W129</f>
        <v>C</v>
      </c>
      <c r="AI135" s="82">
        <f>(Trend!L129)</f>
        <v>14.985175339949301</v>
      </c>
      <c r="AJ135" s="77">
        <f>Cap!K129</f>
        <v>0</v>
      </c>
      <c r="AK135" s="77">
        <f>Cap!L129</f>
        <v>750</v>
      </c>
      <c r="AL135" s="77">
        <f>Cap!M129</f>
        <v>790</v>
      </c>
      <c r="AM135" s="77">
        <f>Cap!N129</f>
        <v>790</v>
      </c>
    </row>
    <row r="136" spans="2:39" x14ac:dyDescent="0.25">
      <c r="B136" s="48" t="str">
        <f>'2025MasterFile-Stat'!F130</f>
        <v>6*</v>
      </c>
      <c r="C136" s="47" t="str">
        <f>'2025MasterFile-Stat'!B130</f>
        <v>Round Lake Rd</v>
      </c>
      <c r="D136" s="47" t="str">
        <f>LEFT('2025MasterFile-Stat'!C130,FIND(" to ",'2025MasterFile-Stat'!C130)-1)</f>
        <v>Ondich Rd</v>
      </c>
      <c r="E136" s="47" t="str">
        <f>RIGHT('2025MasterFile-Stat'!C130,LEN('2025MasterFile-Stat'!C130)-FIND(" to ",'2025MasterFile-Stat'!C130)-3)</f>
        <v>Lake County Line</v>
      </c>
      <c r="F136" s="44" t="str">
        <f>'2025MasterFile-Stat'!G130</f>
        <v>2L</v>
      </c>
      <c r="G136" s="44"/>
      <c r="H136" s="46" t="str">
        <f>'2025MasterFile-Stat'!H130</f>
        <v>E</v>
      </c>
      <c r="I136" s="44" t="str">
        <f>'2025MasterFile-Stat'!A130</f>
        <v>Min Coll</v>
      </c>
      <c r="J136" s="44"/>
      <c r="K136" s="44"/>
      <c r="L136" s="26">
        <f>IF(Cap!H130="A",Cap!O130,
 IF(Cap!H130="B",Cap!P130,
 IF(Cap!H130="C",Cap!Q130,
 IF(Cap!H130="D",Cap!R130,
 IF(Cap!H130="E",Cap!S130,"")))))</f>
        <v>15900</v>
      </c>
      <c r="M136" s="44"/>
      <c r="N136" s="44">
        <f>IF(Cap!H130="A",Cap!J130,
 IF(Cap!H130="B",Cap!K130,
 IF(Cap!H130="C",Cap!L130,
 IF(Cap!H130="D",Cap!M130,
 IF(Cap!H130="E",Cap!N130,"")))))</f>
        <v>790</v>
      </c>
      <c r="O136" s="44"/>
      <c r="P136" s="44"/>
      <c r="Q136" s="44"/>
      <c r="R136" s="44">
        <f>LOS!J130</f>
        <v>3945</v>
      </c>
      <c r="S136" s="45"/>
      <c r="T136" s="44" t="str">
        <f>LOS!K130</f>
        <v>C</v>
      </c>
      <c r="U136" s="44"/>
      <c r="V136" s="44"/>
      <c r="W136" s="44"/>
      <c r="X136" s="44"/>
      <c r="Y136" s="44"/>
      <c r="Z136" s="44"/>
      <c r="AA136" s="44">
        <f>LOS!L130</f>
        <v>191</v>
      </c>
      <c r="AB136" s="44">
        <f>LOS!M130</f>
        <v>239</v>
      </c>
      <c r="AC136" s="45"/>
      <c r="AD136" s="44" t="str">
        <f>LOS!Q130</f>
        <v>C</v>
      </c>
      <c r="AE136" s="44">
        <f>LOS!R130</f>
        <v>209</v>
      </c>
      <c r="AF136" s="44">
        <f>LOS!S130</f>
        <v>189</v>
      </c>
      <c r="AG136" s="45"/>
      <c r="AH136" s="44" t="str">
        <f>LOS!W130</f>
        <v>C</v>
      </c>
      <c r="AI136" s="82">
        <f>(Trend!L130)</f>
        <v>2.5223880597025699</v>
      </c>
      <c r="AJ136" s="77">
        <f>Cap!K130</f>
        <v>0</v>
      </c>
      <c r="AK136" s="77">
        <f>Cap!L130</f>
        <v>750</v>
      </c>
      <c r="AL136" s="77">
        <f>Cap!M130</f>
        <v>790</v>
      </c>
      <c r="AM136" s="77">
        <f>Cap!N130</f>
        <v>790</v>
      </c>
    </row>
    <row r="137" spans="2:39" x14ac:dyDescent="0.25">
      <c r="B137" s="48" t="str">
        <f>'2025MasterFile-Stat'!F131</f>
        <v>6*</v>
      </c>
      <c r="C137" s="47" t="str">
        <f>'2025MasterFile-Stat'!B131</f>
        <v>Round Lake Rd</v>
      </c>
      <c r="D137" s="47" t="str">
        <f>LEFT('2025MasterFile-Stat'!C131,FIND(" to ",'2025MasterFile-Stat'!C131)-1)</f>
        <v>Kelly Park Rd</v>
      </c>
      <c r="E137" s="47" t="str">
        <f>RIGHT('2025MasterFile-Stat'!C131,LEN('2025MasterFile-Stat'!C131)-FIND(" to ",'2025MasterFile-Stat'!C131)-3)</f>
        <v>Ondich Rd</v>
      </c>
      <c r="F137" s="44" t="str">
        <f>'2025MasterFile-Stat'!G131</f>
        <v>2L</v>
      </c>
      <c r="G137" s="44"/>
      <c r="H137" s="46" t="str">
        <f>'2025MasterFile-Stat'!H131</f>
        <v>E</v>
      </c>
      <c r="I137" s="44" t="str">
        <f>'2025MasterFile-Stat'!A131</f>
        <v>Min Coll</v>
      </c>
      <c r="J137" s="44"/>
      <c r="K137" s="44"/>
      <c r="L137" s="26">
        <f>IF(Cap!H131="A",Cap!O131,
 IF(Cap!H131="B",Cap!P131,
 IF(Cap!H131="C",Cap!Q131,
 IF(Cap!H131="D",Cap!R131,
 IF(Cap!H131="E",Cap!S131,"")))))</f>
        <v>15900</v>
      </c>
      <c r="M137" s="44"/>
      <c r="N137" s="44">
        <f>IF(Cap!H131="A",Cap!J131,
 IF(Cap!H131="B",Cap!K131,
 IF(Cap!H131="C",Cap!L131,
 IF(Cap!H131="D",Cap!M131,
 IF(Cap!H131="E",Cap!N131,"")))))</f>
        <v>790</v>
      </c>
      <c r="O137" s="44"/>
      <c r="P137" s="44"/>
      <c r="Q137" s="44"/>
      <c r="R137" s="44">
        <f>LOS!J131</f>
        <v>3945</v>
      </c>
      <c r="S137" s="45"/>
      <c r="T137" s="44" t="str">
        <f>LOS!K131</f>
        <v>C</v>
      </c>
      <c r="U137" s="44"/>
      <c r="V137" s="44"/>
      <c r="W137" s="44"/>
      <c r="X137" s="44"/>
      <c r="Y137" s="44"/>
      <c r="Z137" s="44"/>
      <c r="AA137" s="44">
        <f>LOS!L131</f>
        <v>191</v>
      </c>
      <c r="AB137" s="44">
        <f>LOS!M131</f>
        <v>239</v>
      </c>
      <c r="AC137" s="45"/>
      <c r="AD137" s="44" t="str">
        <f>LOS!Q131</f>
        <v>C</v>
      </c>
      <c r="AE137" s="44">
        <f>LOS!R131</f>
        <v>209</v>
      </c>
      <c r="AF137" s="44">
        <f>LOS!S131</f>
        <v>189</v>
      </c>
      <c r="AG137" s="45"/>
      <c r="AH137" s="44" t="str">
        <f>LOS!W131</f>
        <v>C</v>
      </c>
      <c r="AI137" s="82">
        <f>(Trend!L131)</f>
        <v>-1.6343283582093799</v>
      </c>
      <c r="AJ137" s="77">
        <f>Cap!K131</f>
        <v>0</v>
      </c>
      <c r="AK137" s="77">
        <f>Cap!L131</f>
        <v>750</v>
      </c>
      <c r="AL137" s="77">
        <f>Cap!M131</f>
        <v>790</v>
      </c>
      <c r="AM137" s="77">
        <f>Cap!N131</f>
        <v>790</v>
      </c>
    </row>
    <row r="138" spans="2:39" x14ac:dyDescent="0.25">
      <c r="B138" s="48">
        <f>'2025MasterFile-Stat'!F132</f>
        <v>980</v>
      </c>
      <c r="C138" s="47" t="str">
        <f>'2025MasterFile-Stat'!B132</f>
        <v>SR 429 Connector</v>
      </c>
      <c r="D138" s="47" t="str">
        <f>LEFT('2025MasterFile-Stat'!C132,FIND(" to ",'2025MasterFile-Stat'!C132)-1)</f>
        <v>US 441</v>
      </c>
      <c r="E138" s="47" t="str">
        <f>RIGHT('2025MasterFile-Stat'!C132,LEN('2025MasterFile-Stat'!C132)-FIND(" to ",'2025MasterFile-Stat'!C132)-3)</f>
        <v>Plymouth-Sorrento Rd (CR 437)</v>
      </c>
      <c r="F138" s="44" t="str">
        <f>'2025MasterFile-Stat'!G132</f>
        <v>4LD</v>
      </c>
      <c r="G138" s="44"/>
      <c r="H138" s="46" t="str">
        <f>'2025MasterFile-Stat'!H132</f>
        <v>E</v>
      </c>
      <c r="I138" s="44" t="str">
        <f>'2025MasterFile-Stat'!A132</f>
        <v>Min Coll</v>
      </c>
      <c r="J138" s="44"/>
      <c r="K138" s="44"/>
      <c r="L138" s="26">
        <f>IF(Cap!H132="A",Cap!O132,
 IF(Cap!H132="B",Cap!P132,
 IF(Cap!H132="C",Cap!Q132,
 IF(Cap!H132="D",Cap!R132,
 IF(Cap!H132="E",Cap!S132,"")))))</f>
        <v>33800</v>
      </c>
      <c r="M138" s="44"/>
      <c r="N138" s="44">
        <f>IF(Cap!H132="A",Cap!J132,
 IF(Cap!H132="B",Cap!K132,
 IF(Cap!H132="C",Cap!L132,
 IF(Cap!H132="D",Cap!M132,
 IF(Cap!H132="E",Cap!N132,"")))))</f>
        <v>1700</v>
      </c>
      <c r="O138" s="44"/>
      <c r="P138" s="44"/>
      <c r="Q138" s="44"/>
      <c r="R138" s="44">
        <f>LOS!J132</f>
        <v>18213</v>
      </c>
      <c r="S138" s="45"/>
      <c r="T138" s="44" t="str">
        <f>LOS!K132</f>
        <v>D</v>
      </c>
      <c r="U138" s="44"/>
      <c r="V138" s="44"/>
      <c r="W138" s="44"/>
      <c r="X138" s="44"/>
      <c r="Y138" s="44"/>
      <c r="Z138" s="44"/>
      <c r="AA138" s="44">
        <f>LOS!L132</f>
        <v>689</v>
      </c>
      <c r="AB138" s="44">
        <f>LOS!M132</f>
        <v>654</v>
      </c>
      <c r="AC138" s="45"/>
      <c r="AD138" s="44" t="str">
        <f>LOS!Q132</f>
        <v>C</v>
      </c>
      <c r="AE138" s="44">
        <f>LOS!R132</f>
        <v>545</v>
      </c>
      <c r="AF138" s="44">
        <f>LOS!S132</f>
        <v>760</v>
      </c>
      <c r="AG138" s="45"/>
      <c r="AH138" s="44" t="str">
        <f>LOS!W132</f>
        <v>D</v>
      </c>
      <c r="AI138" s="82">
        <f>(Trend!L132)</f>
        <v>2.2401581288097501</v>
      </c>
      <c r="AJ138" s="77">
        <f>Cap!K132</f>
        <v>0</v>
      </c>
      <c r="AK138" s="77">
        <f>Cap!L132</f>
        <v>730</v>
      </c>
      <c r="AL138" s="77">
        <f>Cap!M132</f>
        <v>1630</v>
      </c>
      <c r="AM138" s="77">
        <f>Cap!N132</f>
        <v>1700</v>
      </c>
    </row>
    <row r="139" spans="2:39" x14ac:dyDescent="0.25">
      <c r="B139" s="48">
        <f>'2025MasterFile-Stat'!F133</f>
        <v>3</v>
      </c>
      <c r="C139" s="47" t="str">
        <f>'2025MasterFile-Stat'!B133</f>
        <v>SR 429 Connector Road</v>
      </c>
      <c r="D139" s="47" t="str">
        <f>LEFT('2025MasterFile-Stat'!C133,FIND(" to ",'2025MasterFile-Stat'!C133)-1)</f>
        <v>US 441</v>
      </c>
      <c r="E139" s="47" t="str">
        <f>RIGHT('2025MasterFile-Stat'!C133,LEN('2025MasterFile-Stat'!C133)-FIND(" to ",'2025MasterFile-Stat'!C133)-3)</f>
        <v>Plymouth Sorrento Road</v>
      </c>
      <c r="F139" s="44" t="str">
        <f>'2025MasterFile-Stat'!G133</f>
        <v>4LD</v>
      </c>
      <c r="G139" s="44"/>
      <c r="H139" s="46" t="str">
        <f>'2025MasterFile-Stat'!H133</f>
        <v>E</v>
      </c>
      <c r="I139" s="44" t="str">
        <f>'2025MasterFile-Stat'!A133</f>
        <v>Min Coll</v>
      </c>
      <c r="J139" s="44"/>
      <c r="K139" s="44"/>
      <c r="L139" s="26">
        <f>IF(Cap!H133="A",Cap!O133,
 IF(Cap!H133="B",Cap!P133,
 IF(Cap!H133="C",Cap!Q133,
 IF(Cap!H133="D",Cap!R133,
 IF(Cap!H133="E",Cap!S133,"")))))</f>
        <v>33800</v>
      </c>
      <c r="M139" s="44"/>
      <c r="N139" s="44">
        <f>IF(Cap!H133="A",Cap!J133,
 IF(Cap!H133="B",Cap!K133,
 IF(Cap!H133="C",Cap!L133,
 IF(Cap!H133="D",Cap!M133,
 IF(Cap!H133="E",Cap!N133,"")))))</f>
        <v>1700</v>
      </c>
      <c r="O139" s="44"/>
      <c r="P139" s="44"/>
      <c r="Q139" s="44"/>
      <c r="R139" s="44">
        <f>LOS!J133</f>
        <v>19094</v>
      </c>
      <c r="S139" s="45"/>
      <c r="T139" s="44" t="str">
        <f>LOS!K133</f>
        <v>D</v>
      </c>
      <c r="U139" s="44"/>
      <c r="V139" s="44"/>
      <c r="W139" s="44"/>
      <c r="X139" s="44"/>
      <c r="Y139" s="44"/>
      <c r="Z139" s="44"/>
      <c r="AA139" s="44">
        <f>LOS!L133</f>
        <v>744</v>
      </c>
      <c r="AB139" s="44">
        <f>LOS!M133</f>
        <v>770</v>
      </c>
      <c r="AC139" s="45"/>
      <c r="AD139" s="44" t="str">
        <f>LOS!Q133</f>
        <v>D</v>
      </c>
      <c r="AE139" s="44">
        <f>LOS!R133</f>
        <v>549</v>
      </c>
      <c r="AF139" s="44">
        <f>LOS!S133</f>
        <v>767</v>
      </c>
      <c r="AG139" s="45"/>
      <c r="AH139" s="44" t="str">
        <f>LOS!W133</f>
        <v>D</v>
      </c>
      <c r="AI139" s="82" t="str">
        <f>(Trend!L133)</f>
        <v>N/A</v>
      </c>
      <c r="AJ139" s="77">
        <f>Cap!K133</f>
        <v>0</v>
      </c>
      <c r="AK139" s="77">
        <f>Cap!L133</f>
        <v>730</v>
      </c>
      <c r="AL139" s="77">
        <f>Cap!M133</f>
        <v>1630</v>
      </c>
      <c r="AM139" s="77">
        <f>Cap!N133</f>
        <v>1700</v>
      </c>
    </row>
    <row r="140" spans="2:39" x14ac:dyDescent="0.25">
      <c r="B140" s="48">
        <f>'2025MasterFile-Stat'!F134</f>
        <v>608</v>
      </c>
      <c r="C140" s="47" t="str">
        <f>'2025MasterFile-Stat'!B134</f>
        <v>SR 436 (Semoran Blvd)</v>
      </c>
      <c r="D140" s="47" t="str">
        <f>LEFT('2025MasterFile-Stat'!C134,FIND(" to ",'2025MasterFile-Stat'!C134)-1)</f>
        <v>Thompson Rd</v>
      </c>
      <c r="E140" s="47" t="str">
        <f>RIGHT('2025MasterFile-Stat'!C134,LEN('2025MasterFile-Stat'!C134)-FIND(" to ",'2025MasterFile-Stat'!C134)-3)</f>
        <v>Roger Williams Rd</v>
      </c>
      <c r="F140" s="44" t="str">
        <f>'2025MasterFile-Stat'!G134</f>
        <v>8LD</v>
      </c>
      <c r="G140" s="44"/>
      <c r="H140" s="46" t="str">
        <f>'2025MasterFile-Stat'!H134</f>
        <v>D</v>
      </c>
      <c r="I140" s="44" t="str">
        <f>'2025MasterFile-Stat'!A134</f>
        <v>Maj Art</v>
      </c>
      <c r="J140" s="44"/>
      <c r="K140" s="44"/>
      <c r="L140" s="26">
        <f>IF(Cap!H134="A",Cap!O134,
 IF(Cap!H134="B",Cap!P134,
 IF(Cap!H134="C",Cap!Q134,
 IF(Cap!H134="D",Cap!R134,
 IF(Cap!H134="E",Cap!S134,"")))))</f>
        <v>80100</v>
      </c>
      <c r="M140" s="44"/>
      <c r="N140" s="44">
        <f>IF(Cap!H134="A",Cap!J134,
 IF(Cap!H134="B",Cap!K134,
 IF(Cap!H134="C",Cap!L134,
 IF(Cap!H134="D",Cap!M134,
 IF(Cap!H134="E",Cap!N134,"")))))</f>
        <v>4040</v>
      </c>
      <c r="O140" s="44"/>
      <c r="P140" s="44"/>
      <c r="Q140" s="44"/>
      <c r="R140" s="44">
        <f>LOS!J134</f>
        <v>41214</v>
      </c>
      <c r="S140" s="45"/>
      <c r="T140" s="44" t="str">
        <f>LOS!K134</f>
        <v>C</v>
      </c>
      <c r="U140" s="44"/>
      <c r="V140" s="44"/>
      <c r="W140" s="44"/>
      <c r="X140" s="44"/>
      <c r="Y140" s="44"/>
      <c r="Z140" s="44"/>
      <c r="AA140" s="44">
        <f>LOS!L134</f>
        <v>1628</v>
      </c>
      <c r="AB140" s="44">
        <f>LOS!M134</f>
        <v>1059</v>
      </c>
      <c r="AC140" s="45"/>
      <c r="AD140" s="44" t="str">
        <f>LOS!Q134</f>
        <v>C</v>
      </c>
      <c r="AE140" s="44">
        <f>LOS!R134</f>
        <v>1431</v>
      </c>
      <c r="AF140" s="44">
        <f>LOS!S134</f>
        <v>1781</v>
      </c>
      <c r="AG140" s="45"/>
      <c r="AH140" s="44" t="str">
        <f>LOS!W134</f>
        <v>C</v>
      </c>
      <c r="AI140" s="82">
        <f>(Trend!L134)</f>
        <v>-2.1060804580973702</v>
      </c>
      <c r="AJ140" s="77">
        <f>Cap!K134</f>
        <v>0</v>
      </c>
      <c r="AK140" s="77">
        <f>Cap!L134</f>
        <v>3970</v>
      </c>
      <c r="AL140" s="77">
        <f>Cap!M134</f>
        <v>4040</v>
      </c>
      <c r="AM140" s="77">
        <f>Cap!N134</f>
        <v>4040</v>
      </c>
    </row>
    <row r="141" spans="2:39" x14ac:dyDescent="0.25">
      <c r="B141" s="48">
        <f>'2025MasterFile-Stat'!F135</f>
        <v>295</v>
      </c>
      <c r="C141" s="47" t="str">
        <f>'2025MasterFile-Stat'!B135</f>
        <v>SR 436 (Semoran Blvd)</v>
      </c>
      <c r="D141" s="47" t="str">
        <f>LEFT('2025MasterFile-Stat'!C135,FIND(" to ",'2025MasterFile-Stat'!C135)-1)</f>
        <v>US 441</v>
      </c>
      <c r="E141" s="47" t="str">
        <f>RIGHT('2025MasterFile-Stat'!C135,LEN('2025MasterFile-Stat'!C135)-FIND(" to ",'2025MasterFile-Stat'!C135)-3)</f>
        <v>Sheeler Rd</v>
      </c>
      <c r="F141" s="44" t="str">
        <f>'2025MasterFile-Stat'!G135</f>
        <v>8LD</v>
      </c>
      <c r="G141" s="44"/>
      <c r="H141" s="46" t="str">
        <f>'2025MasterFile-Stat'!H135</f>
        <v>D</v>
      </c>
      <c r="I141" s="44" t="str">
        <f>'2025MasterFile-Stat'!A135</f>
        <v>Maj Art</v>
      </c>
      <c r="J141" s="44"/>
      <c r="K141" s="44"/>
      <c r="L141" s="26">
        <f>IF(Cap!H135="A",Cap!O135,
 IF(Cap!H135="B",Cap!P135,
 IF(Cap!H135="C",Cap!Q135,
 IF(Cap!H135="D",Cap!R135,
 IF(Cap!H135="E",Cap!S135,"")))))</f>
        <v>80100</v>
      </c>
      <c r="M141" s="44"/>
      <c r="N141" s="44">
        <f>IF(Cap!H135="A",Cap!J135,
 IF(Cap!H135="B",Cap!K135,
 IF(Cap!H135="C",Cap!L135,
 IF(Cap!H135="D",Cap!M135,
 IF(Cap!H135="E",Cap!N135,"")))))</f>
        <v>4040</v>
      </c>
      <c r="O141" s="44"/>
      <c r="P141" s="44"/>
      <c r="Q141" s="44"/>
      <c r="R141" s="44">
        <f>LOS!J135</f>
        <v>44041</v>
      </c>
      <c r="S141" s="45"/>
      <c r="T141" s="44" t="str">
        <f>LOS!K135</f>
        <v>C</v>
      </c>
      <c r="U141" s="44"/>
      <c r="V141" s="44"/>
      <c r="W141" s="44"/>
      <c r="X141" s="44"/>
      <c r="Y141" s="44"/>
      <c r="Z141" s="44"/>
      <c r="AA141" s="44">
        <f>LOS!L135</f>
        <v>1744</v>
      </c>
      <c r="AB141" s="44">
        <f>LOS!M135</f>
        <v>1411</v>
      </c>
      <c r="AC141" s="45"/>
      <c r="AD141" s="44" t="str">
        <f>LOS!Q135</f>
        <v>C</v>
      </c>
      <c r="AE141" s="44">
        <f>LOS!R135</f>
        <v>1789</v>
      </c>
      <c r="AF141" s="44">
        <f>LOS!S135</f>
        <v>1964</v>
      </c>
      <c r="AG141" s="45"/>
      <c r="AH141" s="44" t="str">
        <f>LOS!W135</f>
        <v>C</v>
      </c>
      <c r="AI141" s="82">
        <f>(Trend!L135)</f>
        <v>9.9417047424017504</v>
      </c>
      <c r="AJ141" s="77">
        <f>Cap!K135</f>
        <v>0</v>
      </c>
      <c r="AK141" s="77">
        <f>Cap!L135</f>
        <v>3970</v>
      </c>
      <c r="AL141" s="77">
        <f>Cap!M135</f>
        <v>4040</v>
      </c>
      <c r="AM141" s="77">
        <f>Cap!N135</f>
        <v>4040</v>
      </c>
    </row>
    <row r="142" spans="2:39" x14ac:dyDescent="0.25">
      <c r="B142" s="48">
        <f>'2025MasterFile-Stat'!F136</f>
        <v>295</v>
      </c>
      <c r="C142" s="47" t="str">
        <f>'2025MasterFile-Stat'!B136</f>
        <v>SR 436 (Semoran Blvd)</v>
      </c>
      <c r="D142" s="47" t="str">
        <f>LEFT('2025MasterFile-Stat'!C136,FIND(" to ",'2025MasterFile-Stat'!C136)-1)</f>
        <v>Sheeler Rd</v>
      </c>
      <c r="E142" s="47" t="str">
        <f>RIGHT('2025MasterFile-Stat'!C136,LEN('2025MasterFile-Stat'!C136)-FIND(" to ",'2025MasterFile-Stat'!C136)-3)</f>
        <v>Thompson Rd</v>
      </c>
      <c r="F142" s="44" t="str">
        <f>'2025MasterFile-Stat'!G136</f>
        <v>8LD</v>
      </c>
      <c r="G142" s="44"/>
      <c r="H142" s="46" t="str">
        <f>'2025MasterFile-Stat'!H136</f>
        <v>D</v>
      </c>
      <c r="I142" s="44" t="str">
        <f>'2025MasterFile-Stat'!A136</f>
        <v>Maj Art</v>
      </c>
      <c r="J142" s="44"/>
      <c r="K142" s="44"/>
      <c r="L142" s="26">
        <f>IF(Cap!H136="A",Cap!O136,
 IF(Cap!H136="B",Cap!P136,
 IF(Cap!H136="C",Cap!Q136,
 IF(Cap!H136="D",Cap!R136,
 IF(Cap!H136="E",Cap!S136,"")))))</f>
        <v>80100</v>
      </c>
      <c r="M142" s="44"/>
      <c r="N142" s="44">
        <f>IF(Cap!H136="A",Cap!J136,
 IF(Cap!H136="B",Cap!K136,
 IF(Cap!H136="C",Cap!L136,
 IF(Cap!H136="D",Cap!M136,
 IF(Cap!H136="E",Cap!N136,"")))))</f>
        <v>4040</v>
      </c>
      <c r="O142" s="44"/>
      <c r="P142" s="44"/>
      <c r="Q142" s="44"/>
      <c r="R142" s="44">
        <f>LOS!J136</f>
        <v>44041</v>
      </c>
      <c r="S142" s="45"/>
      <c r="T142" s="44" t="str">
        <f>LOS!K136</f>
        <v>C</v>
      </c>
      <c r="U142" s="44"/>
      <c r="V142" s="44"/>
      <c r="W142" s="44"/>
      <c r="X142" s="44"/>
      <c r="Y142" s="44"/>
      <c r="Z142" s="44"/>
      <c r="AA142" s="44">
        <f>LOS!L136</f>
        <v>1744</v>
      </c>
      <c r="AB142" s="44">
        <f>LOS!M136</f>
        <v>1411</v>
      </c>
      <c r="AC142" s="45"/>
      <c r="AD142" s="44" t="str">
        <f>LOS!Q136</f>
        <v>C</v>
      </c>
      <c r="AE142" s="44">
        <f>LOS!R136</f>
        <v>1789</v>
      </c>
      <c r="AF142" s="44">
        <f>LOS!S136</f>
        <v>1964</v>
      </c>
      <c r="AG142" s="45"/>
      <c r="AH142" s="44" t="str">
        <f>LOS!W136</f>
        <v>C</v>
      </c>
      <c r="AI142" s="82">
        <f>(Trend!L136)</f>
        <v>5.8902968781673604</v>
      </c>
      <c r="AJ142" s="77">
        <f>Cap!K136</f>
        <v>0</v>
      </c>
      <c r="AK142" s="77">
        <f>Cap!L136</f>
        <v>3970</v>
      </c>
      <c r="AL142" s="77">
        <f>Cap!M136</f>
        <v>4040</v>
      </c>
      <c r="AM142" s="77">
        <f>Cap!N136</f>
        <v>4040</v>
      </c>
    </row>
    <row r="143" spans="2:39" x14ac:dyDescent="0.25">
      <c r="B143" s="48" t="str">
        <f>'2025MasterFile-Stat'!F137</f>
        <v>295*</v>
      </c>
      <c r="C143" s="47" t="str">
        <f>'2025MasterFile-Stat'!B137</f>
        <v>SR 436 (Semoran Blvd)</v>
      </c>
      <c r="D143" s="47" t="str">
        <f>LEFT('2025MasterFile-Stat'!C137,FIND(" to ",'2025MasterFile-Stat'!C137)-1)</f>
        <v>Roger Williams Rd</v>
      </c>
      <c r="E143" s="47" t="str">
        <f>RIGHT('2025MasterFile-Stat'!C137,LEN('2025MasterFile-Stat'!C137)-FIND(" to ",'2025MasterFile-Stat'!C137)-3)</f>
        <v>Piedmont-Wekiva Rd</v>
      </c>
      <c r="F143" s="44" t="str">
        <f>'2025MasterFile-Stat'!G137</f>
        <v>8LD</v>
      </c>
      <c r="G143" s="44"/>
      <c r="H143" s="46" t="str">
        <f>'2025MasterFile-Stat'!H137</f>
        <v>D</v>
      </c>
      <c r="I143" s="44" t="str">
        <f>'2025MasterFile-Stat'!A137</f>
        <v>Maj Art</v>
      </c>
      <c r="J143" s="44"/>
      <c r="K143" s="44"/>
      <c r="L143" s="26">
        <f>IF(Cap!H137="A",Cap!O137,
 IF(Cap!H137="B",Cap!P137,
 IF(Cap!H137="C",Cap!Q137,
 IF(Cap!H137="D",Cap!R137,
 IF(Cap!H137="E",Cap!S137,"")))))</f>
        <v>80100</v>
      </c>
      <c r="M143" s="44"/>
      <c r="N143" s="44">
        <f>IF(Cap!H137="A",Cap!J137,
 IF(Cap!H137="B",Cap!K137,
 IF(Cap!H137="C",Cap!L137,
 IF(Cap!H137="D",Cap!M137,
 IF(Cap!H137="E",Cap!N137,"")))))</f>
        <v>4040</v>
      </c>
      <c r="O143" s="44"/>
      <c r="P143" s="44"/>
      <c r="Q143" s="44"/>
      <c r="R143" s="44">
        <f>LOS!J137</f>
        <v>44041</v>
      </c>
      <c r="S143" s="45"/>
      <c r="T143" s="44" t="str">
        <f>LOS!K137</f>
        <v>C</v>
      </c>
      <c r="U143" s="44"/>
      <c r="V143" s="44"/>
      <c r="W143" s="44"/>
      <c r="X143" s="44"/>
      <c r="Y143" s="44"/>
      <c r="Z143" s="44"/>
      <c r="AA143" s="44">
        <f>LOS!L137</f>
        <v>1744</v>
      </c>
      <c r="AB143" s="44">
        <f>LOS!M137</f>
        <v>1411</v>
      </c>
      <c r="AC143" s="45"/>
      <c r="AD143" s="44" t="str">
        <f>LOS!Q137</f>
        <v>C</v>
      </c>
      <c r="AE143" s="44">
        <f>LOS!R137</f>
        <v>1789</v>
      </c>
      <c r="AF143" s="44">
        <f>LOS!S137</f>
        <v>1964</v>
      </c>
      <c r="AG143" s="45"/>
      <c r="AH143" s="44" t="str">
        <f>LOS!W137</f>
        <v>C</v>
      </c>
      <c r="AI143" s="82">
        <f>(Trend!L137)</f>
        <v>0.77471921492747897</v>
      </c>
      <c r="AJ143" s="77">
        <f>Cap!K137</f>
        <v>0</v>
      </c>
      <c r="AK143" s="77">
        <f>Cap!L137</f>
        <v>3970</v>
      </c>
      <c r="AL143" s="77">
        <f>Cap!M137</f>
        <v>4040</v>
      </c>
      <c r="AM143" s="77">
        <f>Cap!N137</f>
        <v>4040</v>
      </c>
    </row>
    <row r="144" spans="2:39" x14ac:dyDescent="0.25">
      <c r="B144" s="48" t="str">
        <f>'2025MasterFile-Stat'!F138</f>
        <v>5*</v>
      </c>
      <c r="C144" s="47" t="str">
        <f>'2025MasterFile-Stat'!B138</f>
        <v>SR 436 (Semoran Blvd)</v>
      </c>
      <c r="D144" s="47" t="str">
        <f>LEFT('2025MasterFile-Stat'!C138,FIND(" to ",'2025MasterFile-Stat'!C138)-1)</f>
        <v>Piedmont-Wekiva Rd</v>
      </c>
      <c r="E144" s="47" t="str">
        <f>RIGHT('2025MasterFile-Stat'!C138,LEN('2025MasterFile-Stat'!C138)-FIND(" to ",'2025MasterFile-Stat'!C138)-3)</f>
        <v>Seminole County Ln</v>
      </c>
      <c r="F144" s="44" t="str">
        <f>'2025MasterFile-Stat'!G138</f>
        <v>6LD</v>
      </c>
      <c r="G144" s="44"/>
      <c r="H144" s="46" t="str">
        <f>'2025MasterFile-Stat'!H138</f>
        <v>D</v>
      </c>
      <c r="I144" s="44" t="str">
        <f>'2025MasterFile-Stat'!A138</f>
        <v>Maj Art</v>
      </c>
      <c r="J144" s="44"/>
      <c r="K144" s="44"/>
      <c r="L144" s="26">
        <f>IF(Cap!H138="A",Cap!O138,
 IF(Cap!H138="B",Cap!P138,
 IF(Cap!H138="C",Cap!Q138,
 IF(Cap!H138="D",Cap!R138,
 IF(Cap!H138="E",Cap!S138,"")))))</f>
        <v>59900</v>
      </c>
      <c r="M144" s="44"/>
      <c r="N144" s="44">
        <f>IF(Cap!H138="A",Cap!J138,
 IF(Cap!H138="B",Cap!K138,
 IF(Cap!H138="C",Cap!L138,
 IF(Cap!H138="D",Cap!M138,
 IF(Cap!H138="E",Cap!N138,"")))))</f>
        <v>3020</v>
      </c>
      <c r="O144" s="44"/>
      <c r="P144" s="44"/>
      <c r="Q144" s="44"/>
      <c r="R144" s="44">
        <f>LOS!J138</f>
        <v>56744</v>
      </c>
      <c r="S144" s="45"/>
      <c r="T144" s="44" t="str">
        <f>LOS!K138</f>
        <v>C</v>
      </c>
      <c r="U144" s="44"/>
      <c r="V144" s="44"/>
      <c r="W144" s="44"/>
      <c r="X144" s="44"/>
      <c r="Y144" s="44"/>
      <c r="Z144" s="44"/>
      <c r="AA144" s="44">
        <f>LOS!L138</f>
        <v>2306</v>
      </c>
      <c r="AB144" s="44">
        <f>LOS!M138</f>
        <v>1753</v>
      </c>
      <c r="AC144" s="45"/>
      <c r="AD144" s="44" t="str">
        <f>LOS!Q138</f>
        <v>C</v>
      </c>
      <c r="AE144" s="44">
        <f>LOS!R138</f>
        <v>2139</v>
      </c>
      <c r="AF144" s="44">
        <f>LOS!S138</f>
        <v>2289</v>
      </c>
      <c r="AG144" s="45"/>
      <c r="AH144" s="44" t="str">
        <f>LOS!W138</f>
        <v>C</v>
      </c>
      <c r="AI144" s="82">
        <f>(Trend!L138)</f>
        <v>-0.36391730605286698</v>
      </c>
      <c r="AJ144" s="77">
        <f>Cap!K138</f>
        <v>0</v>
      </c>
      <c r="AK144" s="77">
        <f>Cap!L138</f>
        <v>2940</v>
      </c>
      <c r="AL144" s="77">
        <f>Cap!M138</f>
        <v>3020</v>
      </c>
      <c r="AM144" s="77">
        <f>Cap!N138</f>
        <v>3020</v>
      </c>
    </row>
    <row r="145" spans="2:39" x14ac:dyDescent="0.25">
      <c r="B145" s="48">
        <f>'2025MasterFile-Stat'!F139</f>
        <v>601</v>
      </c>
      <c r="C145" s="47" t="str">
        <f>'2025MasterFile-Stat'!B139</f>
        <v>Sandpiper Rd</v>
      </c>
      <c r="D145" s="47" t="str">
        <f>LEFT('2025MasterFile-Stat'!C139,FIND(" to ",'2025MasterFile-Stat'!C139)-1)</f>
        <v>Ustler Rd</v>
      </c>
      <c r="E145" s="47" t="str">
        <f>RIGHT('2025MasterFile-Stat'!C139,LEN('2025MasterFile-Stat'!C139)-FIND(" to ",'2025MasterFile-Stat'!C139)-3)</f>
        <v>Thompson Rd</v>
      </c>
      <c r="F145" s="44" t="str">
        <f>'2025MasterFile-Stat'!G139</f>
        <v>2L</v>
      </c>
      <c r="G145" s="44"/>
      <c r="H145" s="46" t="str">
        <f>'2025MasterFile-Stat'!H139</f>
        <v>E</v>
      </c>
      <c r="I145" s="44" t="str">
        <f>'2025MasterFile-Stat'!A139</f>
        <v>Min Coll</v>
      </c>
      <c r="J145" s="44"/>
      <c r="K145" s="44"/>
      <c r="L145" s="26">
        <f>IF(Cap!H139="A",Cap!O139,
 IF(Cap!H139="B",Cap!P139,
 IF(Cap!H139="C",Cap!Q139,
 IF(Cap!H139="D",Cap!R139,
 IF(Cap!H139="E",Cap!S139,"")))))</f>
        <v>15900</v>
      </c>
      <c r="M145" s="44"/>
      <c r="N145" s="44">
        <f>IF(Cap!H139="A",Cap!J139,
 IF(Cap!H139="B",Cap!K139,
 IF(Cap!H139="C",Cap!L139,
 IF(Cap!H139="D",Cap!M139,
 IF(Cap!H139="E",Cap!N139,"")))))</f>
        <v>790</v>
      </c>
      <c r="O145" s="44"/>
      <c r="P145" s="44"/>
      <c r="Q145" s="44"/>
      <c r="R145" s="44">
        <f>LOS!J139</f>
        <v>5175</v>
      </c>
      <c r="S145" s="45"/>
      <c r="T145" s="44" t="str">
        <f>LOS!K139</f>
        <v>C</v>
      </c>
      <c r="U145" s="44"/>
      <c r="V145" s="44"/>
      <c r="W145" s="44"/>
      <c r="X145" s="44"/>
      <c r="Y145" s="44"/>
      <c r="Z145" s="44"/>
      <c r="AA145" s="44">
        <f>LOS!L139</f>
        <v>325</v>
      </c>
      <c r="AB145" s="44">
        <f>LOS!M139</f>
        <v>108</v>
      </c>
      <c r="AC145" s="45"/>
      <c r="AD145" s="44" t="str">
        <f>LOS!Q139</f>
        <v>C</v>
      </c>
      <c r="AE145" s="44">
        <f>LOS!R139</f>
        <v>193</v>
      </c>
      <c r="AF145" s="44">
        <f>LOS!S139</f>
        <v>320</v>
      </c>
      <c r="AG145" s="45"/>
      <c r="AH145" s="44" t="str">
        <f>LOS!W139</f>
        <v>C</v>
      </c>
      <c r="AI145" s="82">
        <f>(Trend!L139)</f>
        <v>-0.99516908212606103</v>
      </c>
      <c r="AJ145" s="77">
        <f>Cap!K139</f>
        <v>0</v>
      </c>
      <c r="AK145" s="77">
        <f>Cap!L139</f>
        <v>750</v>
      </c>
      <c r="AL145" s="77">
        <f>Cap!M139</f>
        <v>790</v>
      </c>
      <c r="AM145" s="77">
        <f>Cap!N139</f>
        <v>790</v>
      </c>
    </row>
    <row r="146" spans="2:39" x14ac:dyDescent="0.25">
      <c r="B146" s="48">
        <f>'2025MasterFile-Stat'!F140</f>
        <v>600</v>
      </c>
      <c r="C146" s="47" t="str">
        <f>'2025MasterFile-Stat'!B140</f>
        <v>Sandpiper Rd</v>
      </c>
      <c r="D146" s="47" t="str">
        <f>LEFT('2025MasterFile-Stat'!C140,FIND(" to ",'2025MasterFile-Stat'!C140)-1)</f>
        <v>Park Ave</v>
      </c>
      <c r="E146" s="47" t="str">
        <f>RIGHT('2025MasterFile-Stat'!C140,LEN('2025MasterFile-Stat'!C140)-FIND(" to ",'2025MasterFile-Stat'!C140)-3)</f>
        <v>Ustler Rd</v>
      </c>
      <c r="F146" s="44" t="str">
        <f>'2025MasterFile-Stat'!G140</f>
        <v>2L</v>
      </c>
      <c r="G146" s="44"/>
      <c r="H146" s="46" t="str">
        <f>'2025MasterFile-Stat'!H140</f>
        <v>E</v>
      </c>
      <c r="I146" s="44" t="str">
        <f>'2025MasterFile-Stat'!A140</f>
        <v>Min Coll</v>
      </c>
      <c r="J146" s="44"/>
      <c r="K146" s="44"/>
      <c r="L146" s="26">
        <f>IF(Cap!H140="A",Cap!O140,
 IF(Cap!H140="B",Cap!P140,
 IF(Cap!H140="C",Cap!Q140,
 IF(Cap!H140="D",Cap!R140,
 IF(Cap!H140="E",Cap!S140,"")))))</f>
        <v>15900</v>
      </c>
      <c r="M146" s="44"/>
      <c r="N146" s="44">
        <f>IF(Cap!H140="A",Cap!J140,
 IF(Cap!H140="B",Cap!K140,
 IF(Cap!H140="C",Cap!L140,
 IF(Cap!H140="D",Cap!M140,
 IF(Cap!H140="E",Cap!N140,"")))))</f>
        <v>790</v>
      </c>
      <c r="O146" s="44"/>
      <c r="P146" s="44"/>
      <c r="Q146" s="44"/>
      <c r="R146" s="44">
        <f>LOS!J140</f>
        <v>4129</v>
      </c>
      <c r="S146" s="45"/>
      <c r="T146" s="44" t="str">
        <f>LOS!K140</f>
        <v>C</v>
      </c>
      <c r="U146" s="44"/>
      <c r="V146" s="44"/>
      <c r="W146" s="44"/>
      <c r="X146" s="44"/>
      <c r="Y146" s="44"/>
      <c r="Z146" s="44"/>
      <c r="AA146" s="44">
        <f>LOS!L140</f>
        <v>275</v>
      </c>
      <c r="AB146" s="44">
        <f>LOS!M140</f>
        <v>80</v>
      </c>
      <c r="AC146" s="45"/>
      <c r="AD146" s="44" t="str">
        <f>LOS!Q140</f>
        <v>C</v>
      </c>
      <c r="AE146" s="44">
        <f>LOS!R140</f>
        <v>163</v>
      </c>
      <c r="AF146" s="44">
        <f>LOS!S140</f>
        <v>260</v>
      </c>
      <c r="AG146" s="45"/>
      <c r="AH146" s="44" t="str">
        <f>LOS!W140</f>
        <v>C</v>
      </c>
      <c r="AI146" s="82">
        <f>(Trend!L140)</f>
        <v>-0.84766287236661397</v>
      </c>
      <c r="AJ146" s="77">
        <f>Cap!K140</f>
        <v>0</v>
      </c>
      <c r="AK146" s="77">
        <f>Cap!L140</f>
        <v>750</v>
      </c>
      <c r="AL146" s="77">
        <f>Cap!M140</f>
        <v>790</v>
      </c>
      <c r="AM146" s="77">
        <f>Cap!N140</f>
        <v>790</v>
      </c>
    </row>
    <row r="147" spans="2:39" x14ac:dyDescent="0.25">
      <c r="B147" s="48">
        <f>'2025MasterFile-Stat'!F141</f>
        <v>507</v>
      </c>
      <c r="C147" s="47" t="str">
        <f>'2025MasterFile-Stat'!B141</f>
        <v>Schopke-Lester Rd</v>
      </c>
      <c r="D147" s="47" t="str">
        <f>LEFT('2025MasterFile-Stat'!C141,FIND(" to ",'2025MasterFile-Stat'!C141)-1)</f>
        <v>Lester Rd</v>
      </c>
      <c r="E147" s="47" t="str">
        <f>RIGHT('2025MasterFile-Stat'!C141,LEN('2025MasterFile-Stat'!C141)-FIND(" to ",'2025MasterFile-Stat'!C141)-3)</f>
        <v>Old Dixie Hwy</v>
      </c>
      <c r="F147" s="44" t="str">
        <f>'2025MasterFile-Stat'!G141</f>
        <v>2L</v>
      </c>
      <c r="G147" s="44"/>
      <c r="H147" s="46" t="str">
        <f>'2025MasterFile-Stat'!H141</f>
        <v>E</v>
      </c>
      <c r="I147" s="44" t="str">
        <f>'2025MasterFile-Stat'!A141</f>
        <v>Min Coll</v>
      </c>
      <c r="J147" s="44"/>
      <c r="K147" s="44"/>
      <c r="L147" s="26">
        <f>IF(Cap!H141="A",Cap!O141,
 IF(Cap!H141="B",Cap!P141,
 IF(Cap!H141="C",Cap!Q141,
 IF(Cap!H141="D",Cap!R141,
 IF(Cap!H141="E",Cap!S141,"")))))</f>
        <v>14000</v>
      </c>
      <c r="M147" s="44"/>
      <c r="N147" s="44">
        <f>IF(Cap!H141="A",Cap!J141,
 IF(Cap!H141="B",Cap!K141,
 IF(Cap!H141="C",Cap!L141,
 IF(Cap!H141="D",Cap!M141,
 IF(Cap!H141="E",Cap!N141,"")))))</f>
        <v>720</v>
      </c>
      <c r="O147" s="44"/>
      <c r="P147" s="44"/>
      <c r="Q147" s="44"/>
      <c r="R147" s="44">
        <f>LOS!J141</f>
        <v>3864</v>
      </c>
      <c r="S147" s="45"/>
      <c r="T147" s="44" t="str">
        <f>LOS!K141</f>
        <v>C</v>
      </c>
      <c r="U147" s="44"/>
      <c r="V147" s="44"/>
      <c r="W147" s="44"/>
      <c r="X147" s="44"/>
      <c r="Y147" s="44"/>
      <c r="Z147" s="44"/>
      <c r="AA147" s="44">
        <f>LOS!L141</f>
        <v>79</v>
      </c>
      <c r="AB147" s="44">
        <f>LOS!M141</f>
        <v>173</v>
      </c>
      <c r="AC147" s="45"/>
      <c r="AD147" s="44" t="str">
        <f>LOS!Q141</f>
        <v>C</v>
      </c>
      <c r="AE147" s="44">
        <f>LOS!R141</f>
        <v>221</v>
      </c>
      <c r="AF147" s="44">
        <f>LOS!S141</f>
        <v>128</v>
      </c>
      <c r="AG147" s="45"/>
      <c r="AH147" s="44" t="str">
        <f>LOS!W141</f>
        <v>C</v>
      </c>
      <c r="AI147" s="82">
        <f>(Trend!L141)</f>
        <v>3.4394409937898298</v>
      </c>
      <c r="AJ147" s="77">
        <f>Cap!K141</f>
        <v>0</v>
      </c>
      <c r="AK147" s="77">
        <f>Cap!L141</f>
        <v>330</v>
      </c>
      <c r="AL147" s="77">
        <f>Cap!M141</f>
        <v>680</v>
      </c>
      <c r="AM147" s="77">
        <f>Cap!N141</f>
        <v>720</v>
      </c>
    </row>
    <row r="148" spans="2:39" x14ac:dyDescent="0.25">
      <c r="B148" s="48">
        <f>'2025MasterFile-Stat'!F142</f>
        <v>701</v>
      </c>
      <c r="C148" s="47" t="str">
        <f>'2025MasterFile-Stat'!B142</f>
        <v>Sheeler Oaks Dr</v>
      </c>
      <c r="D148" s="47" t="str">
        <f>LEFT('2025MasterFile-Stat'!C142,FIND(" to ",'2025MasterFile-Stat'!C142)-1)</f>
        <v>Sheeler Rd</v>
      </c>
      <c r="E148" s="47" t="str">
        <f>RIGHT('2025MasterFile-Stat'!C142,LEN('2025MasterFile-Stat'!C142)-FIND(" to ",'2025MasterFile-Stat'!C142)-3)</f>
        <v>Saddleback Ridge</v>
      </c>
      <c r="F148" s="44" t="str">
        <f>'2025MasterFile-Stat'!G142</f>
        <v>2L</v>
      </c>
      <c r="G148" s="44"/>
      <c r="H148" s="46" t="str">
        <f>'2025MasterFile-Stat'!H142</f>
        <v>E</v>
      </c>
      <c r="I148" s="44" t="str">
        <f>'2025MasterFile-Stat'!A142</f>
        <v>Min Coll</v>
      </c>
      <c r="J148" s="44"/>
      <c r="K148" s="44"/>
      <c r="L148" s="26">
        <f>IF(Cap!H142="A",Cap!O142,
 IF(Cap!H142="B",Cap!P142,
 IF(Cap!H142="C",Cap!Q142,
 IF(Cap!H142="D",Cap!R142,
 IF(Cap!H142="E",Cap!S142,"")))))</f>
        <v>15900</v>
      </c>
      <c r="M148" s="44"/>
      <c r="N148" s="44">
        <f>IF(Cap!H142="A",Cap!J142,
 IF(Cap!H142="B",Cap!K142,
 IF(Cap!H142="C",Cap!L142,
 IF(Cap!H142="D",Cap!M142,
 IF(Cap!H142="E",Cap!N142,"")))))</f>
        <v>790</v>
      </c>
      <c r="O148" s="44"/>
      <c r="P148" s="44"/>
      <c r="Q148" s="44"/>
      <c r="R148" s="44">
        <f>LOS!J142</f>
        <v>2015</v>
      </c>
      <c r="S148" s="45"/>
      <c r="T148" s="44" t="str">
        <f>LOS!K142</f>
        <v>C</v>
      </c>
      <c r="U148" s="44"/>
      <c r="V148" s="44"/>
      <c r="W148" s="44"/>
      <c r="X148" s="44"/>
      <c r="Y148" s="44"/>
      <c r="Z148" s="44"/>
      <c r="AA148" s="44">
        <f>LOS!L142</f>
        <v>61</v>
      </c>
      <c r="AB148" s="44">
        <f>LOS!M142</f>
        <v>73</v>
      </c>
      <c r="AC148" s="45"/>
      <c r="AD148" s="44" t="str">
        <f>LOS!Q142</f>
        <v>C</v>
      </c>
      <c r="AE148" s="44">
        <f>LOS!R142</f>
        <v>96</v>
      </c>
      <c r="AF148" s="44">
        <f>LOS!S142</f>
        <v>94</v>
      </c>
      <c r="AG148" s="45"/>
      <c r="AH148" s="44" t="str">
        <f>LOS!W142</f>
        <v>C</v>
      </c>
      <c r="AI148" s="82">
        <f>(Trend!L142)</f>
        <v>0.58064516129046295</v>
      </c>
      <c r="AJ148" s="77">
        <f>Cap!K142</f>
        <v>0</v>
      </c>
      <c r="AK148" s="77">
        <f>Cap!L142</f>
        <v>750</v>
      </c>
      <c r="AL148" s="77">
        <f>Cap!M142</f>
        <v>790</v>
      </c>
      <c r="AM148" s="77">
        <f>Cap!N142</f>
        <v>790</v>
      </c>
    </row>
    <row r="149" spans="2:39" x14ac:dyDescent="0.25">
      <c r="B149" s="48">
        <f>'2025MasterFile-Stat'!F143</f>
        <v>656</v>
      </c>
      <c r="C149" s="47" t="str">
        <f>'2025MasterFile-Stat'!B143</f>
        <v>Sheeler Rd</v>
      </c>
      <c r="D149" s="47" t="str">
        <f>LEFT('2025MasterFile-Stat'!C143,FIND(" to ",'2025MasterFile-Stat'!C143)-1)</f>
        <v>Cleveland St</v>
      </c>
      <c r="E149" s="47" t="str">
        <f>RIGHT('2025MasterFile-Stat'!C143,LEN('2025MasterFile-Stat'!C143)-FIND(" to ",'2025MasterFile-Stat'!C143)-3)</f>
        <v>Keene Rd</v>
      </c>
      <c r="F149" s="44" t="str">
        <f>'2025MasterFile-Stat'!G143</f>
        <v>2L</v>
      </c>
      <c r="G149" s="44"/>
      <c r="H149" s="46" t="str">
        <f>'2025MasterFile-Stat'!H143</f>
        <v>E</v>
      </c>
      <c r="I149" s="44" t="str">
        <f>'2025MasterFile-Stat'!A143</f>
        <v>Min Art</v>
      </c>
      <c r="J149" s="44"/>
      <c r="K149" s="44"/>
      <c r="L149" s="26">
        <f>IF(Cap!H143="A",Cap!O143,
 IF(Cap!H143="B",Cap!P143,
 IF(Cap!H143="C",Cap!Q143,
 IF(Cap!H143="D",Cap!R143,
 IF(Cap!H143="E",Cap!S143,"")))))</f>
        <v>17700</v>
      </c>
      <c r="M149" s="44"/>
      <c r="N149" s="44">
        <f>IF(Cap!H143="A",Cap!J143,
 IF(Cap!H143="B",Cap!K143,
 IF(Cap!H143="C",Cap!L143,
 IF(Cap!H143="D",Cap!M143,
 IF(Cap!H143="E",Cap!N143,"")))))</f>
        <v>880</v>
      </c>
      <c r="O149" s="44"/>
      <c r="P149" s="44"/>
      <c r="Q149" s="44"/>
      <c r="R149" s="44">
        <f>LOS!J143</f>
        <v>8522</v>
      </c>
      <c r="S149" s="45"/>
      <c r="T149" s="44" t="str">
        <f>LOS!K143</f>
        <v>C</v>
      </c>
      <c r="U149" s="44"/>
      <c r="V149" s="44"/>
      <c r="W149" s="44"/>
      <c r="X149" s="44"/>
      <c r="Y149" s="44"/>
      <c r="Z149" s="44"/>
      <c r="AA149" s="44">
        <f>LOS!L143</f>
        <v>313</v>
      </c>
      <c r="AB149" s="44">
        <f>LOS!M143</f>
        <v>296</v>
      </c>
      <c r="AC149" s="45"/>
      <c r="AD149" s="44" t="str">
        <f>LOS!Q143</f>
        <v>C</v>
      </c>
      <c r="AE149" s="44">
        <f>LOS!R143</f>
        <v>353</v>
      </c>
      <c r="AF149" s="44">
        <f>LOS!S143</f>
        <v>420</v>
      </c>
      <c r="AG149" s="45"/>
      <c r="AH149" s="44" t="str">
        <f>LOS!W143</f>
        <v>C</v>
      </c>
      <c r="AI149" s="82">
        <f>(Trend!L143)</f>
        <v>-2.3515606665111499</v>
      </c>
      <c r="AJ149" s="77">
        <f>Cap!K143</f>
        <v>0</v>
      </c>
      <c r="AK149" s="77">
        <f>Cap!L143</f>
        <v>830</v>
      </c>
      <c r="AL149" s="77">
        <f>Cap!M143</f>
        <v>880</v>
      </c>
      <c r="AM149" s="77">
        <f>Cap!N143</f>
        <v>880</v>
      </c>
    </row>
    <row r="150" spans="2:39" x14ac:dyDescent="0.25">
      <c r="B150" s="48" t="str">
        <f>'2025MasterFile-Stat'!F144</f>
        <v>7006*</v>
      </c>
      <c r="C150" s="47" t="str">
        <f>'2025MasterFile-Stat'!B144</f>
        <v>Sheeler Rd</v>
      </c>
      <c r="D150" s="47" t="str">
        <f>LEFT('2025MasterFile-Stat'!C144,FIND(" to ",'2025MasterFile-Stat'!C144)-1)</f>
        <v>US 441</v>
      </c>
      <c r="E150" s="47" t="str">
        <f>RIGHT('2025MasterFile-Stat'!C144,LEN('2025MasterFile-Stat'!C144)-FIND(" to ",'2025MasterFile-Stat'!C144)-3)</f>
        <v>Apopka Blvd</v>
      </c>
      <c r="F150" s="44" t="str">
        <f>'2025MasterFile-Stat'!G144</f>
        <v>2L</v>
      </c>
      <c r="G150" s="44"/>
      <c r="H150" s="46" t="str">
        <f>'2025MasterFile-Stat'!H144</f>
        <v>E</v>
      </c>
      <c r="I150" s="44" t="str">
        <f>'2025MasterFile-Stat'!A144</f>
        <v>Min Art</v>
      </c>
      <c r="J150" s="44"/>
      <c r="K150" s="44"/>
      <c r="L150" s="26">
        <f>IF(Cap!H144="A",Cap!O144,
 IF(Cap!H144="B",Cap!P144,
 IF(Cap!H144="C",Cap!Q144,
 IF(Cap!H144="D",Cap!R144,
 IF(Cap!H144="E",Cap!S144,"")))))</f>
        <v>17700</v>
      </c>
      <c r="M150" s="44"/>
      <c r="N150" s="44">
        <f>IF(Cap!H144="A",Cap!J144,
 IF(Cap!H144="B",Cap!K144,
 IF(Cap!H144="C",Cap!L144,
 IF(Cap!H144="D",Cap!M144,
 IF(Cap!H144="E",Cap!N144,"")))))</f>
        <v>880</v>
      </c>
      <c r="O150" s="44"/>
      <c r="P150" s="44"/>
      <c r="Q150" s="44"/>
      <c r="R150" s="44">
        <f>LOS!J144</f>
        <v>10248</v>
      </c>
      <c r="S150" s="45"/>
      <c r="T150" s="44" t="str">
        <f>LOS!K144</f>
        <v>C</v>
      </c>
      <c r="U150" s="44"/>
      <c r="V150" s="44"/>
      <c r="W150" s="44"/>
      <c r="X150" s="44"/>
      <c r="Y150" s="44"/>
      <c r="Z150" s="44"/>
      <c r="AA150" s="44">
        <f>LOS!L144</f>
        <v>380</v>
      </c>
      <c r="AB150" s="44">
        <f>LOS!M144</f>
        <v>336</v>
      </c>
      <c r="AC150" s="45"/>
      <c r="AD150" s="44" t="str">
        <f>LOS!Q144</f>
        <v>C</v>
      </c>
      <c r="AE150" s="44">
        <f>LOS!R144</f>
        <v>427</v>
      </c>
      <c r="AF150" s="44">
        <f>LOS!S144</f>
        <v>437</v>
      </c>
      <c r="AG150" s="45"/>
      <c r="AH150" s="44" t="str">
        <f>LOS!W144</f>
        <v>C</v>
      </c>
      <c r="AI150" s="82">
        <f>(Trend!L144)</f>
        <v>2.3260055678224898</v>
      </c>
      <c r="AJ150" s="77">
        <f>Cap!K144</f>
        <v>0</v>
      </c>
      <c r="AK150" s="77">
        <f>Cap!L144</f>
        <v>830</v>
      </c>
      <c r="AL150" s="77">
        <f>Cap!M144</f>
        <v>880</v>
      </c>
      <c r="AM150" s="77">
        <f>Cap!N144</f>
        <v>880</v>
      </c>
    </row>
    <row r="151" spans="2:39" x14ac:dyDescent="0.25">
      <c r="B151" s="48">
        <f>'2025MasterFile-Stat'!F145</f>
        <v>605</v>
      </c>
      <c r="C151" s="47" t="str">
        <f>'2025MasterFile-Stat'!B145</f>
        <v>Sheeler Rd</v>
      </c>
      <c r="D151" s="47" t="str">
        <f>LEFT('2025MasterFile-Stat'!C145,FIND(" to ",'2025MasterFile-Stat'!C145)-1)</f>
        <v>SR 436</v>
      </c>
      <c r="E151" s="47" t="str">
        <f>RIGHT('2025MasterFile-Stat'!C145,LEN('2025MasterFile-Stat'!C145)-FIND(" to ",'2025MasterFile-Stat'!C145)-3)</f>
        <v>US 441</v>
      </c>
      <c r="F151" s="44" t="str">
        <f>'2025MasterFile-Stat'!G145</f>
        <v>3L</v>
      </c>
      <c r="G151" s="44"/>
      <c r="H151" s="46" t="str">
        <f>'2025MasterFile-Stat'!H145</f>
        <v>E</v>
      </c>
      <c r="I151" s="44" t="str">
        <f>'2025MasterFile-Stat'!A145</f>
        <v>Min Art</v>
      </c>
      <c r="J151" s="44"/>
      <c r="K151" s="44"/>
      <c r="L151" s="26">
        <f>IF(Cap!H145="A",Cap!O145,
 IF(Cap!H145="B",Cap!P145,
 IF(Cap!H145="C",Cap!Q145,
 IF(Cap!H145="D",Cap!R145,
 IF(Cap!H145="E",Cap!S145,"")))))</f>
        <v>32100</v>
      </c>
      <c r="M151" s="44"/>
      <c r="N151" s="44">
        <f>IF(Cap!H145="A",Cap!J145,
 IF(Cap!H145="B",Cap!K145,
 IF(Cap!H145="C",Cap!L145,
 IF(Cap!H145="D",Cap!M145,
 IF(Cap!H145="E",Cap!N145,"")))))</f>
        <v>1620</v>
      </c>
      <c r="O151" s="44"/>
      <c r="P151" s="44"/>
      <c r="Q151" s="44"/>
      <c r="R151" s="44">
        <f>LOS!J145</f>
        <v>9915</v>
      </c>
      <c r="S151" s="45"/>
      <c r="T151" s="44" t="str">
        <f>LOS!K145</f>
        <v>C</v>
      </c>
      <c r="U151" s="44"/>
      <c r="V151" s="44"/>
      <c r="W151" s="44"/>
      <c r="X151" s="44"/>
      <c r="Y151" s="44"/>
      <c r="Z151" s="44"/>
      <c r="AA151" s="44">
        <f>LOS!L145</f>
        <v>285</v>
      </c>
      <c r="AB151" s="44">
        <f>LOS!M145</f>
        <v>270</v>
      </c>
      <c r="AC151" s="45"/>
      <c r="AD151" s="44" t="str">
        <f>LOS!Q145</f>
        <v>C</v>
      </c>
      <c r="AE151" s="44">
        <f>LOS!R145</f>
        <v>447</v>
      </c>
      <c r="AF151" s="44">
        <f>LOS!S145</f>
        <v>417</v>
      </c>
      <c r="AG151" s="45"/>
      <c r="AH151" s="44" t="str">
        <f>LOS!W145</f>
        <v>C</v>
      </c>
      <c r="AI151" s="82">
        <f>(Trend!L145)</f>
        <v>-0.68885526979354295</v>
      </c>
      <c r="AJ151" s="77">
        <f>Cap!K145</f>
        <v>0</v>
      </c>
      <c r="AK151" s="77">
        <f>Cap!L145</f>
        <v>690</v>
      </c>
      <c r="AL151" s="77">
        <f>Cap!M145</f>
        <v>1550</v>
      </c>
      <c r="AM151" s="77">
        <f>Cap!N145</f>
        <v>1620</v>
      </c>
    </row>
    <row r="152" spans="2:39" x14ac:dyDescent="0.25">
      <c r="B152" s="48" t="str">
        <f>'2025MasterFile-Stat'!F146</f>
        <v>7007*</v>
      </c>
      <c r="C152" s="47" t="str">
        <f>'2025MasterFile-Stat'!B146</f>
        <v>Sheeler Rd</v>
      </c>
      <c r="D152" s="47" t="str">
        <f>LEFT('2025MasterFile-Stat'!C146,FIND(" to ",'2025MasterFile-Stat'!C146)-1)</f>
        <v>Apopka Blvd</v>
      </c>
      <c r="E152" s="47" t="str">
        <f>RIGHT('2025MasterFile-Stat'!C146,LEN('2025MasterFile-Stat'!C146)-FIND(" to ",'2025MasterFile-Stat'!C146)-3)</f>
        <v>Cleveland St</v>
      </c>
      <c r="F152" s="44" t="str">
        <f>'2025MasterFile-Stat'!G146</f>
        <v>2L</v>
      </c>
      <c r="G152" s="44"/>
      <c r="H152" s="46" t="str">
        <f>'2025MasterFile-Stat'!H146</f>
        <v>E</v>
      </c>
      <c r="I152" s="44" t="str">
        <f>'2025MasterFile-Stat'!A146</f>
        <v>Min Art</v>
      </c>
      <c r="J152" s="44"/>
      <c r="K152" s="44"/>
      <c r="L152" s="26">
        <f>IF(Cap!H146="A",Cap!O146,
 IF(Cap!H146="B",Cap!P146,
 IF(Cap!H146="C",Cap!Q146,
 IF(Cap!H146="D",Cap!R146,
 IF(Cap!H146="E",Cap!S146,"")))))</f>
        <v>17700</v>
      </c>
      <c r="M152" s="44"/>
      <c r="N152" s="44">
        <f>IF(Cap!H146="A",Cap!J146,
 IF(Cap!H146="B",Cap!K146,
 IF(Cap!H146="C",Cap!L146,
 IF(Cap!H146="D",Cap!M146,
 IF(Cap!H146="E",Cap!N146,"")))))</f>
        <v>880</v>
      </c>
      <c r="O152" s="44"/>
      <c r="P152" s="44"/>
      <c r="Q152" s="44"/>
      <c r="R152" s="44">
        <f>LOS!J146</f>
        <v>10897</v>
      </c>
      <c r="S152" s="45"/>
      <c r="T152" s="44" t="str">
        <f>LOS!K146</f>
        <v>C</v>
      </c>
      <c r="U152" s="44"/>
      <c r="V152" s="44"/>
      <c r="W152" s="44"/>
      <c r="X152" s="44"/>
      <c r="Y152" s="44"/>
      <c r="Z152" s="44"/>
      <c r="AA152" s="44">
        <f>LOS!L146</f>
        <v>447</v>
      </c>
      <c r="AB152" s="44">
        <f>LOS!M146</f>
        <v>313</v>
      </c>
      <c r="AC152" s="45"/>
      <c r="AD152" s="44" t="str">
        <f>LOS!Q146</f>
        <v>C</v>
      </c>
      <c r="AE152" s="44">
        <f>LOS!R146</f>
        <v>438</v>
      </c>
      <c r="AF152" s="44">
        <f>LOS!S146</f>
        <v>477</v>
      </c>
      <c r="AG152" s="45"/>
      <c r="AH152" s="44" t="str">
        <f>LOS!W146</f>
        <v>C</v>
      </c>
      <c r="AI152" s="82">
        <f>(Trend!L146)</f>
        <v>1.8346299981907199</v>
      </c>
      <c r="AJ152" s="77">
        <f>Cap!K146</f>
        <v>0</v>
      </c>
      <c r="AK152" s="77">
        <f>Cap!L146</f>
        <v>830</v>
      </c>
      <c r="AL152" s="77">
        <f>Cap!M146</f>
        <v>880</v>
      </c>
      <c r="AM152" s="77">
        <f>Cap!N146</f>
        <v>880</v>
      </c>
    </row>
    <row r="153" spans="2:39" x14ac:dyDescent="0.25">
      <c r="B153" s="48">
        <f>'2025MasterFile-Stat'!F147</f>
        <v>521</v>
      </c>
      <c r="C153" s="47" t="str">
        <f>'2025MasterFile-Stat'!B147</f>
        <v>Summit St</v>
      </c>
      <c r="D153" s="47" t="str">
        <f>LEFT('2025MasterFile-Stat'!C147,FIND(" to ",'2025MasterFile-Stat'!C147)-1)</f>
        <v>Rock Springs Rd</v>
      </c>
      <c r="E153" s="47" t="str">
        <f>RIGHT('2025MasterFile-Stat'!C147,LEN('2025MasterFile-Stat'!C147)-FIND(" to ",'2025MasterFile-Stat'!C147)-3)</f>
        <v>Lake Ave</v>
      </c>
      <c r="F153" s="44" t="str">
        <f>'2025MasterFile-Stat'!G147</f>
        <v>2L</v>
      </c>
      <c r="G153" s="44"/>
      <c r="H153" s="46" t="str">
        <f>'2025MasterFile-Stat'!H147</f>
        <v>E</v>
      </c>
      <c r="I153" s="44" t="str">
        <f>'2025MasterFile-Stat'!A147</f>
        <v>Min Coll</v>
      </c>
      <c r="J153" s="44"/>
      <c r="K153" s="44"/>
      <c r="L153" s="26">
        <f>IF(Cap!H147="A",Cap!O147,
 IF(Cap!H147="B",Cap!P147,
 IF(Cap!H147="C",Cap!Q147,
 IF(Cap!H147="D",Cap!R147,
 IF(Cap!H147="E",Cap!S147,"")))))</f>
        <v>14000</v>
      </c>
      <c r="M153" s="44"/>
      <c r="N153" s="44">
        <f>IF(Cap!H147="A",Cap!J147,
 IF(Cap!H147="B",Cap!K147,
 IF(Cap!H147="C",Cap!L147,
 IF(Cap!H147="D",Cap!M147,
 IF(Cap!H147="E",Cap!N147,"")))))</f>
        <v>720</v>
      </c>
      <c r="O153" s="44"/>
      <c r="P153" s="44"/>
      <c r="Q153" s="44"/>
      <c r="R153" s="44">
        <f>LOS!J147</f>
        <v>3600</v>
      </c>
      <c r="S153" s="45"/>
      <c r="T153" s="44" t="str">
        <f>LOS!K147</f>
        <v>C</v>
      </c>
      <c r="U153" s="44"/>
      <c r="V153" s="44"/>
      <c r="W153" s="44"/>
      <c r="X153" s="44"/>
      <c r="Y153" s="44"/>
      <c r="Z153" s="44"/>
      <c r="AA153" s="44">
        <f>LOS!L147</f>
        <v>232</v>
      </c>
      <c r="AB153" s="44">
        <f>LOS!M147</f>
        <v>131</v>
      </c>
      <c r="AC153" s="45"/>
      <c r="AD153" s="44" t="str">
        <f>LOS!Q147</f>
        <v>C</v>
      </c>
      <c r="AE153" s="44">
        <f>LOS!R147</f>
        <v>134</v>
      </c>
      <c r="AF153" s="44">
        <f>LOS!S147</f>
        <v>161</v>
      </c>
      <c r="AG153" s="45"/>
      <c r="AH153" s="44" t="str">
        <f>LOS!W147</f>
        <v>C</v>
      </c>
      <c r="AI153" s="82">
        <f>(Trend!L147)</f>
        <v>-0.52500000000011904</v>
      </c>
      <c r="AJ153" s="77">
        <f>Cap!K147</f>
        <v>0</v>
      </c>
      <c r="AK153" s="77">
        <f>Cap!L147</f>
        <v>330</v>
      </c>
      <c r="AL153" s="77">
        <f>Cap!M147</f>
        <v>680</v>
      </c>
      <c r="AM153" s="77">
        <f>Cap!N147</f>
        <v>720</v>
      </c>
    </row>
    <row r="154" spans="2:39" x14ac:dyDescent="0.25">
      <c r="B154" s="48">
        <f>'2025MasterFile-Stat'!F148</f>
        <v>611</v>
      </c>
      <c r="C154" s="47" t="str">
        <f>'2025MasterFile-Stat'!B148</f>
        <v>Tanglewild St</v>
      </c>
      <c r="D154" s="47" t="str">
        <f>LEFT('2025MasterFile-Stat'!C148,FIND(" to ",'2025MasterFile-Stat'!C148)-1)</f>
        <v>Rock Springs Rd</v>
      </c>
      <c r="E154" s="47" t="str">
        <f>RIGHT('2025MasterFile-Stat'!C148,LEN('2025MasterFile-Stat'!C148)-FIND(" to ",'2025MasterFile-Stat'!C148)-3)</f>
        <v>Ulster Rd</v>
      </c>
      <c r="F154" s="44" t="str">
        <f>'2025MasterFile-Stat'!G148</f>
        <v>2L</v>
      </c>
      <c r="G154" s="44"/>
      <c r="H154" s="46" t="str">
        <f>'2025MasterFile-Stat'!H148</f>
        <v>E</v>
      </c>
      <c r="I154" s="44" t="str">
        <f>'2025MasterFile-Stat'!A148</f>
        <v>Min Coll</v>
      </c>
      <c r="J154" s="44"/>
      <c r="K154" s="44"/>
      <c r="L154" s="26">
        <f>IF(Cap!H148="A",Cap!O148,
 IF(Cap!H148="B",Cap!P148,
 IF(Cap!H148="C",Cap!Q148,
 IF(Cap!H148="D",Cap!R148,
 IF(Cap!H148="E",Cap!S148,"")))))</f>
        <v>14000</v>
      </c>
      <c r="M154" s="44"/>
      <c r="N154" s="44">
        <f>IF(Cap!H148="A",Cap!J148,
 IF(Cap!H148="B",Cap!K148,
 IF(Cap!H148="C",Cap!L148,
 IF(Cap!H148="D",Cap!M148,
 IF(Cap!H148="E",Cap!N148,"")))))</f>
        <v>720</v>
      </c>
      <c r="O154" s="44"/>
      <c r="P154" s="44"/>
      <c r="Q154" s="44"/>
      <c r="R154" s="44">
        <f>LOS!J148</f>
        <v>1044</v>
      </c>
      <c r="S154" s="45"/>
      <c r="T154" s="44" t="str">
        <f>LOS!K148</f>
        <v>C</v>
      </c>
      <c r="U154" s="44"/>
      <c r="V154" s="44"/>
      <c r="W154" s="44"/>
      <c r="X154" s="44"/>
      <c r="Y154" s="44"/>
      <c r="Z154" s="44"/>
      <c r="AA154" s="44">
        <f>LOS!L148</f>
        <v>33</v>
      </c>
      <c r="AB154" s="44">
        <f>LOS!M148</f>
        <v>39</v>
      </c>
      <c r="AC154" s="45"/>
      <c r="AD154" s="44" t="str">
        <f>LOS!Q148</f>
        <v>C</v>
      </c>
      <c r="AE154" s="44">
        <f>LOS!R148</f>
        <v>63</v>
      </c>
      <c r="AF154" s="44">
        <f>LOS!S148</f>
        <v>53</v>
      </c>
      <c r="AG154" s="45"/>
      <c r="AH154" s="44" t="str">
        <f>LOS!W148</f>
        <v>C</v>
      </c>
      <c r="AI154" s="82">
        <f>(Trend!L148)</f>
        <v>9.5785440612841805E-2</v>
      </c>
      <c r="AJ154" s="77">
        <f>Cap!K148</f>
        <v>0</v>
      </c>
      <c r="AK154" s="77">
        <f>Cap!L148</f>
        <v>330</v>
      </c>
      <c r="AL154" s="77">
        <f>Cap!M148</f>
        <v>680</v>
      </c>
      <c r="AM154" s="77">
        <f>Cap!N148</f>
        <v>720</v>
      </c>
    </row>
    <row r="155" spans="2:39" x14ac:dyDescent="0.25">
      <c r="B155" s="48" t="str">
        <f>'2025MasterFile-Stat'!F149</f>
        <v>24*</v>
      </c>
      <c r="C155" s="47" t="str">
        <f>'2025MasterFile-Stat'!B149</f>
        <v>Thompson Rd</v>
      </c>
      <c r="D155" s="47" t="str">
        <f>LEFT('2025MasterFile-Stat'!C149,FIND(" to ",'2025MasterFile-Stat'!C149)-1)</f>
        <v>Votaw Rd</v>
      </c>
      <c r="E155" s="47" t="str">
        <f>RIGHT('2025MasterFile-Stat'!C149,LEN('2025MasterFile-Stat'!C149)-FIND(" to ",'2025MasterFile-Stat'!C149)-3)</f>
        <v>SR 436</v>
      </c>
      <c r="F155" s="44" t="str">
        <f>'2025MasterFile-Stat'!G149</f>
        <v>2L</v>
      </c>
      <c r="G155" s="44"/>
      <c r="H155" s="46" t="str">
        <f>'2025MasterFile-Stat'!H149</f>
        <v>E</v>
      </c>
      <c r="I155" s="44" t="str">
        <f>'2025MasterFile-Stat'!A149</f>
        <v>Min Coll</v>
      </c>
      <c r="J155" s="44"/>
      <c r="K155" s="44"/>
      <c r="L155" s="26">
        <f>IF(Cap!H149="A",Cap!O149,
 IF(Cap!H149="B",Cap!P149,
 IF(Cap!H149="C",Cap!Q149,
 IF(Cap!H149="D",Cap!R149,
 IF(Cap!H149="E",Cap!S149,"")))))</f>
        <v>14000</v>
      </c>
      <c r="M155" s="44"/>
      <c r="N155" s="44">
        <f>IF(Cap!H149="A",Cap!J149,
 IF(Cap!H149="B",Cap!K149,
 IF(Cap!H149="C",Cap!L149,
 IF(Cap!H149="D",Cap!M149,
 IF(Cap!H149="E",Cap!N149,"")))))</f>
        <v>720</v>
      </c>
      <c r="O155" s="44"/>
      <c r="P155" s="44"/>
      <c r="Q155" s="44"/>
      <c r="R155" s="44">
        <f>LOS!J149</f>
        <v>11626</v>
      </c>
      <c r="S155" s="45"/>
      <c r="T155" s="44" t="str">
        <f>LOS!K149</f>
        <v>D</v>
      </c>
      <c r="U155" s="44"/>
      <c r="V155" s="44"/>
      <c r="W155" s="44"/>
      <c r="X155" s="44"/>
      <c r="Y155" s="44"/>
      <c r="Z155" s="44"/>
      <c r="AA155" s="44">
        <f>LOS!L149</f>
        <v>351</v>
      </c>
      <c r="AB155" s="44">
        <f>LOS!M149</f>
        <v>644</v>
      </c>
      <c r="AC155" s="45"/>
      <c r="AD155" s="44" t="str">
        <f>LOS!Q149</f>
        <v>D</v>
      </c>
      <c r="AE155" s="44">
        <f>LOS!R149</f>
        <v>670</v>
      </c>
      <c r="AF155" s="44">
        <f>LOS!S149</f>
        <v>412</v>
      </c>
      <c r="AG155" s="45"/>
      <c r="AH155" s="44" t="str">
        <f>LOS!W149</f>
        <v>D</v>
      </c>
      <c r="AI155" s="82">
        <f>(Trend!L149)</f>
        <v>0.88738357324327899</v>
      </c>
      <c r="AJ155" s="77">
        <f>Cap!K149</f>
        <v>0</v>
      </c>
      <c r="AK155" s="77">
        <f>Cap!L149</f>
        <v>330</v>
      </c>
      <c r="AL155" s="77">
        <f>Cap!M149</f>
        <v>680</v>
      </c>
      <c r="AM155" s="77">
        <f>Cap!N149</f>
        <v>720</v>
      </c>
    </row>
    <row r="156" spans="2:39" x14ac:dyDescent="0.25">
      <c r="B156" s="48" t="str">
        <f>'2025MasterFile-Stat'!F150</f>
        <v>429*</v>
      </c>
      <c r="C156" s="47" t="str">
        <f>'2025MasterFile-Stat'!B150</f>
        <v>Thompson Rd</v>
      </c>
      <c r="D156" s="47" t="str">
        <f>LEFT('2025MasterFile-Stat'!C150,FIND(" to ",'2025MasterFile-Stat'!C150)-1)</f>
        <v>Welch Rd</v>
      </c>
      <c r="E156" s="47" t="str">
        <f>RIGHT('2025MasterFile-Stat'!C150,LEN('2025MasterFile-Stat'!C150)-FIND(" to ",'2025MasterFile-Stat'!C150)-3)</f>
        <v>Votaw Rd</v>
      </c>
      <c r="F156" s="44" t="str">
        <f>'2025MasterFile-Stat'!G150</f>
        <v>2L</v>
      </c>
      <c r="G156" s="44"/>
      <c r="H156" s="46" t="str">
        <f>'2025MasterFile-Stat'!H150</f>
        <v>E</v>
      </c>
      <c r="I156" s="44" t="str">
        <f>'2025MasterFile-Stat'!A150</f>
        <v>Min Coll</v>
      </c>
      <c r="J156" s="44"/>
      <c r="K156" s="44"/>
      <c r="L156" s="26">
        <f>IF(Cap!H150="A",Cap!O150,
 IF(Cap!H150="B",Cap!P150,
 IF(Cap!H150="C",Cap!Q150,
 IF(Cap!H150="D",Cap!R150,
 IF(Cap!H150="E",Cap!S150,"")))))</f>
        <v>15900</v>
      </c>
      <c r="M156" s="44"/>
      <c r="N156" s="44">
        <f>IF(Cap!H150="A",Cap!J150,
 IF(Cap!H150="B",Cap!K150,
 IF(Cap!H150="C",Cap!L150,
 IF(Cap!H150="D",Cap!M150,
 IF(Cap!H150="E",Cap!N150,"")))))</f>
        <v>790</v>
      </c>
      <c r="O156" s="44"/>
      <c r="P156" s="44"/>
      <c r="Q156" s="44"/>
      <c r="R156" s="44">
        <f>LOS!J150</f>
        <v>10443</v>
      </c>
      <c r="S156" s="45"/>
      <c r="T156" s="44" t="str">
        <f>LOS!K150</f>
        <v>C</v>
      </c>
      <c r="U156" s="44"/>
      <c r="V156" s="44"/>
      <c r="W156" s="44"/>
      <c r="X156" s="44"/>
      <c r="Y156" s="44"/>
      <c r="Z156" s="44"/>
      <c r="AA156" s="44">
        <f>LOS!L150</f>
        <v>329</v>
      </c>
      <c r="AB156" s="44">
        <f>LOS!M150</f>
        <v>605</v>
      </c>
      <c r="AC156" s="45"/>
      <c r="AD156" s="44" t="str">
        <f>LOS!Q150</f>
        <v>C</v>
      </c>
      <c r="AE156" s="44">
        <f>LOS!R150</f>
        <v>545</v>
      </c>
      <c r="AF156" s="44">
        <f>LOS!S150</f>
        <v>495</v>
      </c>
      <c r="AG156" s="45"/>
      <c r="AH156" s="44" t="str">
        <f>LOS!W150</f>
        <v>C</v>
      </c>
      <c r="AI156" s="82">
        <f>(Trend!L150)</f>
        <v>-0.58221181977771697</v>
      </c>
      <c r="AJ156" s="77">
        <f>Cap!K150</f>
        <v>0</v>
      </c>
      <c r="AK156" s="77">
        <f>Cap!L150</f>
        <v>750</v>
      </c>
      <c r="AL156" s="77">
        <f>Cap!M150</f>
        <v>790</v>
      </c>
      <c r="AM156" s="77">
        <f>Cap!N150</f>
        <v>790</v>
      </c>
    </row>
    <row r="157" spans="2:39" x14ac:dyDescent="0.25">
      <c r="B157" s="48">
        <f>'2025MasterFile-Stat'!F151</f>
        <v>552</v>
      </c>
      <c r="C157" s="47" t="str">
        <f>'2025MasterFile-Stat'!B151</f>
        <v>US 441 (Orange Blossom Tr)</v>
      </c>
      <c r="D157" s="47" t="str">
        <f>LEFT('2025MasterFile-Stat'!C151,FIND(" to ",'2025MasterFile-Stat'!C151)-1)</f>
        <v>Bradshaw Rd</v>
      </c>
      <c r="E157" s="47" t="str">
        <f>RIGHT('2025MasterFile-Stat'!C151,LEN('2025MasterFile-Stat'!C151)-FIND(" to ",'2025MasterFile-Stat'!C151)-3)</f>
        <v>Hawthorne Ave</v>
      </c>
      <c r="F157" s="44" t="str">
        <f>'2025MasterFile-Stat'!G151</f>
        <v>5L</v>
      </c>
      <c r="G157" s="44"/>
      <c r="H157" s="46" t="str">
        <f>'2025MasterFile-Stat'!H151</f>
        <v>D</v>
      </c>
      <c r="I157" s="44" t="str">
        <f>'2025MasterFile-Stat'!A151</f>
        <v>Maj Art</v>
      </c>
      <c r="J157" s="44"/>
      <c r="K157" s="44"/>
      <c r="L157" s="26">
        <f>IF(Cap!H151="A",Cap!O151,
 IF(Cap!H151="B",Cap!P151,
 IF(Cap!H151="C",Cap!Q151,
 IF(Cap!H151="D",Cap!R151,
 IF(Cap!H151="E",Cap!S151,"")))))</f>
        <v>57100</v>
      </c>
      <c r="M157" s="44"/>
      <c r="N157" s="44">
        <f>IF(Cap!H151="A",Cap!J151,
 IF(Cap!H151="B",Cap!K151,
 IF(Cap!H151="C",Cap!L151,
 IF(Cap!H151="D",Cap!M151,
 IF(Cap!H151="E",Cap!N151,"")))))</f>
        <v>2160</v>
      </c>
      <c r="O157" s="44"/>
      <c r="P157" s="44"/>
      <c r="Q157" s="44"/>
      <c r="R157" s="44">
        <f>LOS!J151</f>
        <v>39455</v>
      </c>
      <c r="S157" s="45"/>
      <c r="T157" s="44" t="str">
        <f>LOS!K151</f>
        <v>A</v>
      </c>
      <c r="U157" s="44"/>
      <c r="V157" s="44"/>
      <c r="W157" s="44"/>
      <c r="X157" s="44"/>
      <c r="Y157" s="44"/>
      <c r="Z157" s="44"/>
      <c r="AA157" s="44">
        <f>LOS!L151</f>
        <v>1291</v>
      </c>
      <c r="AB157" s="44">
        <f>LOS!M151</f>
        <v>1466</v>
      </c>
      <c r="AC157" s="45"/>
      <c r="AD157" s="44" t="str">
        <f>LOS!Q151</f>
        <v>A</v>
      </c>
      <c r="AE157" s="44">
        <f>LOS!R151</f>
        <v>1511</v>
      </c>
      <c r="AF157" s="44">
        <f>LOS!S151</f>
        <v>1207</v>
      </c>
      <c r="AG157" s="45"/>
      <c r="AH157" s="44" t="str">
        <f>LOS!W151</f>
        <v>A</v>
      </c>
      <c r="AI157" s="82">
        <f>(Trend!L151)</f>
        <v>-3.87656824230227</v>
      </c>
      <c r="AJ157" s="77">
        <f>Cap!K151</f>
        <v>2160</v>
      </c>
      <c r="AK157" s="77">
        <f>Cap!L151</f>
        <v>2160</v>
      </c>
      <c r="AL157" s="77">
        <f>Cap!M151</f>
        <v>2160</v>
      </c>
      <c r="AM157" s="77">
        <f>Cap!N151</f>
        <v>2160</v>
      </c>
    </row>
    <row r="158" spans="2:39" x14ac:dyDescent="0.25">
      <c r="B158" s="48" t="str">
        <f>'2025MasterFile-Stat'!F152</f>
        <v>82*</v>
      </c>
      <c r="C158" s="47" t="str">
        <f>'2025MasterFile-Stat'!B152</f>
        <v>US 441 (Orange Blossom Tr)</v>
      </c>
      <c r="D158" s="47" t="str">
        <f>LEFT('2025MasterFile-Stat'!C152,FIND(" to ",'2025MasterFile-Stat'!C152)-1)</f>
        <v>Boy Scout Blvd</v>
      </c>
      <c r="E158" s="47" t="str">
        <f>RIGHT('2025MasterFile-Stat'!C152,LEN('2025MasterFile-Stat'!C152)-FIND(" to ",'2025MasterFile-Stat'!C152)-3)</f>
        <v>Errol Pkwy</v>
      </c>
      <c r="F158" s="44" t="str">
        <f>'2025MasterFile-Stat'!G152</f>
        <v>4LD</v>
      </c>
      <c r="G158" s="44"/>
      <c r="H158" s="46" t="str">
        <f>'2025MasterFile-Stat'!H152</f>
        <v>D</v>
      </c>
      <c r="I158" s="44" t="str">
        <f>'2025MasterFile-Stat'!A152</f>
        <v>Maj Art</v>
      </c>
      <c r="J158" s="44"/>
      <c r="K158" s="44"/>
      <c r="L158" s="26">
        <f>IF(Cap!H152="A",Cap!O152,
 IF(Cap!H152="B",Cap!P152,
 IF(Cap!H152="C",Cap!Q152,
 IF(Cap!H152="D",Cap!R152,
 IF(Cap!H152="E",Cap!S152,"")))))</f>
        <v>55400</v>
      </c>
      <c r="M158" s="44"/>
      <c r="N158" s="44">
        <f>IF(Cap!H152="A",Cap!J152,
 IF(Cap!H152="B",Cap!K152,
 IF(Cap!H152="C",Cap!L152,
 IF(Cap!H152="D",Cap!M152,
 IF(Cap!H152="E",Cap!N152,"")))))</f>
        <v>2600</v>
      </c>
      <c r="O158" s="44"/>
      <c r="P158" s="44"/>
      <c r="Q158" s="44"/>
      <c r="R158" s="44">
        <f>LOS!J152</f>
        <v>34862</v>
      </c>
      <c r="S158" s="45"/>
      <c r="T158" s="44" t="str">
        <f>LOS!K152</f>
        <v>A</v>
      </c>
      <c r="U158" s="44"/>
      <c r="V158" s="44"/>
      <c r="W158" s="44"/>
      <c r="X158" s="44"/>
      <c r="Y158" s="44"/>
      <c r="Z158" s="44"/>
      <c r="AA158" s="44">
        <f>LOS!L152</f>
        <v>1077</v>
      </c>
      <c r="AB158" s="44">
        <f>LOS!M152</f>
        <v>1372</v>
      </c>
      <c r="AC158" s="45"/>
      <c r="AD158" s="44" t="str">
        <f>LOS!Q152</f>
        <v>A</v>
      </c>
      <c r="AE158" s="44">
        <f>LOS!R152</f>
        <v>1351</v>
      </c>
      <c r="AF158" s="44">
        <f>LOS!S152</f>
        <v>1297</v>
      </c>
      <c r="AG158" s="45"/>
      <c r="AH158" s="44" t="str">
        <f>LOS!W152</f>
        <v>A</v>
      </c>
      <c r="AI158" s="82">
        <f>(Trend!L152)</f>
        <v>2.4997886073459301</v>
      </c>
      <c r="AJ158" s="77">
        <f>Cap!K152</f>
        <v>2520</v>
      </c>
      <c r="AK158" s="77">
        <f>Cap!L152</f>
        <v>2600</v>
      </c>
      <c r="AL158" s="77">
        <f>Cap!M152</f>
        <v>2600</v>
      </c>
      <c r="AM158" s="77">
        <f>Cap!N152</f>
        <v>2600</v>
      </c>
    </row>
    <row r="159" spans="2:39" x14ac:dyDescent="0.25">
      <c r="B159" s="48">
        <f>'2025MasterFile-Stat'!F153</f>
        <v>661</v>
      </c>
      <c r="C159" s="47" t="str">
        <f>'2025MasterFile-Stat'!B153</f>
        <v>US 441 (Orange Blossom Tr)</v>
      </c>
      <c r="D159" s="47" t="str">
        <f>LEFT('2025MasterFile-Stat'!C153,FIND(" to ",'2025MasterFile-Stat'!C153)-1)</f>
        <v>SR 436</v>
      </c>
      <c r="E159" s="47" t="str">
        <f>RIGHT('2025MasterFile-Stat'!C153,LEN('2025MasterFile-Stat'!C153)-FIND(" to ",'2025MasterFile-Stat'!C153)-3)</f>
        <v>Sheeler Rd</v>
      </c>
      <c r="F159" s="44" t="str">
        <f>'2025MasterFile-Stat'!G153</f>
        <v>4LD</v>
      </c>
      <c r="G159" s="44"/>
      <c r="H159" s="46" t="str">
        <f>'2025MasterFile-Stat'!H153</f>
        <v>D</v>
      </c>
      <c r="I159" s="44" t="str">
        <f>'2025MasterFile-Stat'!A153</f>
        <v>Maj Art</v>
      </c>
      <c r="J159" s="44"/>
      <c r="K159" s="44"/>
      <c r="L159" s="26">
        <f>IF(Cap!H153="A",Cap!O153,
 IF(Cap!H153="B",Cap!P153,
 IF(Cap!H153="C",Cap!Q153,
 IF(Cap!H153="D",Cap!R153,
 IF(Cap!H153="E",Cap!S153,"")))))</f>
        <v>39800</v>
      </c>
      <c r="M159" s="44"/>
      <c r="N159" s="44">
        <f>IF(Cap!H153="A",Cap!J153,
 IF(Cap!H153="B",Cap!K153,
 IF(Cap!H153="C",Cap!L153,
 IF(Cap!H153="D",Cap!M153,
 IF(Cap!H153="E",Cap!N153,"")))))</f>
        <v>2000</v>
      </c>
      <c r="O159" s="44"/>
      <c r="P159" s="44"/>
      <c r="Q159" s="44"/>
      <c r="R159" s="44">
        <f>LOS!J153</f>
        <v>24396</v>
      </c>
      <c r="S159" s="45"/>
      <c r="T159" s="44" t="str">
        <f>LOS!K153</f>
        <v>C</v>
      </c>
      <c r="U159" s="44"/>
      <c r="V159" s="44"/>
      <c r="W159" s="44"/>
      <c r="X159" s="44"/>
      <c r="Y159" s="44"/>
      <c r="Z159" s="44"/>
      <c r="AA159" s="44">
        <f>LOS!L153</f>
        <v>1305</v>
      </c>
      <c r="AB159" s="44">
        <f>LOS!M153</f>
        <v>556</v>
      </c>
      <c r="AC159" s="45"/>
      <c r="AD159" s="44" t="str">
        <f>LOS!Q153</f>
        <v>C</v>
      </c>
      <c r="AE159" s="44">
        <f>LOS!R153</f>
        <v>730</v>
      </c>
      <c r="AF159" s="44">
        <f>LOS!S153</f>
        <v>912</v>
      </c>
      <c r="AG159" s="45"/>
      <c r="AH159" s="44" t="str">
        <f>LOS!W153</f>
        <v>C</v>
      </c>
      <c r="AI159" s="82">
        <f>(Trend!L153)</f>
        <v>0.78332513526814496</v>
      </c>
      <c r="AJ159" s="77">
        <f>Cap!K153</f>
        <v>0</v>
      </c>
      <c r="AK159" s="77">
        <f>Cap!L153</f>
        <v>1910</v>
      </c>
      <c r="AL159" s="77">
        <f>Cap!M153</f>
        <v>2000</v>
      </c>
      <c r="AM159" s="77">
        <f>Cap!N153</f>
        <v>2000</v>
      </c>
    </row>
    <row r="160" spans="2:39" x14ac:dyDescent="0.25">
      <c r="B160" s="48">
        <f>'2025MasterFile-Stat'!F154</f>
        <v>530</v>
      </c>
      <c r="C160" s="47" t="str">
        <f>'2025MasterFile-Stat'!B154</f>
        <v>US 441 (Orange Blossom Tr)</v>
      </c>
      <c r="D160" s="47" t="str">
        <f>LEFT('2025MasterFile-Stat'!C154,FIND(" to ",'2025MasterFile-Stat'!C154)-1)</f>
        <v>Church Dr/Yothers Rd</v>
      </c>
      <c r="E160" s="47" t="str">
        <f>RIGHT('2025MasterFile-Stat'!C154,LEN('2025MasterFile-Stat'!C154)-FIND(" to ",'2025MasterFile-Stat'!C154)-3)</f>
        <v>SR 429 Connector Rd</v>
      </c>
      <c r="F160" s="44" t="str">
        <f>'2025MasterFile-Stat'!G154</f>
        <v>4LD</v>
      </c>
      <c r="G160" s="44"/>
      <c r="H160" s="46" t="str">
        <f>'2025MasterFile-Stat'!H154</f>
        <v>D</v>
      </c>
      <c r="I160" s="44" t="str">
        <f>'2025MasterFile-Stat'!A154</f>
        <v>Maj Art</v>
      </c>
      <c r="J160" s="44"/>
      <c r="K160" s="44"/>
      <c r="L160" s="26">
        <f>IF(Cap!H154="A",Cap!O154,
 IF(Cap!H154="B",Cap!P154,
 IF(Cap!H154="C",Cap!Q154,
 IF(Cap!H154="D",Cap!R154,
 IF(Cap!H154="E",Cap!S154,"")))))</f>
        <v>49500</v>
      </c>
      <c r="M160" s="44"/>
      <c r="N160" s="44">
        <f>IF(Cap!H154="A",Cap!J154,
 IF(Cap!H154="B",Cap!K154,
 IF(Cap!H154="C",Cap!L154,
 IF(Cap!H154="D",Cap!M154,
 IF(Cap!H154="E",Cap!N154,"")))))</f>
        <v>2480</v>
      </c>
      <c r="O160" s="44"/>
      <c r="P160" s="44"/>
      <c r="Q160" s="44"/>
      <c r="R160" s="44">
        <f>LOS!J154</f>
        <v>42264</v>
      </c>
      <c r="S160" s="45"/>
      <c r="T160" s="44" t="str">
        <f>LOS!K154</f>
        <v>A</v>
      </c>
      <c r="U160" s="44"/>
      <c r="V160" s="44"/>
      <c r="W160" s="44"/>
      <c r="X160" s="44"/>
      <c r="Y160" s="44"/>
      <c r="Z160" s="44"/>
      <c r="AA160" s="44">
        <f>LOS!L154</f>
        <v>2150</v>
      </c>
      <c r="AB160" s="44">
        <f>LOS!M154</f>
        <v>1726</v>
      </c>
      <c r="AC160" s="45"/>
      <c r="AD160" s="44" t="str">
        <f>LOS!Q154</f>
        <v>A</v>
      </c>
      <c r="AE160" s="44">
        <f>LOS!R154</f>
        <v>1253</v>
      </c>
      <c r="AF160" s="44">
        <f>LOS!S154</f>
        <v>1860</v>
      </c>
      <c r="AG160" s="45"/>
      <c r="AH160" s="44" t="str">
        <f>LOS!W154</f>
        <v>A</v>
      </c>
      <c r="AI160" s="82">
        <f>(Trend!L154)</f>
        <v>5.0466117736148002</v>
      </c>
      <c r="AJ160" s="77">
        <f>Cap!K154</f>
        <v>2480</v>
      </c>
      <c r="AK160" s="77">
        <f>Cap!L154</f>
        <v>2480</v>
      </c>
      <c r="AL160" s="77">
        <f>Cap!M154</f>
        <v>2480</v>
      </c>
      <c r="AM160" s="77">
        <f>Cap!N154</f>
        <v>2480</v>
      </c>
    </row>
    <row r="161" spans="2:39" x14ac:dyDescent="0.25">
      <c r="B161" s="48">
        <f>'2025MasterFile-Stat'!F155</f>
        <v>609</v>
      </c>
      <c r="C161" s="47" t="str">
        <f>'2025MasterFile-Stat'!B155</f>
        <v>US 441 (Orange Blossom Tr)</v>
      </c>
      <c r="D161" s="47" t="str">
        <f>LEFT('2025MasterFile-Stat'!C155,FIND(" to ",'2025MasterFile-Stat'!C155)-1)</f>
        <v>Highland Ave</v>
      </c>
      <c r="E161" s="47" t="str">
        <f>RIGHT('2025MasterFile-Stat'!C155,LEN('2025MasterFile-Stat'!C155)-FIND(" to ",'2025MasterFile-Stat'!C155)-3)</f>
        <v>Alabama Ave</v>
      </c>
      <c r="F161" s="44" t="str">
        <f>'2025MasterFile-Stat'!G155</f>
        <v>5L</v>
      </c>
      <c r="G161" s="44"/>
      <c r="H161" s="46" t="str">
        <f>'2025MasterFile-Stat'!H155</f>
        <v>D</v>
      </c>
      <c r="I161" s="44" t="str">
        <f>'2025MasterFile-Stat'!A155</f>
        <v>Maj Art</v>
      </c>
      <c r="J161" s="44"/>
      <c r="K161" s="44"/>
      <c r="L161" s="26">
        <f>IF(Cap!H155="A",Cap!O155,
 IF(Cap!H155="B",Cap!P155,
 IF(Cap!H155="C",Cap!Q155,
 IF(Cap!H155="D",Cap!R155,
 IF(Cap!H155="E",Cap!S155,"")))))</f>
        <v>57100</v>
      </c>
      <c r="M161" s="44"/>
      <c r="N161" s="44">
        <f>IF(Cap!H155="A",Cap!J155,
 IF(Cap!H155="B",Cap!K155,
 IF(Cap!H155="C",Cap!L155,
 IF(Cap!H155="D",Cap!M155,
 IF(Cap!H155="E",Cap!N155,"")))))</f>
        <v>2160</v>
      </c>
      <c r="O161" s="44"/>
      <c r="P161" s="44"/>
      <c r="Q161" s="44"/>
      <c r="R161" s="44">
        <f>LOS!J155</f>
        <v>49066</v>
      </c>
      <c r="S161" s="45"/>
      <c r="T161" s="44" t="str">
        <f>LOS!K155</f>
        <v>A</v>
      </c>
      <c r="U161" s="44"/>
      <c r="V161" s="44"/>
      <c r="W161" s="44"/>
      <c r="X161" s="44"/>
      <c r="Y161" s="44"/>
      <c r="Z161" s="44"/>
      <c r="AA161" s="44">
        <f>LOS!L155</f>
        <v>2054</v>
      </c>
      <c r="AB161" s="44">
        <f>LOS!M155</f>
        <v>1232</v>
      </c>
      <c r="AC161" s="45"/>
      <c r="AD161" s="44" t="str">
        <f>LOS!Q155</f>
        <v>B</v>
      </c>
      <c r="AE161" s="44">
        <f>LOS!R155</f>
        <v>1800</v>
      </c>
      <c r="AF161" s="44">
        <f>LOS!S155</f>
        <v>1553</v>
      </c>
      <c r="AG161" s="45"/>
      <c r="AH161" s="44" t="str">
        <f>LOS!W155</f>
        <v>A</v>
      </c>
      <c r="AI161" s="82">
        <f>(Trend!L155)</f>
        <v>7.3166754983101301</v>
      </c>
      <c r="AJ161" s="77">
        <f>Cap!K155</f>
        <v>2160</v>
      </c>
      <c r="AK161" s="77">
        <f>Cap!L155</f>
        <v>2160</v>
      </c>
      <c r="AL161" s="77">
        <f>Cap!M155</f>
        <v>2160</v>
      </c>
      <c r="AM161" s="77">
        <f>Cap!N155</f>
        <v>2160</v>
      </c>
    </row>
    <row r="162" spans="2:39" x14ac:dyDescent="0.25">
      <c r="B162" s="48" t="str">
        <f>'2025MasterFile-Stat'!F156</f>
        <v>2*</v>
      </c>
      <c r="C162" s="47" t="str">
        <f>'2025MasterFile-Stat'!B156</f>
        <v>US 441 (Orange Blossom Tr)</v>
      </c>
      <c r="D162" s="47" t="str">
        <f>LEFT('2025MasterFile-Stat'!C156,FIND(" to ",'2025MasterFile-Stat'!C156)-1)</f>
        <v>Ponkan Rd</v>
      </c>
      <c r="E162" s="47" t="str">
        <f>RIGHT('2025MasterFile-Stat'!C156,LEN('2025MasterFile-Stat'!C156)-FIND(" to ",'2025MasterFile-Stat'!C156)-3)</f>
        <v>Church Dr/Yothers Rd</v>
      </c>
      <c r="F162" s="44" t="str">
        <f>'2025MasterFile-Stat'!G156</f>
        <v>4LD</v>
      </c>
      <c r="G162" s="44"/>
      <c r="H162" s="46" t="str">
        <f>'2025MasterFile-Stat'!H156</f>
        <v>D</v>
      </c>
      <c r="I162" s="44" t="str">
        <f>'2025MasterFile-Stat'!A156</f>
        <v>Maj Art</v>
      </c>
      <c r="J162" s="44"/>
      <c r="K162" s="44"/>
      <c r="L162" s="26">
        <f>IF(Cap!H156="A",Cap!O156,
 IF(Cap!H156="B",Cap!P156,
 IF(Cap!H156="C",Cap!Q156,
 IF(Cap!H156="D",Cap!R156,
 IF(Cap!H156="E",Cap!S156,"")))))</f>
        <v>39800</v>
      </c>
      <c r="M162" s="44"/>
      <c r="N162" s="44">
        <f>IF(Cap!H156="A",Cap!J156,
 IF(Cap!H156="B",Cap!K156,
 IF(Cap!H156="C",Cap!L156,
 IF(Cap!H156="D",Cap!M156,
 IF(Cap!H156="E",Cap!N156,"")))))</f>
        <v>2000</v>
      </c>
      <c r="O162" s="44"/>
      <c r="P162" s="44"/>
      <c r="Q162" s="44"/>
      <c r="R162" s="44">
        <f>LOS!J156</f>
        <v>37801</v>
      </c>
      <c r="S162" s="45"/>
      <c r="T162" s="44" t="str">
        <f>LOS!K156</f>
        <v>C</v>
      </c>
      <c r="U162" s="44"/>
      <c r="V162" s="44"/>
      <c r="W162" s="44"/>
      <c r="X162" s="44"/>
      <c r="Y162" s="44"/>
      <c r="Z162" s="44"/>
      <c r="AA162" s="44">
        <f>LOS!L156</f>
        <v>1649</v>
      </c>
      <c r="AB162" s="44">
        <f>LOS!M156</f>
        <v>1278</v>
      </c>
      <c r="AC162" s="45"/>
      <c r="AD162" s="44" t="str">
        <f>LOS!Q156</f>
        <v>C</v>
      </c>
      <c r="AE162" s="44">
        <f>LOS!R156</f>
        <v>1344</v>
      </c>
      <c r="AF162" s="44">
        <f>LOS!S156</f>
        <v>1857</v>
      </c>
      <c r="AG162" s="45"/>
      <c r="AH162" s="44" t="str">
        <f>LOS!W156</f>
        <v>C</v>
      </c>
      <c r="AI162" s="82">
        <f>(Trend!L156)</f>
        <v>2.5716756976778599</v>
      </c>
      <c r="AJ162" s="77">
        <f>Cap!K156</f>
        <v>0</v>
      </c>
      <c r="AK162" s="77">
        <f>Cap!L156</f>
        <v>1910</v>
      </c>
      <c r="AL162" s="77">
        <f>Cap!M156</f>
        <v>2000</v>
      </c>
      <c r="AM162" s="77">
        <f>Cap!N156</f>
        <v>2000</v>
      </c>
    </row>
    <row r="163" spans="2:39" x14ac:dyDescent="0.25">
      <c r="B163" s="48" t="str">
        <f>'2025MasterFile-Stat'!F157</f>
        <v>2, 3</v>
      </c>
      <c r="C163" s="47" t="str">
        <f>'2025MasterFile-Stat'!B157</f>
        <v>US 441 (Orange Blossom Tr)</v>
      </c>
      <c r="D163" s="47" t="str">
        <f>LEFT('2025MasterFile-Stat'!C157,FIND(" to ",'2025MasterFile-Stat'!C157)-1)</f>
        <v>SR 429 Connector Rd</v>
      </c>
      <c r="E163" s="47" t="str">
        <f>RIGHT('2025MasterFile-Stat'!C157,LEN('2025MasterFile-Stat'!C157)-FIND(" to ",'2025MasterFile-Stat'!C157)-3)</f>
        <v>Plymouth Sorrento Rd (CR 437)</v>
      </c>
      <c r="F163" s="44" t="str">
        <f>'2025MasterFile-Stat'!G157</f>
        <v>4LD</v>
      </c>
      <c r="G163" s="44"/>
      <c r="H163" s="46" t="str">
        <f>'2025MasterFile-Stat'!H157</f>
        <v>D</v>
      </c>
      <c r="I163" s="44" t="str">
        <f>'2025MasterFile-Stat'!A157</f>
        <v>Maj Art</v>
      </c>
      <c r="J163" s="44"/>
      <c r="K163" s="44"/>
      <c r="L163" s="26">
        <f>IF(Cap!H157="A",Cap!O157,
 IF(Cap!H157="B",Cap!P157,
 IF(Cap!H157="C",Cap!Q157,
 IF(Cap!H157="D",Cap!R157,
 IF(Cap!H157="E",Cap!S157,"")))))</f>
        <v>49500</v>
      </c>
      <c r="M163" s="44"/>
      <c r="N163" s="44">
        <f>IF(Cap!H157="A",Cap!J157,
 IF(Cap!H157="B",Cap!K157,
 IF(Cap!H157="C",Cap!L157,
 IF(Cap!H157="D",Cap!M157,
 IF(Cap!H157="E",Cap!N157,"")))))</f>
        <v>2480</v>
      </c>
      <c r="O163" s="44"/>
      <c r="P163" s="44"/>
      <c r="Q163" s="44"/>
      <c r="R163" s="44">
        <f>LOS!J157</f>
        <v>41761</v>
      </c>
      <c r="S163" s="45"/>
      <c r="T163" s="44" t="str">
        <f>LOS!K157</f>
        <v>A</v>
      </c>
      <c r="U163" s="44"/>
      <c r="V163" s="44"/>
      <c r="W163" s="44"/>
      <c r="X163" s="44"/>
      <c r="Y163" s="44"/>
      <c r="Z163" s="44"/>
      <c r="AA163" s="44">
        <f>LOS!L157</f>
        <v>1649</v>
      </c>
      <c r="AB163" s="44">
        <f>LOS!M157</f>
        <v>1815</v>
      </c>
      <c r="AC163" s="45"/>
      <c r="AD163" s="44" t="str">
        <f>LOS!Q157</f>
        <v>A</v>
      </c>
      <c r="AE163" s="44">
        <f>LOS!R157</f>
        <v>1823</v>
      </c>
      <c r="AF163" s="44">
        <f>LOS!S157</f>
        <v>1857</v>
      </c>
      <c r="AG163" s="45"/>
      <c r="AH163" s="44" t="str">
        <f>LOS!W157</f>
        <v>A</v>
      </c>
      <c r="AI163" s="82">
        <f>(Trend!L157)</f>
        <v>8.4017829883399493</v>
      </c>
      <c r="AJ163" s="77">
        <f>Cap!K157</f>
        <v>2480</v>
      </c>
      <c r="AK163" s="77">
        <f>Cap!L157</f>
        <v>2480</v>
      </c>
      <c r="AL163" s="77">
        <f>Cap!M157</f>
        <v>2480</v>
      </c>
      <c r="AM163" s="77">
        <f>Cap!N157</f>
        <v>2480</v>
      </c>
    </row>
    <row r="164" spans="2:39" x14ac:dyDescent="0.25">
      <c r="B164" s="48">
        <f>'2025MasterFile-Stat'!F158</f>
        <v>531</v>
      </c>
      <c r="C164" s="47" t="str">
        <f>'2025MasterFile-Stat'!B158</f>
        <v>US 441 (Orange Blossom Tr)</v>
      </c>
      <c r="D164" s="47" t="str">
        <f>LEFT('2025MasterFile-Stat'!C158,FIND(" to ",'2025MasterFile-Stat'!C158)-1)</f>
        <v>SR 451</v>
      </c>
      <c r="E164" s="47" t="str">
        <f>RIGHT('2025MasterFile-Stat'!C158,LEN('2025MasterFile-Stat'!C158)-FIND(" to ",'2025MasterFile-Stat'!C158)-3)</f>
        <v>Bradshaw Rd</v>
      </c>
      <c r="F164" s="44" t="str">
        <f>'2025MasterFile-Stat'!G158</f>
        <v>4LD</v>
      </c>
      <c r="G164" s="44"/>
      <c r="H164" s="46" t="str">
        <f>'2025MasterFile-Stat'!H158</f>
        <v>D</v>
      </c>
      <c r="I164" s="44" t="str">
        <f>'2025MasterFile-Stat'!A158</f>
        <v>Maj Art</v>
      </c>
      <c r="J164" s="44"/>
      <c r="K164" s="44"/>
      <c r="L164" s="26">
        <f>IF(Cap!H158="A",Cap!O158,
 IF(Cap!H158="B",Cap!P158,
 IF(Cap!H158="C",Cap!Q158,
 IF(Cap!H158="D",Cap!R158,
 IF(Cap!H158="E",Cap!S158,"")))))</f>
        <v>55400</v>
      </c>
      <c r="M164" s="44"/>
      <c r="N164" s="44">
        <f>IF(Cap!H158="A",Cap!J158,
 IF(Cap!H158="B",Cap!K158,
 IF(Cap!H158="C",Cap!L158,
 IF(Cap!H158="D",Cap!M158,
 IF(Cap!H158="E",Cap!N158,"")))))</f>
        <v>2600</v>
      </c>
      <c r="O164" s="44"/>
      <c r="P164" s="44"/>
      <c r="Q164" s="44"/>
      <c r="R164" s="44">
        <f>LOS!J158</f>
        <v>40918</v>
      </c>
      <c r="S164" s="45"/>
      <c r="T164" s="44" t="str">
        <f>LOS!K158</f>
        <v>A</v>
      </c>
      <c r="U164" s="44"/>
      <c r="V164" s="44"/>
      <c r="W164" s="44"/>
      <c r="X164" s="44"/>
      <c r="Y164" s="44"/>
      <c r="Z164" s="44"/>
      <c r="AA164" s="44">
        <f>LOS!L158</f>
        <v>1391</v>
      </c>
      <c r="AB164" s="44">
        <f>LOS!M158</f>
        <v>1291</v>
      </c>
      <c r="AC164" s="45"/>
      <c r="AD164" s="44" t="str">
        <f>LOS!Q158</f>
        <v>A</v>
      </c>
      <c r="AE164" s="44">
        <f>LOS!R158</f>
        <v>1315</v>
      </c>
      <c r="AF164" s="44">
        <f>LOS!S158</f>
        <v>1728</v>
      </c>
      <c r="AG164" s="45"/>
      <c r="AH164" s="44" t="str">
        <f>LOS!W158</f>
        <v>A</v>
      </c>
      <c r="AI164" s="82">
        <f>(Trend!L158)</f>
        <v>-1.63302214184493</v>
      </c>
      <c r="AJ164" s="77">
        <f>Cap!K158</f>
        <v>2520</v>
      </c>
      <c r="AK164" s="77">
        <f>Cap!L158</f>
        <v>2600</v>
      </c>
      <c r="AL164" s="77">
        <f>Cap!M158</f>
        <v>2600</v>
      </c>
      <c r="AM164" s="77">
        <f>Cap!N158</f>
        <v>2600</v>
      </c>
    </row>
    <row r="165" spans="2:39" x14ac:dyDescent="0.25">
      <c r="B165" s="48" t="str">
        <f>'2025MasterFile-Stat'!F159</f>
        <v>82*</v>
      </c>
      <c r="C165" s="47" t="str">
        <f>'2025MasterFile-Stat'!B159</f>
        <v>US 441 (Orange Blossom Tr)</v>
      </c>
      <c r="D165" s="47" t="str">
        <f>LEFT('2025MasterFile-Stat'!C159,FIND(" to ",'2025MasterFile-Stat'!C159)-1)</f>
        <v>Errol Pkwy</v>
      </c>
      <c r="E165" s="47" t="str">
        <f>RIGHT('2025MasterFile-Stat'!C159,LEN('2025MasterFile-Stat'!C159)-FIND(" to ",'2025MasterFile-Stat'!C159)-3)</f>
        <v>SR 451</v>
      </c>
      <c r="F165" s="44" t="str">
        <f>'2025MasterFile-Stat'!G159</f>
        <v>4LD</v>
      </c>
      <c r="G165" s="44"/>
      <c r="H165" s="46" t="str">
        <f>'2025MasterFile-Stat'!H159</f>
        <v>D</v>
      </c>
      <c r="I165" s="44" t="str">
        <f>'2025MasterFile-Stat'!A159</f>
        <v>Maj Art</v>
      </c>
      <c r="J165" s="44"/>
      <c r="K165" s="44"/>
      <c r="L165" s="26">
        <f>IF(Cap!H159="A",Cap!O159,
 IF(Cap!H159="B",Cap!P159,
 IF(Cap!H159="C",Cap!Q159,
 IF(Cap!H159="D",Cap!R159,
 IF(Cap!H159="E",Cap!S159,"")))))</f>
        <v>55400</v>
      </c>
      <c r="M165" s="44"/>
      <c r="N165" s="44">
        <f>IF(Cap!H159="A",Cap!J159,
 IF(Cap!H159="B",Cap!K159,
 IF(Cap!H159="C",Cap!L159,
 IF(Cap!H159="D",Cap!M159,
 IF(Cap!H159="E",Cap!N159,"")))))</f>
        <v>2600</v>
      </c>
      <c r="O165" s="44"/>
      <c r="P165" s="44"/>
      <c r="Q165" s="44"/>
      <c r="R165" s="44">
        <f>LOS!J159</f>
        <v>34862</v>
      </c>
      <c r="S165" s="45"/>
      <c r="T165" s="44" t="str">
        <f>LOS!K159</f>
        <v>A</v>
      </c>
      <c r="U165" s="44"/>
      <c r="V165" s="44"/>
      <c r="W165" s="44"/>
      <c r="X165" s="44"/>
      <c r="Y165" s="44"/>
      <c r="Z165" s="44"/>
      <c r="AA165" s="44">
        <f>LOS!L159</f>
        <v>1077</v>
      </c>
      <c r="AB165" s="44">
        <f>LOS!M159</f>
        <v>1372</v>
      </c>
      <c r="AC165" s="45"/>
      <c r="AD165" s="44" t="str">
        <f>LOS!Q159</f>
        <v>A</v>
      </c>
      <c r="AE165" s="44">
        <f>LOS!R159</f>
        <v>1351</v>
      </c>
      <c r="AF165" s="44">
        <f>LOS!S159</f>
        <v>1297</v>
      </c>
      <c r="AG165" s="45"/>
      <c r="AH165" s="44" t="str">
        <f>LOS!W159</f>
        <v>A</v>
      </c>
      <c r="AI165" s="82">
        <f>(Trend!L159)</f>
        <v>3.3659347783205198</v>
      </c>
      <c r="AJ165" s="77">
        <f>Cap!K159</f>
        <v>2520</v>
      </c>
      <c r="AK165" s="77">
        <f>Cap!L159</f>
        <v>2600</v>
      </c>
      <c r="AL165" s="77">
        <f>Cap!M159</f>
        <v>2600</v>
      </c>
      <c r="AM165" s="77">
        <f>Cap!N159</f>
        <v>2600</v>
      </c>
    </row>
    <row r="166" spans="2:39" x14ac:dyDescent="0.25">
      <c r="B166" s="48" t="str">
        <f>'2025MasterFile-Stat'!F160</f>
        <v>5099*</v>
      </c>
      <c r="C166" s="47" t="str">
        <f>'2025MasterFile-Stat'!B160</f>
        <v>US 441 (Orange Blossom Tr)</v>
      </c>
      <c r="D166" s="47" t="str">
        <f>LEFT('2025MasterFile-Stat'!C160,FIND(" to ",'2025MasterFile-Stat'!C160)-1)</f>
        <v>Central Ave</v>
      </c>
      <c r="E166" s="47" t="str">
        <f>RIGHT('2025MasterFile-Stat'!C160,LEN('2025MasterFile-Stat'!C160)-FIND(" to ",'2025MasterFile-Stat'!C160)-3)</f>
        <v>Park Ave</v>
      </c>
      <c r="F166" s="44" t="str">
        <f>'2025MasterFile-Stat'!G160</f>
        <v>5L</v>
      </c>
      <c r="G166" s="44"/>
      <c r="H166" s="46" t="str">
        <f>'2025MasterFile-Stat'!H160</f>
        <v>D</v>
      </c>
      <c r="I166" s="44" t="str">
        <f>'2025MasterFile-Stat'!A160</f>
        <v>Maj Art</v>
      </c>
      <c r="J166" s="44"/>
      <c r="K166" s="44"/>
      <c r="L166" s="26">
        <f>IF(Cap!H160="A",Cap!O160,
 IF(Cap!H160="B",Cap!P160,
 IF(Cap!H160="C",Cap!Q160,
 IF(Cap!H160="D",Cap!R160,
 IF(Cap!H160="E",Cap!S160,"")))))</f>
        <v>57100</v>
      </c>
      <c r="M166" s="44"/>
      <c r="N166" s="44">
        <f>IF(Cap!H160="A",Cap!J160,
 IF(Cap!H160="B",Cap!K160,
 IF(Cap!H160="C",Cap!L160,
 IF(Cap!H160="D",Cap!M160,
 IF(Cap!H160="E",Cap!N160,"")))))</f>
        <v>2160</v>
      </c>
      <c r="O166" s="44"/>
      <c r="P166" s="44"/>
      <c r="Q166" s="44"/>
      <c r="R166" s="44">
        <f>LOS!J160</f>
        <v>38448</v>
      </c>
      <c r="S166" s="45"/>
      <c r="T166" s="44" t="str">
        <f>LOS!K160</f>
        <v>A</v>
      </c>
      <c r="U166" s="44"/>
      <c r="V166" s="44"/>
      <c r="W166" s="44"/>
      <c r="X166" s="44"/>
      <c r="Y166" s="44"/>
      <c r="Z166" s="44"/>
      <c r="AA166" s="44">
        <f>LOS!L160</f>
        <v>1508</v>
      </c>
      <c r="AB166" s="44">
        <f>LOS!M160</f>
        <v>1114</v>
      </c>
      <c r="AC166" s="45"/>
      <c r="AD166" s="44" t="str">
        <f>LOS!Q160</f>
        <v>A</v>
      </c>
      <c r="AE166" s="44">
        <f>LOS!R160</f>
        <v>1378</v>
      </c>
      <c r="AF166" s="44">
        <f>LOS!S160</f>
        <v>1526</v>
      </c>
      <c r="AG166" s="45"/>
      <c r="AH166" s="44" t="str">
        <f>LOS!W160</f>
        <v>A</v>
      </c>
      <c r="AI166" s="82">
        <f>(Trend!L160)</f>
        <v>3.7096898726032501</v>
      </c>
      <c r="AJ166" s="77">
        <f>Cap!K160</f>
        <v>2160</v>
      </c>
      <c r="AK166" s="77">
        <f>Cap!L160</f>
        <v>2160</v>
      </c>
      <c r="AL166" s="77">
        <f>Cap!M160</f>
        <v>2160</v>
      </c>
      <c r="AM166" s="77">
        <f>Cap!N160</f>
        <v>2160</v>
      </c>
    </row>
    <row r="167" spans="2:39" x14ac:dyDescent="0.25">
      <c r="B167" s="48" t="str">
        <f>'2025MasterFile-Stat'!F161</f>
        <v>5099*</v>
      </c>
      <c r="C167" s="47" t="str">
        <f>'2025MasterFile-Stat'!B161</f>
        <v>US 441 (Orange Blossom Tr)</v>
      </c>
      <c r="D167" s="47" t="str">
        <f>LEFT('2025MasterFile-Stat'!C161,FIND(" to ",'2025MasterFile-Stat'!C161)-1)</f>
        <v>Hawthorne Ave</v>
      </c>
      <c r="E167" s="47" t="str">
        <f>RIGHT('2025MasterFile-Stat'!C161,LEN('2025MasterFile-Stat'!C161)-FIND(" to ",'2025MasterFile-Stat'!C161)-3)</f>
        <v>Central Ave</v>
      </c>
      <c r="F167" s="44" t="str">
        <f>'2025MasterFile-Stat'!G161</f>
        <v>5L</v>
      </c>
      <c r="G167" s="44"/>
      <c r="H167" s="46" t="str">
        <f>'2025MasterFile-Stat'!H161</f>
        <v>D</v>
      </c>
      <c r="I167" s="44" t="str">
        <f>'2025MasterFile-Stat'!A161</f>
        <v>Maj Art</v>
      </c>
      <c r="J167" s="44"/>
      <c r="K167" s="44"/>
      <c r="L167" s="26">
        <f>IF(Cap!H161="A",Cap!O161,
 IF(Cap!H161="B",Cap!P161,
 IF(Cap!H161="C",Cap!Q161,
 IF(Cap!H161="D",Cap!R161,
 IF(Cap!H161="E",Cap!S161,"")))))</f>
        <v>57100</v>
      </c>
      <c r="M167" s="44"/>
      <c r="N167" s="44">
        <f>IF(Cap!H161="A",Cap!J161,
 IF(Cap!H161="B",Cap!K161,
 IF(Cap!H161="C",Cap!L161,
 IF(Cap!H161="D",Cap!M161,
 IF(Cap!H161="E",Cap!N161,"")))))</f>
        <v>2160</v>
      </c>
      <c r="O167" s="44"/>
      <c r="P167" s="44"/>
      <c r="Q167" s="44"/>
      <c r="R167" s="44">
        <f>LOS!J161</f>
        <v>38448</v>
      </c>
      <c r="S167" s="45"/>
      <c r="T167" s="44" t="str">
        <f>LOS!K161</f>
        <v>A</v>
      </c>
      <c r="U167" s="44"/>
      <c r="V167" s="44"/>
      <c r="W167" s="44"/>
      <c r="X167" s="44"/>
      <c r="Y167" s="44"/>
      <c r="Z167" s="44"/>
      <c r="AA167" s="44">
        <f>LOS!L161</f>
        <v>1508</v>
      </c>
      <c r="AB167" s="44">
        <f>LOS!M161</f>
        <v>1114</v>
      </c>
      <c r="AC167" s="45"/>
      <c r="AD167" s="44" t="str">
        <f>LOS!Q161</f>
        <v>A</v>
      </c>
      <c r="AE167" s="44">
        <f>LOS!R161</f>
        <v>1378</v>
      </c>
      <c r="AF167" s="44">
        <f>LOS!S161</f>
        <v>1526</v>
      </c>
      <c r="AG167" s="45"/>
      <c r="AH167" s="44" t="str">
        <f>LOS!W161</f>
        <v>A</v>
      </c>
      <c r="AI167" s="82">
        <f>(Trend!L161)</f>
        <v>5.7686269463389097</v>
      </c>
      <c r="AJ167" s="77">
        <f>Cap!K161</f>
        <v>2160</v>
      </c>
      <c r="AK167" s="77">
        <f>Cap!L161</f>
        <v>2160</v>
      </c>
      <c r="AL167" s="77">
        <f>Cap!M161</f>
        <v>2160</v>
      </c>
      <c r="AM167" s="77">
        <f>Cap!N161</f>
        <v>2160</v>
      </c>
    </row>
    <row r="168" spans="2:39" x14ac:dyDescent="0.25">
      <c r="B168" s="48" t="str">
        <f>'2025MasterFile-Stat'!F162</f>
        <v>33*</v>
      </c>
      <c r="C168" s="47" t="str">
        <f>'2025MasterFile-Stat'!B162</f>
        <v>US 441 (Orange Blossom Tr)</v>
      </c>
      <c r="D168" s="47" t="str">
        <f>LEFT('2025MasterFile-Stat'!C162,FIND(" to ",'2025MasterFile-Stat'!C162)-1)</f>
        <v>Piedmont-Wekiva Rd</v>
      </c>
      <c r="E168" s="47" t="str">
        <f>RIGHT('2025MasterFile-Stat'!C162,LEN('2025MasterFile-Stat'!C162)-FIND(" to ",'2025MasterFile-Stat'!C162)-3)</f>
        <v>Seminole County Ln</v>
      </c>
      <c r="F168" s="44" t="str">
        <f>'2025MasterFile-Stat'!G162</f>
        <v>4LD</v>
      </c>
      <c r="G168" s="44"/>
      <c r="H168" s="46" t="str">
        <f>'2025MasterFile-Stat'!H162</f>
        <v>D</v>
      </c>
      <c r="I168" s="44" t="str">
        <f>'2025MasterFile-Stat'!A162</f>
        <v>Maj Art</v>
      </c>
      <c r="J168" s="44"/>
      <c r="K168" s="44"/>
      <c r="L168" s="26">
        <f>IF(Cap!H162="A",Cap!O162,
 IF(Cap!H162="B",Cap!P162,
 IF(Cap!H162="C",Cap!Q162,
 IF(Cap!H162="D",Cap!R162,
 IF(Cap!H162="E",Cap!S162,"")))))</f>
        <v>39800</v>
      </c>
      <c r="M168" s="44"/>
      <c r="N168" s="44">
        <f>IF(Cap!H162="A",Cap!J162,
 IF(Cap!H162="B",Cap!K162,
 IF(Cap!H162="C",Cap!L162,
 IF(Cap!H162="D",Cap!M162,
 IF(Cap!H162="E",Cap!N162,"")))))</f>
        <v>2000</v>
      </c>
      <c r="O168" s="44"/>
      <c r="P168" s="44"/>
      <c r="Q168" s="44"/>
      <c r="R168" s="44">
        <f>LOS!J162</f>
        <v>33726</v>
      </c>
      <c r="S168" s="45"/>
      <c r="T168" s="44" t="str">
        <f>LOS!K162</f>
        <v>C</v>
      </c>
      <c r="U168" s="44"/>
      <c r="V168" s="44"/>
      <c r="W168" s="44"/>
      <c r="X168" s="44"/>
      <c r="Y168" s="44"/>
      <c r="Z168" s="44"/>
      <c r="AA168" s="44">
        <f>LOS!L162</f>
        <v>1051</v>
      </c>
      <c r="AB168" s="44">
        <f>LOS!M162</f>
        <v>1402</v>
      </c>
      <c r="AC168" s="45"/>
      <c r="AD168" s="44" t="str">
        <f>LOS!Q162</f>
        <v>C</v>
      </c>
      <c r="AE168" s="44">
        <f>LOS!R162</f>
        <v>1529</v>
      </c>
      <c r="AF168" s="44">
        <f>LOS!S162</f>
        <v>1091</v>
      </c>
      <c r="AG168" s="45"/>
      <c r="AH168" s="44" t="str">
        <f>LOS!W162</f>
        <v>C</v>
      </c>
      <c r="AI168" s="82">
        <f>(Trend!L162)</f>
        <v>0.82147568128814896</v>
      </c>
      <c r="AJ168" s="77">
        <f>Cap!K162</f>
        <v>0</v>
      </c>
      <c r="AK168" s="77">
        <f>Cap!L162</f>
        <v>1910</v>
      </c>
      <c r="AL168" s="77">
        <f>Cap!M162</f>
        <v>2000</v>
      </c>
      <c r="AM168" s="77">
        <f>Cap!N162</f>
        <v>2000</v>
      </c>
    </row>
    <row r="169" spans="2:39" x14ac:dyDescent="0.25">
      <c r="B169" s="48" t="str">
        <f>'2025MasterFile-Stat'!F163</f>
        <v>5096*</v>
      </c>
      <c r="C169" s="47" t="str">
        <f>'2025MasterFile-Stat'!B163</f>
        <v>US 441 (Orange Blossom Tr)</v>
      </c>
      <c r="D169" s="47" t="str">
        <f>LEFT('2025MasterFile-Stat'!C163,FIND(" to ",'2025MasterFile-Stat'!C163)-1)</f>
        <v>Roger Williams Rd</v>
      </c>
      <c r="E169" s="47" t="str">
        <f>RIGHT('2025MasterFile-Stat'!C163,LEN('2025MasterFile-Stat'!C163)-FIND(" to ",'2025MasterFile-Stat'!C163)-3)</f>
        <v>Piedmont-Wekiva Rd</v>
      </c>
      <c r="F169" s="44" t="str">
        <f>'2025MasterFile-Stat'!G163</f>
        <v>4LD</v>
      </c>
      <c r="G169" s="44"/>
      <c r="H169" s="46" t="str">
        <f>'2025MasterFile-Stat'!H163</f>
        <v>D</v>
      </c>
      <c r="I169" s="44" t="str">
        <f>'2025MasterFile-Stat'!A163</f>
        <v>Maj Art</v>
      </c>
      <c r="J169" s="44"/>
      <c r="K169" s="44"/>
      <c r="L169" s="26">
        <f>IF(Cap!H163="A",Cap!O163,
 IF(Cap!H163="B",Cap!P163,
 IF(Cap!H163="C",Cap!Q163,
 IF(Cap!H163="D",Cap!R163,
 IF(Cap!H163="E",Cap!S163,"")))))</f>
        <v>39800</v>
      </c>
      <c r="M169" s="44"/>
      <c r="N169" s="44">
        <f>IF(Cap!H163="A",Cap!J163,
 IF(Cap!H163="B",Cap!K163,
 IF(Cap!H163="C",Cap!L163,
 IF(Cap!H163="D",Cap!M163,
 IF(Cap!H163="E",Cap!N163,"")))))</f>
        <v>2000</v>
      </c>
      <c r="O169" s="44"/>
      <c r="P169" s="44"/>
      <c r="Q169" s="44"/>
      <c r="R169" s="44">
        <f>LOS!J163</f>
        <v>30443</v>
      </c>
      <c r="S169" s="45"/>
      <c r="T169" s="44" t="str">
        <f>LOS!K163</f>
        <v>C</v>
      </c>
      <c r="U169" s="44"/>
      <c r="V169" s="44"/>
      <c r="W169" s="44"/>
      <c r="X169" s="44"/>
      <c r="Y169" s="44"/>
      <c r="Z169" s="44"/>
      <c r="AA169" s="44">
        <f>LOS!L163</f>
        <v>1193</v>
      </c>
      <c r="AB169" s="44">
        <f>LOS!M163</f>
        <v>974</v>
      </c>
      <c r="AC169" s="45"/>
      <c r="AD169" s="44" t="str">
        <f>LOS!Q163</f>
        <v>C</v>
      </c>
      <c r="AE169" s="44">
        <f>LOS!R163</f>
        <v>989</v>
      </c>
      <c r="AF169" s="44">
        <f>LOS!S163</f>
        <v>1377</v>
      </c>
      <c r="AG169" s="45"/>
      <c r="AH169" s="44" t="str">
        <f>LOS!W163</f>
        <v>C</v>
      </c>
      <c r="AI169" s="82">
        <f>(Trend!L163)</f>
        <v>0.71929824561406897</v>
      </c>
      <c r="AJ169" s="77">
        <f>Cap!K163</f>
        <v>0</v>
      </c>
      <c r="AK169" s="77">
        <f>Cap!L163</f>
        <v>1910</v>
      </c>
      <c r="AL169" s="77">
        <f>Cap!M163</f>
        <v>2000</v>
      </c>
      <c r="AM169" s="77">
        <f>Cap!N163</f>
        <v>2000</v>
      </c>
    </row>
    <row r="170" spans="2:39" x14ac:dyDescent="0.25">
      <c r="B170" s="48">
        <f>'2025MasterFile-Stat'!F164</f>
        <v>550</v>
      </c>
      <c r="C170" s="47" t="str">
        <f>'2025MasterFile-Stat'!B164</f>
        <v>US 441 (Orange Blossom Tr)</v>
      </c>
      <c r="D170" s="47" t="str">
        <f>LEFT('2025MasterFile-Stat'!C164,FIND(" to ",'2025MasterFile-Stat'!C164)-1)</f>
        <v>Plymouth Sorrento Rd (CR 437)</v>
      </c>
      <c r="E170" s="47" t="str">
        <f>RIGHT('2025MasterFile-Stat'!C164,LEN('2025MasterFile-Stat'!C164)-FIND(" to ",'2025MasterFile-Stat'!C164)-3)</f>
        <v>Boy Scout Blvd</v>
      </c>
      <c r="F170" s="44" t="str">
        <f>'2025MasterFile-Stat'!G164</f>
        <v>4LD</v>
      </c>
      <c r="G170" s="44"/>
      <c r="H170" s="46" t="str">
        <f>'2025MasterFile-Stat'!H164</f>
        <v>D</v>
      </c>
      <c r="I170" s="44" t="str">
        <f>'2025MasterFile-Stat'!A164</f>
        <v>Maj Art</v>
      </c>
      <c r="J170" s="44"/>
      <c r="K170" s="44"/>
      <c r="L170" s="26">
        <f>IF(Cap!H164="A",Cap!O164,
 IF(Cap!H164="B",Cap!P164,
 IF(Cap!H164="C",Cap!Q164,
 IF(Cap!H164="D",Cap!R164,
 IF(Cap!H164="E",Cap!S164,"")))))</f>
        <v>49500</v>
      </c>
      <c r="M170" s="44"/>
      <c r="N170" s="44">
        <f>IF(Cap!H164="A",Cap!J164,
 IF(Cap!H164="B",Cap!K164,
 IF(Cap!H164="C",Cap!L164,
 IF(Cap!H164="D",Cap!M164,
 IF(Cap!H164="E",Cap!N164,"")))))</f>
        <v>2480</v>
      </c>
      <c r="O170" s="44"/>
      <c r="P170" s="44"/>
      <c r="Q170" s="44"/>
      <c r="R170" s="44">
        <f>LOS!J164</f>
        <v>28844</v>
      </c>
      <c r="S170" s="45"/>
      <c r="T170" s="44" t="str">
        <f>LOS!K164</f>
        <v>A</v>
      </c>
      <c r="U170" s="44"/>
      <c r="V170" s="44"/>
      <c r="W170" s="44"/>
      <c r="X170" s="44"/>
      <c r="Y170" s="44"/>
      <c r="Z170" s="44"/>
      <c r="AA170" s="44">
        <f>LOS!L164</f>
        <v>1235</v>
      </c>
      <c r="AB170" s="44">
        <f>LOS!M164</f>
        <v>828</v>
      </c>
      <c r="AC170" s="45"/>
      <c r="AD170" s="44" t="str">
        <f>LOS!Q164</f>
        <v>A</v>
      </c>
      <c r="AE170" s="44">
        <f>LOS!R164</f>
        <v>1050</v>
      </c>
      <c r="AF170" s="44">
        <f>LOS!S164</f>
        <v>1149</v>
      </c>
      <c r="AG170" s="45"/>
      <c r="AH170" s="44" t="str">
        <f>LOS!W164</f>
        <v>A</v>
      </c>
      <c r="AI170" s="82">
        <f>(Trend!L164)</f>
        <v>1.1496325058941601</v>
      </c>
      <c r="AJ170" s="77">
        <f>Cap!K164</f>
        <v>2480</v>
      </c>
      <c r="AK170" s="77">
        <f>Cap!L164</f>
        <v>2480</v>
      </c>
      <c r="AL170" s="77">
        <f>Cap!M164</f>
        <v>2480</v>
      </c>
      <c r="AM170" s="77">
        <f>Cap!N164</f>
        <v>2480</v>
      </c>
    </row>
    <row r="171" spans="2:39" x14ac:dyDescent="0.25">
      <c r="B171" s="48" t="str">
        <f>'2025MasterFile-Stat'!F165</f>
        <v>5098*</v>
      </c>
      <c r="C171" s="47" t="str">
        <f>'2025MasterFile-Stat'!B165</f>
        <v>US 441 (Orange Blossom Tr)</v>
      </c>
      <c r="D171" s="47" t="str">
        <f>LEFT('2025MasterFile-Stat'!C165,FIND(" to ",'2025MasterFile-Stat'!C165)-1)</f>
        <v>Alabama Ave</v>
      </c>
      <c r="E171" s="47" t="str">
        <f>RIGHT('2025MasterFile-Stat'!C165,LEN('2025MasterFile-Stat'!C165)-FIND(" to ",'2025MasterFile-Stat'!C165)-3)</f>
        <v>SR 436</v>
      </c>
      <c r="F171" s="44" t="str">
        <f>'2025MasterFile-Stat'!G165</f>
        <v>4LD</v>
      </c>
      <c r="G171" s="44"/>
      <c r="H171" s="46" t="str">
        <f>'2025MasterFile-Stat'!H165</f>
        <v>D</v>
      </c>
      <c r="I171" s="44" t="str">
        <f>'2025MasterFile-Stat'!A165</f>
        <v>Maj Art</v>
      </c>
      <c r="J171" s="44"/>
      <c r="K171" s="44"/>
      <c r="L171" s="26">
        <f>IF(Cap!H165="A",Cap!O165,
 IF(Cap!H165="B",Cap!P165,
 IF(Cap!H165="C",Cap!Q165,
 IF(Cap!H165="D",Cap!R165,
 IF(Cap!H165="E",Cap!S165,"")))))</f>
        <v>57100</v>
      </c>
      <c r="M171" s="44"/>
      <c r="N171" s="44">
        <f>IF(Cap!H165="A",Cap!J165,
 IF(Cap!H165="B",Cap!K165,
 IF(Cap!H165="C",Cap!L165,
 IF(Cap!H165="D",Cap!M165,
 IF(Cap!H165="E",Cap!N165,"")))))</f>
        <v>2160</v>
      </c>
      <c r="O171" s="44"/>
      <c r="P171" s="44"/>
      <c r="Q171" s="44"/>
      <c r="R171" s="44">
        <f>LOS!J165</f>
        <v>47365</v>
      </c>
      <c r="S171" s="45"/>
      <c r="T171" s="44" t="str">
        <f>LOS!K165</f>
        <v>A</v>
      </c>
      <c r="U171" s="44"/>
      <c r="V171" s="44"/>
      <c r="W171" s="44"/>
      <c r="X171" s="44"/>
      <c r="Y171" s="44"/>
      <c r="Z171" s="44"/>
      <c r="AA171" s="44">
        <f>LOS!L165</f>
        <v>1517</v>
      </c>
      <c r="AB171" s="44">
        <f>LOS!M165</f>
        <v>1783</v>
      </c>
      <c r="AC171" s="45"/>
      <c r="AD171" s="44" t="str">
        <f>LOS!Q165</f>
        <v>A</v>
      </c>
      <c r="AE171" s="44">
        <f>LOS!R165</f>
        <v>1626</v>
      </c>
      <c r="AF171" s="44">
        <f>LOS!S165</f>
        <v>1597</v>
      </c>
      <c r="AG171" s="45"/>
      <c r="AH171" s="44" t="str">
        <f>LOS!W165</f>
        <v>A</v>
      </c>
      <c r="AI171" s="82">
        <f>(Trend!L165)</f>
        <v>2.4370659269616</v>
      </c>
      <c r="AJ171" s="77">
        <f>Cap!K165</f>
        <v>2160</v>
      </c>
      <c r="AK171" s="77">
        <f>Cap!L165</f>
        <v>2160</v>
      </c>
      <c r="AL171" s="77">
        <f>Cap!M165</f>
        <v>2160</v>
      </c>
      <c r="AM171" s="77">
        <f>Cap!N165</f>
        <v>2160</v>
      </c>
    </row>
    <row r="172" spans="2:39" x14ac:dyDescent="0.25">
      <c r="B172" s="48" t="str">
        <f>'2025MasterFile-Stat'!F166</f>
        <v>5098*</v>
      </c>
      <c r="C172" s="47" t="str">
        <f>'2025MasterFile-Stat'!B166</f>
        <v>US 441 (Orange Blossom Tr)</v>
      </c>
      <c r="D172" s="47" t="str">
        <f>LEFT('2025MasterFile-Stat'!C166,FIND(" to ",'2025MasterFile-Stat'!C166)-1)</f>
        <v>Park Ave</v>
      </c>
      <c r="E172" s="47" t="str">
        <f>RIGHT('2025MasterFile-Stat'!C166,LEN('2025MasterFile-Stat'!C166)-FIND(" to ",'2025MasterFile-Stat'!C166)-3)</f>
        <v>Highland Ave</v>
      </c>
      <c r="F172" s="44" t="str">
        <f>'2025MasterFile-Stat'!G166</f>
        <v>5L</v>
      </c>
      <c r="G172" s="44"/>
      <c r="H172" s="46" t="str">
        <f>'2025MasterFile-Stat'!H166</f>
        <v>D</v>
      </c>
      <c r="I172" s="44" t="str">
        <f>'2025MasterFile-Stat'!A166</f>
        <v>Maj Art</v>
      </c>
      <c r="J172" s="44"/>
      <c r="K172" s="44"/>
      <c r="L172" s="26">
        <f>IF(Cap!H166="A",Cap!O166,
 IF(Cap!H166="B",Cap!P166,
 IF(Cap!H166="C",Cap!Q166,
 IF(Cap!H166="D",Cap!R166,
 IF(Cap!H166="E",Cap!S166,"")))))</f>
        <v>57100</v>
      </c>
      <c r="M172" s="44"/>
      <c r="N172" s="44">
        <f>IF(Cap!H166="A",Cap!J166,
 IF(Cap!H166="B",Cap!K166,
 IF(Cap!H166="C",Cap!L166,
 IF(Cap!H166="D",Cap!M166,
 IF(Cap!H166="E",Cap!N166,"")))))</f>
        <v>2160</v>
      </c>
      <c r="O172" s="44"/>
      <c r="P172" s="44"/>
      <c r="Q172" s="44"/>
      <c r="R172" s="44">
        <f>LOS!J166</f>
        <v>47365</v>
      </c>
      <c r="S172" s="45"/>
      <c r="T172" s="44" t="str">
        <f>LOS!K166</f>
        <v>A</v>
      </c>
      <c r="U172" s="44"/>
      <c r="V172" s="44"/>
      <c r="W172" s="44"/>
      <c r="X172" s="44"/>
      <c r="Y172" s="44"/>
      <c r="Z172" s="44"/>
      <c r="AA172" s="44">
        <f>LOS!L166</f>
        <v>1517</v>
      </c>
      <c r="AB172" s="44">
        <f>LOS!M166</f>
        <v>1783</v>
      </c>
      <c r="AC172" s="45"/>
      <c r="AD172" s="44" t="str">
        <f>LOS!Q166</f>
        <v>A</v>
      </c>
      <c r="AE172" s="44">
        <f>LOS!R166</f>
        <v>1626</v>
      </c>
      <c r="AF172" s="44">
        <f>LOS!S166</f>
        <v>1597</v>
      </c>
      <c r="AG172" s="45"/>
      <c r="AH172" s="44" t="str">
        <f>LOS!W166</f>
        <v>A</v>
      </c>
      <c r="AI172" s="82">
        <f>(Trend!L166)</f>
        <v>-1.0050680960234</v>
      </c>
      <c r="AJ172" s="77">
        <f>Cap!K166</f>
        <v>2160</v>
      </c>
      <c r="AK172" s="77">
        <f>Cap!L166</f>
        <v>2160</v>
      </c>
      <c r="AL172" s="77">
        <f>Cap!M166</f>
        <v>2160</v>
      </c>
      <c r="AM172" s="77">
        <f>Cap!N166</f>
        <v>2160</v>
      </c>
    </row>
    <row r="173" spans="2:39" x14ac:dyDescent="0.25">
      <c r="B173" s="48" t="str">
        <f>'2025MasterFile-Stat'!F167</f>
        <v>7075*</v>
      </c>
      <c r="C173" s="47" t="str">
        <f>'2025MasterFile-Stat'!B167</f>
        <v>US 441 (Orange Blossom Tr)</v>
      </c>
      <c r="D173" s="47" t="str">
        <f>LEFT('2025MasterFile-Stat'!C167,FIND(" to ",'2025MasterFile-Stat'!C167)-1)</f>
        <v>Sheeler Rd</v>
      </c>
      <c r="E173" s="47" t="str">
        <f>RIGHT('2025MasterFile-Stat'!C167,LEN('2025MasterFile-Stat'!C167)-FIND(" to ",'2025MasterFile-Stat'!C167)-3)</f>
        <v>Roger Williams Rd</v>
      </c>
      <c r="F173" s="44" t="str">
        <f>'2025MasterFile-Stat'!G167</f>
        <v>4LD</v>
      </c>
      <c r="G173" s="44"/>
      <c r="H173" s="46" t="str">
        <f>'2025MasterFile-Stat'!H167</f>
        <v>D</v>
      </c>
      <c r="I173" s="44" t="str">
        <f>'2025MasterFile-Stat'!A167</f>
        <v>Maj Art</v>
      </c>
      <c r="J173" s="44"/>
      <c r="K173" s="44"/>
      <c r="L173" s="26">
        <f>IF(Cap!H167="A",Cap!O167,
 IF(Cap!H167="B",Cap!P167,
 IF(Cap!H167="C",Cap!Q167,
 IF(Cap!H167="D",Cap!R167,
 IF(Cap!H167="E",Cap!S167,"")))))</f>
        <v>39800</v>
      </c>
      <c r="M173" s="44"/>
      <c r="N173" s="44">
        <f>IF(Cap!H167="A",Cap!J167,
 IF(Cap!H167="B",Cap!K167,
 IF(Cap!H167="C",Cap!L167,
 IF(Cap!H167="D",Cap!M167,
 IF(Cap!H167="E",Cap!N167,"")))))</f>
        <v>2000</v>
      </c>
      <c r="O173" s="44"/>
      <c r="P173" s="44"/>
      <c r="Q173" s="44"/>
      <c r="R173" s="44">
        <f>LOS!J167</f>
        <v>29511</v>
      </c>
      <c r="S173" s="45"/>
      <c r="T173" s="44" t="str">
        <f>LOS!K167</f>
        <v>C</v>
      </c>
      <c r="U173" s="44"/>
      <c r="V173" s="44"/>
      <c r="W173" s="44"/>
      <c r="X173" s="44"/>
      <c r="Y173" s="44"/>
      <c r="Z173" s="44"/>
      <c r="AA173" s="44">
        <f>LOS!L167</f>
        <v>942</v>
      </c>
      <c r="AB173" s="44">
        <f>LOS!M167</f>
        <v>1272</v>
      </c>
      <c r="AC173" s="45"/>
      <c r="AD173" s="44" t="str">
        <f>LOS!Q167</f>
        <v>C</v>
      </c>
      <c r="AE173" s="44">
        <f>LOS!R167</f>
        <v>1207</v>
      </c>
      <c r="AF173" s="44">
        <f>LOS!S167</f>
        <v>942</v>
      </c>
      <c r="AG173" s="45"/>
      <c r="AH173" s="44" t="str">
        <f>LOS!W167</f>
        <v>C</v>
      </c>
      <c r="AI173" s="82">
        <f>(Trend!L167)</f>
        <v>2.9423351219186999</v>
      </c>
      <c r="AJ173" s="77">
        <f>Cap!K167</f>
        <v>0</v>
      </c>
      <c r="AK173" s="77">
        <f>Cap!L167</f>
        <v>1910</v>
      </c>
      <c r="AL173" s="77">
        <f>Cap!M167</f>
        <v>2000</v>
      </c>
      <c r="AM173" s="77">
        <f>Cap!N167</f>
        <v>2000</v>
      </c>
    </row>
    <row r="174" spans="2:39" x14ac:dyDescent="0.25">
      <c r="B174" s="48">
        <f>'2025MasterFile-Stat'!F168</f>
        <v>610</v>
      </c>
      <c r="C174" s="47" t="str">
        <f>'2025MasterFile-Stat'!B168</f>
        <v>Ustler Rd</v>
      </c>
      <c r="D174" s="47" t="str">
        <f>LEFT('2025MasterFile-Stat'!C168,FIND(" to ",'2025MasterFile-Stat'!C168)-1)</f>
        <v>Welch Rd</v>
      </c>
      <c r="E174" s="47" t="str">
        <f>RIGHT('2025MasterFile-Stat'!C168,LEN('2025MasterFile-Stat'!C168)-FIND(" to ",'2025MasterFile-Stat'!C168)-3)</f>
        <v>Sandpiper Rd</v>
      </c>
      <c r="F174" s="44" t="str">
        <f>'2025MasterFile-Stat'!G168</f>
        <v>2L</v>
      </c>
      <c r="G174" s="44"/>
      <c r="H174" s="46" t="str">
        <f>'2025MasterFile-Stat'!H168</f>
        <v>E</v>
      </c>
      <c r="I174" s="44" t="str">
        <f>'2025MasterFile-Stat'!A168</f>
        <v>Min Coll</v>
      </c>
      <c r="J174" s="44"/>
      <c r="K174" s="44"/>
      <c r="L174" s="26">
        <f>IF(Cap!H168="A",Cap!O168,
 IF(Cap!H168="B",Cap!P168,
 IF(Cap!H168="C",Cap!Q168,
 IF(Cap!H168="D",Cap!R168,
 IF(Cap!H168="E",Cap!S168,"")))))</f>
        <v>14000</v>
      </c>
      <c r="M174" s="44"/>
      <c r="N174" s="44">
        <f>IF(Cap!H168="A",Cap!J168,
 IF(Cap!H168="B",Cap!K168,
 IF(Cap!H168="C",Cap!L168,
 IF(Cap!H168="D",Cap!M168,
 IF(Cap!H168="E",Cap!N168,"")))))</f>
        <v>720</v>
      </c>
      <c r="O174" s="44"/>
      <c r="P174" s="44"/>
      <c r="Q174" s="44"/>
      <c r="R174" s="44">
        <f>LOS!J168</f>
        <v>1072</v>
      </c>
      <c r="S174" s="45"/>
      <c r="T174" s="44" t="str">
        <f>LOS!K168</f>
        <v>C</v>
      </c>
      <c r="U174" s="44"/>
      <c r="V174" s="44"/>
      <c r="W174" s="44"/>
      <c r="X174" s="44"/>
      <c r="Y174" s="44"/>
      <c r="Z174" s="44"/>
      <c r="AA174" s="44">
        <f>LOS!L168</f>
        <v>38</v>
      </c>
      <c r="AB174" s="44">
        <f>LOS!M168</f>
        <v>31</v>
      </c>
      <c r="AC174" s="45"/>
      <c r="AD174" s="44" t="str">
        <f>LOS!Q168</f>
        <v>C</v>
      </c>
      <c r="AE174" s="44">
        <f>LOS!R168</f>
        <v>56</v>
      </c>
      <c r="AF174" s="44">
        <f>LOS!S168</f>
        <v>64</v>
      </c>
      <c r="AG174" s="45"/>
      <c r="AH174" s="44" t="str">
        <f>LOS!W168</f>
        <v>C</v>
      </c>
      <c r="AI174" s="82">
        <f>(Trend!L168)</f>
        <v>8.0876865671663403</v>
      </c>
      <c r="AJ174" s="77">
        <f>Cap!K168</f>
        <v>0</v>
      </c>
      <c r="AK174" s="77">
        <f>Cap!L168</f>
        <v>330</v>
      </c>
      <c r="AL174" s="77">
        <f>Cap!M168</f>
        <v>680</v>
      </c>
      <c r="AM174" s="77">
        <f>Cap!N168</f>
        <v>720</v>
      </c>
    </row>
    <row r="175" spans="2:39" x14ac:dyDescent="0.25">
      <c r="B175" s="48">
        <f>'2025MasterFile-Stat'!F169</f>
        <v>612</v>
      </c>
      <c r="C175" s="47" t="str">
        <f>'2025MasterFile-Stat'!B169</f>
        <v>Ustler Rd</v>
      </c>
      <c r="D175" s="47" t="str">
        <f>LEFT('2025MasterFile-Stat'!C169,FIND(" to ",'2025MasterFile-Stat'!C169)-1)</f>
        <v>Sandpiper Rd</v>
      </c>
      <c r="E175" s="47" t="str">
        <f>RIGHT('2025MasterFile-Stat'!C169,LEN('2025MasterFile-Stat'!C169)-FIND(" to ",'2025MasterFile-Stat'!C169)-3)</f>
        <v>Tanglewild St</v>
      </c>
      <c r="F175" s="44" t="str">
        <f>'2025MasterFile-Stat'!G169</f>
        <v>2L</v>
      </c>
      <c r="G175" s="44"/>
      <c r="H175" s="46" t="str">
        <f>'2025MasterFile-Stat'!H169</f>
        <v>E</v>
      </c>
      <c r="I175" s="44" t="str">
        <f>'2025MasterFile-Stat'!A169</f>
        <v>Min Coll</v>
      </c>
      <c r="J175" s="44"/>
      <c r="K175" s="44"/>
      <c r="L175" s="26">
        <f>IF(Cap!H169="A",Cap!O169,
 IF(Cap!H169="B",Cap!P169,
 IF(Cap!H169="C",Cap!Q169,
 IF(Cap!H169="D",Cap!R169,
 IF(Cap!H169="E",Cap!S169,"")))))</f>
        <v>14000</v>
      </c>
      <c r="M175" s="44"/>
      <c r="N175" s="44">
        <f>IF(Cap!H169="A",Cap!J169,
 IF(Cap!H169="B",Cap!K169,
 IF(Cap!H169="C",Cap!L169,
 IF(Cap!H169="D",Cap!M169,
 IF(Cap!H169="E",Cap!N169,"")))))</f>
        <v>720</v>
      </c>
      <c r="O175" s="44"/>
      <c r="P175" s="44"/>
      <c r="Q175" s="44"/>
      <c r="R175" s="44">
        <f>LOS!J169</f>
        <v>669</v>
      </c>
      <c r="S175" s="45"/>
      <c r="T175" s="44" t="str">
        <f>LOS!K169</f>
        <v>C</v>
      </c>
      <c r="U175" s="44"/>
      <c r="V175" s="44"/>
      <c r="W175" s="44"/>
      <c r="X175" s="44"/>
      <c r="Y175" s="44"/>
      <c r="Z175" s="44"/>
      <c r="AA175" s="44">
        <f>LOS!L169</f>
        <v>15</v>
      </c>
      <c r="AB175" s="44">
        <f>LOS!M169</f>
        <v>19</v>
      </c>
      <c r="AC175" s="45"/>
      <c r="AD175" s="44" t="str">
        <f>LOS!Q169</f>
        <v>C</v>
      </c>
      <c r="AE175" s="44">
        <f>LOS!R169</f>
        <v>34</v>
      </c>
      <c r="AF175" s="44">
        <f>LOS!S169</f>
        <v>52</v>
      </c>
      <c r="AG175" s="45"/>
      <c r="AH175" s="44" t="str">
        <f>LOS!W169</f>
        <v>C</v>
      </c>
      <c r="AI175" s="82">
        <f>(Trend!L169)</f>
        <v>-16.7414050822169</v>
      </c>
      <c r="AJ175" s="77">
        <f>Cap!K169</f>
        <v>0</v>
      </c>
      <c r="AK175" s="77">
        <f>Cap!L169</f>
        <v>330</v>
      </c>
      <c r="AL175" s="77">
        <f>Cap!M169</f>
        <v>680</v>
      </c>
      <c r="AM175" s="77">
        <f>Cap!N169</f>
        <v>720</v>
      </c>
    </row>
    <row r="176" spans="2:39" x14ac:dyDescent="0.25">
      <c r="B176" s="48">
        <f>'2025MasterFile-Stat'!F170</f>
        <v>502</v>
      </c>
      <c r="C176" s="47" t="str">
        <f>'2025MasterFile-Stat'!B170</f>
        <v>Vick Rd</v>
      </c>
      <c r="D176" s="47" t="str">
        <f>LEFT('2025MasterFile-Stat'!C170,FIND(" to ",'2025MasterFile-Stat'!C170)-1)</f>
        <v>Martin St</v>
      </c>
      <c r="E176" s="47" t="str">
        <f>RIGHT('2025MasterFile-Stat'!C170,LEN('2025MasterFile-Stat'!C170)-FIND(" to ",'2025MasterFile-Stat'!C170)-3)</f>
        <v>Welch Rd</v>
      </c>
      <c r="F176" s="44" t="str">
        <f>'2025MasterFile-Stat'!G170</f>
        <v>2LD</v>
      </c>
      <c r="G176" s="44"/>
      <c r="H176" s="44" t="str">
        <f>'2025MasterFile-Stat'!H170</f>
        <v>E</v>
      </c>
      <c r="I176" s="44" t="str">
        <f>'2025MasterFile-Stat'!A170</f>
        <v>Min Coll</v>
      </c>
      <c r="J176" s="44"/>
      <c r="K176" s="44"/>
      <c r="L176" s="26">
        <f>IF(Cap!H170="A",Cap!O170,
 IF(Cap!H170="B",Cap!P170,
 IF(Cap!H170="C",Cap!Q170,
 IF(Cap!H170="D",Cap!R170,
 IF(Cap!H170="E",Cap!S170,"")))))</f>
        <v>16400</v>
      </c>
      <c r="M176" s="44"/>
      <c r="N176" s="44">
        <f>IF(Cap!H170="A",Cap!J170,
 IF(Cap!H170="B",Cap!K170,
 IF(Cap!H170="C",Cap!L170,
 IF(Cap!H170="D",Cap!M170,
 IF(Cap!H170="E",Cap!N170,"")))))</f>
        <v>840</v>
      </c>
      <c r="O176" s="44"/>
      <c r="P176" s="44"/>
      <c r="Q176" s="44"/>
      <c r="R176" s="44">
        <f>LOS!J170</f>
        <v>13133</v>
      </c>
      <c r="S176" s="45"/>
      <c r="T176" s="44" t="str">
        <f>LOS!K170</f>
        <v>D</v>
      </c>
      <c r="U176" s="44"/>
      <c r="V176" s="44"/>
      <c r="W176" s="44"/>
      <c r="X176" s="44"/>
      <c r="Y176" s="44"/>
      <c r="Z176" s="44"/>
      <c r="AA176" s="44">
        <f>LOS!L170</f>
        <v>549</v>
      </c>
      <c r="AB176" s="44">
        <f>LOS!M170</f>
        <v>366</v>
      </c>
      <c r="AC176" s="45"/>
      <c r="AD176" s="44" t="str">
        <f>LOS!Q170</f>
        <v>D</v>
      </c>
      <c r="AE176" s="44">
        <f>LOS!R170</f>
        <v>422</v>
      </c>
      <c r="AF176" s="44">
        <f>LOS!S170</f>
        <v>656</v>
      </c>
      <c r="AG176" s="45"/>
      <c r="AH176" s="44" t="str">
        <f>LOS!W170</f>
        <v>D</v>
      </c>
      <c r="AI176" s="82">
        <f>(Trend!L170)</f>
        <v>0.670067768217674</v>
      </c>
      <c r="AJ176" s="78">
        <f>Cap!K170</f>
        <v>0</v>
      </c>
      <c r="AK176" s="78">
        <f>Cap!L170</f>
        <v>390</v>
      </c>
      <c r="AL176" s="78">
        <f>Cap!M170</f>
        <v>790</v>
      </c>
      <c r="AM176" s="78">
        <f>Cap!N170</f>
        <v>840</v>
      </c>
    </row>
    <row r="177" spans="2:39" x14ac:dyDescent="0.25">
      <c r="B177" s="48" t="str">
        <f>'2025MasterFile-Stat'!F171</f>
        <v>8150*</v>
      </c>
      <c r="C177" s="47" t="str">
        <f>'2025MasterFile-Stat'!B171</f>
        <v>Vick Rd</v>
      </c>
      <c r="D177" s="47" t="str">
        <f>LEFT('2025MasterFile-Stat'!C171,FIND(" to ",'2025MasterFile-Stat'!C171)-1)</f>
        <v>Old Dixie Hwy</v>
      </c>
      <c r="E177" s="47" t="str">
        <f>RIGHT('2025MasterFile-Stat'!C171,LEN('2025MasterFile-Stat'!C171)-FIND(" to ",'2025MasterFile-Stat'!C171)-3)</f>
        <v>Ashworth Overlook Dr</v>
      </c>
      <c r="F177" s="44" t="str">
        <f>'2025MasterFile-Stat'!G171</f>
        <v>4LD</v>
      </c>
      <c r="G177" s="44"/>
      <c r="H177" s="44" t="str">
        <f>'2025MasterFile-Stat'!H171</f>
        <v>E</v>
      </c>
      <c r="I177" s="44" t="str">
        <f>'2025MasterFile-Stat'!A171</f>
        <v>Min Coll</v>
      </c>
      <c r="J177" s="44"/>
      <c r="K177" s="44"/>
      <c r="L177" s="26">
        <f>IF(Cap!H171="A",Cap!O171,
 IF(Cap!H171="B",Cap!P171,
 IF(Cap!H171="C",Cap!Q171,
 IF(Cap!H171="D",Cap!R171,
 IF(Cap!H171="E",Cap!S171,"")))))</f>
        <v>33800</v>
      </c>
      <c r="M177" s="44"/>
      <c r="N177" s="44">
        <f>IF(Cap!H171="A",Cap!J171,
 IF(Cap!H171="B",Cap!K171,
 IF(Cap!H171="C",Cap!L171,
 IF(Cap!H171="D",Cap!M171,
 IF(Cap!H171="E",Cap!N171,"")))))</f>
        <v>1700</v>
      </c>
      <c r="O177" s="44"/>
      <c r="P177" s="44"/>
      <c r="Q177" s="44"/>
      <c r="R177" s="44">
        <f>LOS!J171</f>
        <v>16902</v>
      </c>
      <c r="S177" s="45"/>
      <c r="T177" s="44" t="str">
        <f>LOS!K171</f>
        <v>D</v>
      </c>
      <c r="U177" s="44"/>
      <c r="V177" s="44"/>
      <c r="W177" s="44"/>
      <c r="X177" s="44"/>
      <c r="Y177" s="44"/>
      <c r="Z177" s="44"/>
      <c r="AA177" s="44">
        <f>LOS!L171</f>
        <v>623</v>
      </c>
      <c r="AB177" s="44">
        <f>LOS!M171</f>
        <v>1011</v>
      </c>
      <c r="AC177" s="45"/>
      <c r="AD177" s="44" t="str">
        <f>LOS!Q171</f>
        <v>D</v>
      </c>
      <c r="AE177" s="44">
        <f>LOS!R171</f>
        <v>828</v>
      </c>
      <c r="AF177" s="44">
        <f>LOS!S171</f>
        <v>742</v>
      </c>
      <c r="AG177" s="45"/>
      <c r="AH177" s="44" t="str">
        <f>LOS!W171</f>
        <v>D</v>
      </c>
      <c r="AI177" s="82">
        <f>(Trend!L171)</f>
        <v>2.1559685984766901</v>
      </c>
      <c r="AJ177" s="78">
        <f>Cap!K171</f>
        <v>0</v>
      </c>
      <c r="AK177" s="78">
        <f>Cap!L171</f>
        <v>730</v>
      </c>
      <c r="AL177" s="78">
        <f>Cap!M171</f>
        <v>1630</v>
      </c>
      <c r="AM177" s="78">
        <f>Cap!N171</f>
        <v>1700</v>
      </c>
    </row>
    <row r="178" spans="2:39" x14ac:dyDescent="0.25">
      <c r="B178" s="48" t="str">
        <f>'2025MasterFile-Stat'!F172</f>
        <v>8151*</v>
      </c>
      <c r="C178" s="47" t="str">
        <f>'2025MasterFile-Stat'!B172</f>
        <v>Vick Rd</v>
      </c>
      <c r="D178" s="47" t="str">
        <f>LEFT('2025MasterFile-Stat'!C172,FIND(" to ",'2025MasterFile-Stat'!C172)-1)</f>
        <v>Lester Rd</v>
      </c>
      <c r="E178" s="47" t="str">
        <f>RIGHT('2025MasterFile-Stat'!C172,LEN('2025MasterFile-Stat'!C172)-FIND(" to ",'2025MasterFile-Stat'!C172)-3)</f>
        <v>Ponkan Rd</v>
      </c>
      <c r="F178" s="44" t="str">
        <f>'2025MasterFile-Stat'!G172</f>
        <v>2L</v>
      </c>
      <c r="G178" s="44"/>
      <c r="H178" s="44" t="str">
        <f>'2025MasterFile-Stat'!H172</f>
        <v>E</v>
      </c>
      <c r="I178" s="44" t="str">
        <f>'2025MasterFile-Stat'!A172</f>
        <v>Min Coll</v>
      </c>
      <c r="J178" s="44"/>
      <c r="K178" s="44"/>
      <c r="L178" s="26">
        <f>IF(Cap!H172="A",Cap!O172,
 IF(Cap!H172="B",Cap!P172,
 IF(Cap!H172="C",Cap!Q172,
 IF(Cap!H172="D",Cap!R172,
 IF(Cap!H172="E",Cap!S172,"")))))</f>
        <v>14000</v>
      </c>
      <c r="M178" s="44"/>
      <c r="N178" s="44">
        <f>IF(Cap!H172="A",Cap!J172,
 IF(Cap!H172="B",Cap!K172,
 IF(Cap!H172="C",Cap!L172,
 IF(Cap!H172="D",Cap!M172,
 IF(Cap!H172="E",Cap!N172,"")))))</f>
        <v>720</v>
      </c>
      <c r="O178" s="44"/>
      <c r="P178" s="44"/>
      <c r="Q178" s="44"/>
      <c r="R178" s="44">
        <f>LOS!J172</f>
        <v>6050</v>
      </c>
      <c r="S178" s="45"/>
      <c r="T178" s="44" t="str">
        <f>LOS!K172</f>
        <v>C</v>
      </c>
      <c r="U178" s="44"/>
      <c r="V178" s="44"/>
      <c r="W178" s="44"/>
      <c r="X178" s="44"/>
      <c r="Y178" s="44"/>
      <c r="Z178" s="44"/>
      <c r="AA178" s="44">
        <f>LOS!L172</f>
        <v>327</v>
      </c>
      <c r="AB178" s="44">
        <f>LOS!M172</f>
        <v>372</v>
      </c>
      <c r="AC178" s="45"/>
      <c r="AD178" s="44" t="str">
        <f>LOS!Q172</f>
        <v>D</v>
      </c>
      <c r="AE178" s="44">
        <f>LOS!R172</f>
        <v>371</v>
      </c>
      <c r="AF178" s="44">
        <f>LOS!S172</f>
        <v>292</v>
      </c>
      <c r="AG178" s="45"/>
      <c r="AH178" s="44" t="str">
        <f>LOS!W172</f>
        <v>D</v>
      </c>
      <c r="AI178" s="82">
        <f>(Trend!L172)</f>
        <v>3.8336022951419801</v>
      </c>
      <c r="AJ178" s="78">
        <f>Cap!K172</f>
        <v>0</v>
      </c>
      <c r="AK178" s="78">
        <f>Cap!L172</f>
        <v>330</v>
      </c>
      <c r="AL178" s="78">
        <f>Cap!M172</f>
        <v>680</v>
      </c>
      <c r="AM178" s="78">
        <f>Cap!N172</f>
        <v>720</v>
      </c>
    </row>
    <row r="179" spans="2:39" x14ac:dyDescent="0.25">
      <c r="B179" s="48">
        <f>'2025MasterFile-Stat'!F173</f>
        <v>503</v>
      </c>
      <c r="C179" s="47" t="str">
        <f>'2025MasterFile-Stat'!B173</f>
        <v>Vick Rd</v>
      </c>
      <c r="D179" s="47" t="str">
        <f>LEFT('2025MasterFile-Stat'!C173,FIND(" to ",'2025MasterFile-Stat'!C173)-1)</f>
        <v>Welch Rd</v>
      </c>
      <c r="E179" s="47" t="str">
        <f>RIGHT('2025MasterFile-Stat'!C173,LEN('2025MasterFile-Stat'!C173)-FIND(" to ",'2025MasterFile-Stat'!C173)-3)</f>
        <v>Lake Francis Dr</v>
      </c>
      <c r="F179" s="44" t="str">
        <f>'2025MasterFile-Stat'!G173</f>
        <v>2L</v>
      </c>
      <c r="G179" s="44"/>
      <c r="H179" s="44" t="str">
        <f>'2025MasterFile-Stat'!H173</f>
        <v>E</v>
      </c>
      <c r="I179" s="44" t="str">
        <f>'2025MasterFile-Stat'!A173</f>
        <v>Min Coll</v>
      </c>
      <c r="J179" s="44"/>
      <c r="K179" s="44"/>
      <c r="L179" s="26">
        <f>IF(Cap!H173="A",Cap!O173,
 IF(Cap!H173="B",Cap!P173,
 IF(Cap!H173="C",Cap!Q173,
 IF(Cap!H173="D",Cap!R173,
 IF(Cap!H173="E",Cap!S173,"")))))</f>
        <v>14000</v>
      </c>
      <c r="M179" s="44"/>
      <c r="N179" s="44">
        <f>IF(Cap!H173="A",Cap!J173,
 IF(Cap!H173="B",Cap!K173,
 IF(Cap!H173="C",Cap!L173,
 IF(Cap!H173="D",Cap!M173,
 IF(Cap!H173="E",Cap!N173,"")))))</f>
        <v>720</v>
      </c>
      <c r="O179" s="44"/>
      <c r="P179" s="44"/>
      <c r="Q179" s="44"/>
      <c r="R179" s="44">
        <f>LOS!J173</f>
        <v>12213</v>
      </c>
      <c r="S179" s="45"/>
      <c r="T179" s="44" t="str">
        <f>LOS!K173</f>
        <v>D</v>
      </c>
      <c r="U179" s="44"/>
      <c r="V179" s="44"/>
      <c r="W179" s="44"/>
      <c r="X179" s="44"/>
      <c r="Y179" s="44"/>
      <c r="Z179" s="44"/>
      <c r="AA179" s="44">
        <f>LOS!L173</f>
        <v>338</v>
      </c>
      <c r="AB179" s="44">
        <f>LOS!M173</f>
        <v>613</v>
      </c>
      <c r="AC179" s="45"/>
      <c r="AD179" s="44" t="str">
        <f>LOS!Q173</f>
        <v>D</v>
      </c>
      <c r="AE179" s="44">
        <f>LOS!R173</f>
        <v>590</v>
      </c>
      <c r="AF179" s="44">
        <f>LOS!S173</f>
        <v>460</v>
      </c>
      <c r="AG179" s="45"/>
      <c r="AH179" s="44" t="str">
        <f>LOS!W173</f>
        <v>D</v>
      </c>
      <c r="AI179" s="82">
        <f>(Trend!L173)</f>
        <v>2.5440104806361599</v>
      </c>
      <c r="AJ179" s="78">
        <f>Cap!K173</f>
        <v>0</v>
      </c>
      <c r="AK179" s="78">
        <f>Cap!L173</f>
        <v>330</v>
      </c>
      <c r="AL179" s="78">
        <f>Cap!M173</f>
        <v>680</v>
      </c>
      <c r="AM179" s="78">
        <f>Cap!N173</f>
        <v>720</v>
      </c>
    </row>
    <row r="180" spans="2:39" x14ac:dyDescent="0.25">
      <c r="B180" s="48">
        <f>'2025MasterFile-Stat'!F174</f>
        <v>532</v>
      </c>
      <c r="C180" s="47" t="str">
        <f>'2025MasterFile-Stat'!B174</f>
        <v>Vick Rd</v>
      </c>
      <c r="D180" s="47" t="str">
        <f>LEFT('2025MasterFile-Stat'!C174,FIND(" to ",'2025MasterFile-Stat'!C174)-1)</f>
        <v>Ashworth Overlook Dr</v>
      </c>
      <c r="E180" s="47" t="str">
        <f>RIGHT('2025MasterFile-Stat'!C174,LEN('2025MasterFile-Stat'!C174)-FIND(" to ",'2025MasterFile-Stat'!C174)-3)</f>
        <v>Martin St</v>
      </c>
      <c r="F180" s="44" t="str">
        <f>'2025MasterFile-Stat'!G174</f>
        <v>2LD</v>
      </c>
      <c r="G180" s="44"/>
      <c r="H180" s="44" t="str">
        <f>'2025MasterFile-Stat'!H174</f>
        <v>E</v>
      </c>
      <c r="I180" s="44" t="str">
        <f>'2025MasterFile-Stat'!A174</f>
        <v>Min Coll</v>
      </c>
      <c r="J180" s="44"/>
      <c r="K180" s="44"/>
      <c r="L180" s="26">
        <f>IF(Cap!H174="A",Cap!O174,
 IF(Cap!H174="B",Cap!P174,
 IF(Cap!H174="C",Cap!Q174,
 IF(Cap!H174="D",Cap!R174,
 IF(Cap!H174="E",Cap!S174,"")))))</f>
        <v>16400</v>
      </c>
      <c r="M180" s="44"/>
      <c r="N180" s="44">
        <f>IF(Cap!H174="A",Cap!J174,
 IF(Cap!H174="B",Cap!K174,
 IF(Cap!H174="C",Cap!L174,
 IF(Cap!H174="D",Cap!M174,
 IF(Cap!H174="E",Cap!N174,"")))))</f>
        <v>840</v>
      </c>
      <c r="O180" s="44"/>
      <c r="P180" s="44"/>
      <c r="Q180" s="44"/>
      <c r="R180" s="44">
        <f>LOS!J174</f>
        <v>14883</v>
      </c>
      <c r="S180" s="45"/>
      <c r="T180" s="44" t="str">
        <f>LOS!K174</f>
        <v>D</v>
      </c>
      <c r="U180" s="44"/>
      <c r="V180" s="44"/>
      <c r="W180" s="44"/>
      <c r="X180" s="44"/>
      <c r="Y180" s="44"/>
      <c r="Z180" s="44"/>
      <c r="AA180" s="44">
        <f>LOS!L174</f>
        <v>461</v>
      </c>
      <c r="AB180" s="44">
        <f>LOS!M174</f>
        <v>697</v>
      </c>
      <c r="AC180" s="45"/>
      <c r="AD180" s="44" t="str">
        <f>LOS!Q174</f>
        <v>D</v>
      </c>
      <c r="AE180" s="44">
        <f>LOS!R174</f>
        <v>746</v>
      </c>
      <c r="AF180" s="44">
        <f>LOS!S174</f>
        <v>435</v>
      </c>
      <c r="AG180" s="45"/>
      <c r="AH180" s="44" t="str">
        <f>LOS!W174</f>
        <v>D</v>
      </c>
      <c r="AI180" s="82">
        <f>(Trend!L174)</f>
        <v>0.70684673788906405</v>
      </c>
      <c r="AJ180" s="78">
        <f>Cap!K174</f>
        <v>0</v>
      </c>
      <c r="AK180" s="78">
        <f>Cap!L174</f>
        <v>390</v>
      </c>
      <c r="AL180" s="78">
        <f>Cap!M174</f>
        <v>790</v>
      </c>
      <c r="AM180" s="78">
        <f>Cap!N174</f>
        <v>840</v>
      </c>
    </row>
    <row r="181" spans="2:39" x14ac:dyDescent="0.25">
      <c r="B181" s="48">
        <f>'2025MasterFile-Stat'!F175</f>
        <v>533</v>
      </c>
      <c r="C181" s="47" t="str">
        <f>'2025MasterFile-Stat'!B175</f>
        <v>Vick Rd</v>
      </c>
      <c r="D181" s="47" t="str">
        <f>LEFT('2025MasterFile-Stat'!C175,FIND(" to ",'2025MasterFile-Stat'!C175)-1)</f>
        <v>Lake Francis Dr</v>
      </c>
      <c r="E181" s="47" t="str">
        <f>RIGHT('2025MasterFile-Stat'!C175,LEN('2025MasterFile-Stat'!C175)-FIND(" to ",'2025MasterFile-Stat'!C175)-3)</f>
        <v>Lester Rd</v>
      </c>
      <c r="F181" s="44" t="str">
        <f>'2025MasterFile-Stat'!G175</f>
        <v>2L</v>
      </c>
      <c r="G181" s="44"/>
      <c r="H181" s="44" t="str">
        <f>'2025MasterFile-Stat'!H175</f>
        <v>E</v>
      </c>
      <c r="I181" s="44" t="str">
        <f>'2025MasterFile-Stat'!A175</f>
        <v>Min Coll</v>
      </c>
      <c r="J181" s="44"/>
      <c r="K181" s="44"/>
      <c r="L181" s="26">
        <f>IF(Cap!H175="A",Cap!O175,
 IF(Cap!H175="B",Cap!P175,
 IF(Cap!H175="C",Cap!Q175,
 IF(Cap!H175="D",Cap!R175,
 IF(Cap!H175="E",Cap!S175,"")))))</f>
        <v>14000</v>
      </c>
      <c r="M181" s="44"/>
      <c r="N181" s="44">
        <f>IF(Cap!H175="A",Cap!J175,
 IF(Cap!H175="B",Cap!K175,
 IF(Cap!H175="C",Cap!L175,
 IF(Cap!H175="D",Cap!M175,
 IF(Cap!H175="E",Cap!N175,"")))))</f>
        <v>720</v>
      </c>
      <c r="O181" s="44"/>
      <c r="P181" s="44"/>
      <c r="Q181" s="44"/>
      <c r="R181" s="44">
        <f>LOS!J175</f>
        <v>8294</v>
      </c>
      <c r="S181" s="45"/>
      <c r="T181" s="44" t="str">
        <f>LOS!K175</f>
        <v>D</v>
      </c>
      <c r="U181" s="44"/>
      <c r="V181" s="44"/>
      <c r="W181" s="44"/>
      <c r="X181" s="44"/>
      <c r="Y181" s="44"/>
      <c r="Z181" s="44"/>
      <c r="AA181" s="44">
        <f>LOS!L175</f>
        <v>264</v>
      </c>
      <c r="AB181" s="44">
        <f>LOS!M175</f>
        <v>456</v>
      </c>
      <c r="AC181" s="45"/>
      <c r="AD181" s="44" t="str">
        <f>LOS!Q175</f>
        <v>D</v>
      </c>
      <c r="AE181" s="44">
        <f>LOS!R175</f>
        <v>432</v>
      </c>
      <c r="AF181" s="44">
        <f>LOS!S175</f>
        <v>388</v>
      </c>
      <c r="AG181" s="45"/>
      <c r="AH181" s="44" t="str">
        <f>LOS!W175</f>
        <v>D</v>
      </c>
      <c r="AI181" s="82">
        <f>(Trend!L175)</f>
        <v>0.319508078128939</v>
      </c>
      <c r="AJ181" s="78">
        <f>Cap!K175</f>
        <v>0</v>
      </c>
      <c r="AK181" s="78">
        <f>Cap!L175</f>
        <v>330</v>
      </c>
      <c r="AL181" s="78">
        <f>Cap!M175</f>
        <v>680</v>
      </c>
      <c r="AM181" s="78">
        <f>Cap!N175</f>
        <v>720</v>
      </c>
    </row>
    <row r="182" spans="2:39" x14ac:dyDescent="0.25">
      <c r="B182" s="48">
        <f>'2025MasterFile-Stat'!F176</f>
        <v>525</v>
      </c>
      <c r="C182" s="47" t="str">
        <f>'2025MasterFile-Stat'!B176</f>
        <v>Vick Rd</v>
      </c>
      <c r="D182" s="47" t="str">
        <f>LEFT('2025MasterFile-Stat'!C176,FIND(" to ",'2025MasterFile-Stat'!C176)-1)</f>
        <v>US 441</v>
      </c>
      <c r="E182" s="47" t="str">
        <f>RIGHT('2025MasterFile-Stat'!C176,LEN('2025MasterFile-Stat'!C176)-FIND(" to ",'2025MasterFile-Stat'!C176)-3)</f>
        <v>Old Dixie Hwy</v>
      </c>
      <c r="F182" s="44" t="str">
        <f>'2025MasterFile-Stat'!G176</f>
        <v>4LD</v>
      </c>
      <c r="G182" s="44"/>
      <c r="H182" s="44" t="str">
        <f>'2025MasterFile-Stat'!H176</f>
        <v>E</v>
      </c>
      <c r="I182" s="44" t="str">
        <f>'2025MasterFile-Stat'!A176</f>
        <v>Min Coll</v>
      </c>
      <c r="J182" s="44"/>
      <c r="K182" s="44"/>
      <c r="L182" s="26">
        <f>IF(Cap!H176="A",Cap!O176,
 IF(Cap!H176="B",Cap!P176,
 IF(Cap!H176="C",Cap!Q176,
 IF(Cap!H176="D",Cap!R176,
 IF(Cap!H176="E",Cap!S176,"")))))</f>
        <v>33800</v>
      </c>
      <c r="M182" s="44"/>
      <c r="N182" s="44">
        <f>IF(Cap!H176="A",Cap!J176,
 IF(Cap!H176="B",Cap!K176,
 IF(Cap!H176="C",Cap!L176,
 IF(Cap!H176="D",Cap!M176,
 IF(Cap!H176="E",Cap!N176,"")))))</f>
        <v>1700</v>
      </c>
      <c r="O182" s="44"/>
      <c r="P182" s="44"/>
      <c r="Q182" s="44"/>
      <c r="R182" s="44">
        <f>LOS!J176</f>
        <v>16163</v>
      </c>
      <c r="S182" s="45"/>
      <c r="T182" s="44" t="str">
        <f>LOS!K176</f>
        <v>D</v>
      </c>
      <c r="U182" s="44"/>
      <c r="V182" s="44"/>
      <c r="W182" s="44"/>
      <c r="X182" s="44"/>
      <c r="Y182" s="44"/>
      <c r="Z182" s="44"/>
      <c r="AA182" s="44">
        <f>LOS!L176</f>
        <v>579</v>
      </c>
      <c r="AB182" s="44">
        <f>LOS!M176</f>
        <v>742</v>
      </c>
      <c r="AC182" s="45"/>
      <c r="AD182" s="44" t="str">
        <f>LOS!Q176</f>
        <v>D</v>
      </c>
      <c r="AE182" s="44">
        <f>LOS!R176</f>
        <v>760</v>
      </c>
      <c r="AF182" s="44">
        <f>LOS!S176</f>
        <v>553</v>
      </c>
      <c r="AG182" s="45"/>
      <c r="AH182" s="44" t="str">
        <f>LOS!W176</f>
        <v>D</v>
      </c>
      <c r="AI182" s="82">
        <f>(Trend!L176)</f>
        <v>2.43519148672944</v>
      </c>
      <c r="AJ182" s="78">
        <f>Cap!K176</f>
        <v>0</v>
      </c>
      <c r="AK182" s="78">
        <f>Cap!L176</f>
        <v>730</v>
      </c>
      <c r="AL182" s="78">
        <f>Cap!M176</f>
        <v>1630</v>
      </c>
      <c r="AM182" s="78">
        <f>Cap!N176</f>
        <v>1700</v>
      </c>
    </row>
    <row r="183" spans="2:39" x14ac:dyDescent="0.25">
      <c r="B183" s="48">
        <f>'2025MasterFile-Stat'!F177</f>
        <v>534</v>
      </c>
      <c r="C183" s="47" t="str">
        <f>'2025MasterFile-Stat'!B177</f>
        <v>Vick Road</v>
      </c>
      <c r="D183" s="47" t="str">
        <f>LEFT('2025MasterFile-Stat'!C177,FIND(" to ",'2025MasterFile-Stat'!C177)-1)</f>
        <v>Ponkan Road</v>
      </c>
      <c r="E183" s="47" t="str">
        <f>RIGHT('2025MasterFile-Stat'!C177,LEN('2025MasterFile-Stat'!C177)-FIND(" to ",'2025MasterFile-Stat'!C177)-3)</f>
        <v>Lester Road</v>
      </c>
      <c r="F183" s="44" t="str">
        <f>'2025MasterFile-Stat'!G177</f>
        <v>2L</v>
      </c>
      <c r="G183" s="44"/>
      <c r="H183" s="46" t="str">
        <f>'2025MasterFile-Stat'!H177</f>
        <v>E</v>
      </c>
      <c r="I183" s="44" t="str">
        <f>'2025MasterFile-Stat'!A177</f>
        <v>Min Coll</v>
      </c>
      <c r="J183" s="44"/>
      <c r="K183" s="44"/>
      <c r="L183" s="26">
        <f>IF(Cap!H177="A",Cap!O177,
 IF(Cap!H177="B",Cap!P177,
 IF(Cap!H177="C",Cap!Q177,
 IF(Cap!H177="D",Cap!R177,
 IF(Cap!H177="E",Cap!S177,"")))))</f>
        <v>14000</v>
      </c>
      <c r="M183" s="44"/>
      <c r="N183" s="44">
        <f>IF(Cap!H177="A",Cap!J177,
 IF(Cap!H177="B",Cap!K177,
 IF(Cap!H177="C",Cap!L177,
 IF(Cap!H177="D",Cap!M177,
 IF(Cap!H177="E",Cap!N177,"")))))</f>
        <v>720</v>
      </c>
      <c r="O183" s="44"/>
      <c r="P183" s="44"/>
      <c r="Q183" s="44"/>
      <c r="R183" s="44">
        <f>LOS!J177</f>
        <v>6498</v>
      </c>
      <c r="S183" s="45"/>
      <c r="T183" s="44" t="str">
        <f>LOS!K177</f>
        <v>C</v>
      </c>
      <c r="U183" s="44"/>
      <c r="V183" s="44"/>
      <c r="W183" s="44"/>
      <c r="X183" s="44"/>
      <c r="Y183" s="44"/>
      <c r="Z183" s="44"/>
      <c r="AA183" s="44">
        <f>LOS!L177</f>
        <v>283</v>
      </c>
      <c r="AB183" s="44">
        <f>LOS!M177</f>
        <v>372</v>
      </c>
      <c r="AC183" s="45"/>
      <c r="AD183" s="44" t="str">
        <f>LOS!Q177</f>
        <v>D</v>
      </c>
      <c r="AE183" s="44">
        <f>LOS!R177</f>
        <v>309</v>
      </c>
      <c r="AF183" s="44">
        <f>LOS!S177</f>
        <v>341</v>
      </c>
      <c r="AG183" s="45"/>
      <c r="AH183" s="44" t="str">
        <f>LOS!W177</f>
        <v>D</v>
      </c>
      <c r="AI183" s="82" t="str">
        <f>(Trend!L177)</f>
        <v>N/A</v>
      </c>
      <c r="AJ183" s="77">
        <f>Cap!K177</f>
        <v>0</v>
      </c>
      <c r="AK183" s="77">
        <f>Cap!L177</f>
        <v>330</v>
      </c>
      <c r="AL183" s="77">
        <f>Cap!M177</f>
        <v>680</v>
      </c>
      <c r="AM183" s="77">
        <f>Cap!N177</f>
        <v>720</v>
      </c>
    </row>
    <row r="184" spans="2:39" x14ac:dyDescent="0.25">
      <c r="B184" s="48">
        <f>'2025MasterFile-Stat'!F178</f>
        <v>627</v>
      </c>
      <c r="C184" s="47" t="str">
        <f>'2025MasterFile-Stat'!B178</f>
        <v>Votaw Rd</v>
      </c>
      <c r="D184" s="47" t="str">
        <f>LEFT('2025MasterFile-Stat'!C178,FIND(" to ",'2025MasterFile-Stat'!C178)-1)</f>
        <v>Thompson Rd</v>
      </c>
      <c r="E184" s="47" t="str">
        <f>RIGHT('2025MasterFile-Stat'!C178,LEN('2025MasterFile-Stat'!C178)-FIND(" to ",'2025MasterFile-Stat'!C178)-3)</f>
        <v>Wekiva Springs Rd</v>
      </c>
      <c r="F184" s="44" t="str">
        <f>'2025MasterFile-Stat'!G178</f>
        <v>2L</v>
      </c>
      <c r="G184" s="44"/>
      <c r="H184" s="46" t="str">
        <f>'2025MasterFile-Stat'!H178</f>
        <v>E</v>
      </c>
      <c r="I184" s="44" t="str">
        <f>'2025MasterFile-Stat'!A178</f>
        <v>Min Coll</v>
      </c>
      <c r="J184" s="44"/>
      <c r="K184" s="44"/>
      <c r="L184" s="26">
        <f>IF(Cap!H178="A",Cap!O178,
 IF(Cap!H178="B",Cap!P178,
 IF(Cap!H178="C",Cap!Q178,
 IF(Cap!H178="D",Cap!R178,
 IF(Cap!H178="E",Cap!S178,"")))))</f>
        <v>15900</v>
      </c>
      <c r="M184" s="44"/>
      <c r="N184" s="44">
        <f>IF(Cap!H178="A",Cap!J178,
 IF(Cap!H178="B",Cap!K178,
 IF(Cap!H178="C",Cap!L178,
 IF(Cap!H178="D",Cap!M178,
 IF(Cap!H178="E",Cap!N178,"")))))</f>
        <v>790</v>
      </c>
      <c r="O184" s="44"/>
      <c r="P184" s="44"/>
      <c r="Q184" s="44"/>
      <c r="R184" s="44">
        <f>LOS!J178</f>
        <v>8699</v>
      </c>
      <c r="S184" s="45"/>
      <c r="T184" s="44" t="str">
        <f>LOS!K178</f>
        <v>C</v>
      </c>
      <c r="U184" s="44"/>
      <c r="V184" s="44"/>
      <c r="W184" s="44"/>
      <c r="X184" s="44"/>
      <c r="Y184" s="44"/>
      <c r="Z184" s="44"/>
      <c r="AA184" s="44">
        <f>LOS!L178</f>
        <v>413</v>
      </c>
      <c r="AB184" s="44">
        <f>LOS!M178</f>
        <v>224</v>
      </c>
      <c r="AC184" s="45"/>
      <c r="AD184" s="44" t="str">
        <f>LOS!Q178</f>
        <v>C</v>
      </c>
      <c r="AE184" s="44">
        <f>LOS!R178</f>
        <v>306</v>
      </c>
      <c r="AF184" s="44">
        <f>LOS!S178</f>
        <v>480</v>
      </c>
      <c r="AG184" s="45"/>
      <c r="AH184" s="44" t="str">
        <f>LOS!W178</f>
        <v>C</v>
      </c>
      <c r="AI184" s="82">
        <f>(Trend!L178)</f>
        <v>-1.11736981262247</v>
      </c>
      <c r="AJ184" s="77">
        <f>Cap!K178</f>
        <v>0</v>
      </c>
      <c r="AK184" s="77">
        <f>Cap!L178</f>
        <v>750</v>
      </c>
      <c r="AL184" s="77">
        <f>Cap!M178</f>
        <v>790</v>
      </c>
      <c r="AM184" s="77">
        <f>Cap!N178</f>
        <v>790</v>
      </c>
    </row>
    <row r="185" spans="2:39" x14ac:dyDescent="0.25">
      <c r="B185" s="48">
        <f>'2025MasterFile-Stat'!F179</f>
        <v>626</v>
      </c>
      <c r="C185" s="47" t="str">
        <f>'2025MasterFile-Stat'!B179</f>
        <v>Votaw Rd</v>
      </c>
      <c r="D185" s="47" t="str">
        <f>LEFT('2025MasterFile-Stat'!C179,FIND(" to ",'2025MasterFile-Stat'!C179)-1)</f>
        <v>Christiana Ave</v>
      </c>
      <c r="E185" s="47" t="str">
        <f>RIGHT('2025MasterFile-Stat'!C179,LEN('2025MasterFile-Stat'!C179)-FIND(" to ",'2025MasterFile-Stat'!C179)-3)</f>
        <v>Thompson Rd</v>
      </c>
      <c r="F185" s="44" t="str">
        <f>'2025MasterFile-Stat'!G179</f>
        <v>2L</v>
      </c>
      <c r="G185" s="44"/>
      <c r="H185" s="46" t="str">
        <f>'2025MasterFile-Stat'!H179</f>
        <v>E</v>
      </c>
      <c r="I185" s="44" t="str">
        <f>'2025MasterFile-Stat'!A179</f>
        <v>Min Coll</v>
      </c>
      <c r="J185" s="44"/>
      <c r="K185" s="44"/>
      <c r="L185" s="26">
        <f>IF(Cap!H179="A",Cap!O179,
 IF(Cap!H179="B",Cap!P179,
 IF(Cap!H179="C",Cap!Q179,
 IF(Cap!H179="D",Cap!R179,
 IF(Cap!H179="E",Cap!S179,"")))))</f>
        <v>15900</v>
      </c>
      <c r="M185" s="44"/>
      <c r="N185" s="44">
        <f>IF(Cap!H179="A",Cap!J179,
 IF(Cap!H179="B",Cap!K179,
 IF(Cap!H179="C",Cap!L179,
 IF(Cap!H179="D",Cap!M179,
 IF(Cap!H179="E",Cap!N179,"")))))</f>
        <v>790</v>
      </c>
      <c r="O185" s="44"/>
      <c r="P185" s="44"/>
      <c r="Q185" s="44"/>
      <c r="R185" s="44">
        <f>LOS!J179</f>
        <v>7770</v>
      </c>
      <c r="S185" s="45"/>
      <c r="T185" s="44" t="str">
        <f>LOS!K179</f>
        <v>C</v>
      </c>
      <c r="U185" s="44"/>
      <c r="V185" s="44"/>
      <c r="W185" s="44"/>
      <c r="X185" s="44"/>
      <c r="Y185" s="44"/>
      <c r="Z185" s="44"/>
      <c r="AA185" s="44">
        <f>LOS!L179</f>
        <v>260</v>
      </c>
      <c r="AB185" s="44">
        <f>LOS!M179</f>
        <v>203</v>
      </c>
      <c r="AC185" s="45"/>
      <c r="AD185" s="44" t="str">
        <f>LOS!Q179</f>
        <v>C</v>
      </c>
      <c r="AE185" s="44">
        <f>LOS!R179</f>
        <v>357</v>
      </c>
      <c r="AF185" s="44">
        <f>LOS!S179</f>
        <v>445</v>
      </c>
      <c r="AG185" s="45"/>
      <c r="AH185" s="44" t="str">
        <f>LOS!W179</f>
        <v>C</v>
      </c>
      <c r="AI185" s="82">
        <f>(Trend!L179)</f>
        <v>-0.15057915057924301</v>
      </c>
      <c r="AJ185" s="77">
        <f>Cap!K179</f>
        <v>0</v>
      </c>
      <c r="AK185" s="77">
        <f>Cap!L179</f>
        <v>750</v>
      </c>
      <c r="AL185" s="77">
        <f>Cap!M179</f>
        <v>790</v>
      </c>
      <c r="AM185" s="77">
        <f>Cap!N179</f>
        <v>790</v>
      </c>
    </row>
    <row r="186" spans="2:39" x14ac:dyDescent="0.25">
      <c r="B186" s="48">
        <f>'2025MasterFile-Stat'!F180</f>
        <v>625</v>
      </c>
      <c r="C186" s="47" t="str">
        <f>'2025MasterFile-Stat'!B180</f>
        <v>Votaw Rd</v>
      </c>
      <c r="D186" s="47" t="str">
        <f>LEFT('2025MasterFile-Stat'!C180,FIND(" to ",'2025MasterFile-Stat'!C180)-1)</f>
        <v>Park Ave</v>
      </c>
      <c r="E186" s="47" t="str">
        <f>RIGHT('2025MasterFile-Stat'!C180,LEN('2025MasterFile-Stat'!C180)-FIND(" to ",'2025MasterFile-Stat'!C180)-3)</f>
        <v>Christiana Ave</v>
      </c>
      <c r="F186" s="44" t="str">
        <f>'2025MasterFile-Stat'!G180</f>
        <v>2L</v>
      </c>
      <c r="G186" s="44"/>
      <c r="H186" s="46" t="str">
        <f>'2025MasterFile-Stat'!H180</f>
        <v>E</v>
      </c>
      <c r="I186" s="44" t="str">
        <f>'2025MasterFile-Stat'!A180</f>
        <v>Min Coll</v>
      </c>
      <c r="J186" s="44"/>
      <c r="K186" s="44"/>
      <c r="L186" s="26">
        <f>IF(Cap!H180="A",Cap!O180,
 IF(Cap!H180="B",Cap!P180,
 IF(Cap!H180="C",Cap!Q180,
 IF(Cap!H180="D",Cap!R180,
 IF(Cap!H180="E",Cap!S180,"")))))</f>
        <v>15900</v>
      </c>
      <c r="M186" s="44"/>
      <c r="N186" s="44">
        <f>IF(Cap!H180="A",Cap!J180,
 IF(Cap!H180="B",Cap!K180,
 IF(Cap!H180="C",Cap!L180,
 IF(Cap!H180="D",Cap!M180,
 IF(Cap!H180="E",Cap!N180,"")))))</f>
        <v>790</v>
      </c>
      <c r="O186" s="44"/>
      <c r="P186" s="44"/>
      <c r="Q186" s="44"/>
      <c r="R186" s="44">
        <f>LOS!J180</f>
        <v>7721</v>
      </c>
      <c r="S186" s="45"/>
      <c r="T186" s="44" t="str">
        <f>LOS!K180</f>
        <v>C</v>
      </c>
      <c r="U186" s="44"/>
      <c r="V186" s="44"/>
      <c r="W186" s="44"/>
      <c r="X186" s="44"/>
      <c r="Y186" s="44"/>
      <c r="Z186" s="44"/>
      <c r="AA186" s="44">
        <f>LOS!L180</f>
        <v>224</v>
      </c>
      <c r="AB186" s="44">
        <f>LOS!M180</f>
        <v>289</v>
      </c>
      <c r="AC186" s="45"/>
      <c r="AD186" s="44" t="str">
        <f>LOS!Q180</f>
        <v>C</v>
      </c>
      <c r="AE186" s="44">
        <f>LOS!R180</f>
        <v>340</v>
      </c>
      <c r="AF186" s="44">
        <f>LOS!S180</f>
        <v>438</v>
      </c>
      <c r="AG186" s="45"/>
      <c r="AH186" s="44" t="str">
        <f>LOS!W180</f>
        <v>C</v>
      </c>
      <c r="AI186" s="82">
        <f>(Trend!L180)</f>
        <v>-0.13858308509263401</v>
      </c>
      <c r="AJ186" s="77">
        <f>Cap!K180</f>
        <v>0</v>
      </c>
      <c r="AK186" s="77">
        <f>Cap!L180</f>
        <v>750</v>
      </c>
      <c r="AL186" s="77">
        <f>Cap!M180</f>
        <v>790</v>
      </c>
      <c r="AM186" s="77">
        <f>Cap!N180</f>
        <v>790</v>
      </c>
    </row>
    <row r="187" spans="2:39" x14ac:dyDescent="0.25">
      <c r="B187" s="48">
        <f>'2025MasterFile-Stat'!F181</f>
        <v>606</v>
      </c>
      <c r="C187" s="47" t="str">
        <f>'2025MasterFile-Stat'!B181</f>
        <v>Wekiwa Springs Rd/Piedmont-Wekiwa Rd/Hiawassee Rd</v>
      </c>
      <c r="D187" s="47" t="str">
        <f>LEFT('2025MasterFile-Stat'!C181,FIND(" to ",'2025MasterFile-Stat'!C181)-1)</f>
        <v>Piedmont Lakes Blvd</v>
      </c>
      <c r="E187" s="47" t="str">
        <f>RIGHT('2025MasterFile-Stat'!C181,LEN('2025MasterFile-Stat'!C181)-FIND(" to ",'2025MasterFile-Stat'!C181)-3)</f>
        <v>US 441</v>
      </c>
      <c r="F187" s="44" t="str">
        <f>'2025MasterFile-Stat'!G181</f>
        <v>5L</v>
      </c>
      <c r="G187" s="44"/>
      <c r="H187" s="46" t="str">
        <f>'2025MasterFile-Stat'!H181</f>
        <v>E</v>
      </c>
      <c r="I187" s="44" t="str">
        <f>'2025MasterFile-Stat'!A181</f>
        <v>Min Art</v>
      </c>
      <c r="J187" s="44"/>
      <c r="K187" s="44"/>
      <c r="L187" s="26">
        <f>IF(Cap!H181="A",Cap!O181,
 IF(Cap!H181="B",Cap!P181,
 IF(Cap!H181="C",Cap!Q181,
 IF(Cap!H181="D",Cap!R181,
 IF(Cap!H181="E",Cap!S181,"")))))</f>
        <v>39800</v>
      </c>
      <c r="M187" s="44"/>
      <c r="N187" s="44">
        <f>IF(Cap!H181="A",Cap!J181,
 IF(Cap!H181="B",Cap!K181,
 IF(Cap!H181="C",Cap!L181,
 IF(Cap!H181="D",Cap!M181,
 IF(Cap!H181="E",Cap!N181,"")))))</f>
        <v>2000</v>
      </c>
      <c r="O187" s="44"/>
      <c r="P187" s="44"/>
      <c r="Q187" s="44"/>
      <c r="R187" s="44">
        <f>LOS!J181</f>
        <v>32915</v>
      </c>
      <c r="S187" s="45"/>
      <c r="T187" s="44" t="str">
        <f>LOS!K181</f>
        <v>C</v>
      </c>
      <c r="U187" s="44"/>
      <c r="V187" s="44"/>
      <c r="W187" s="44"/>
      <c r="X187" s="44"/>
      <c r="Y187" s="44"/>
      <c r="Z187" s="44"/>
      <c r="AA187" s="44">
        <f>LOS!L181</f>
        <v>893</v>
      </c>
      <c r="AB187" s="44">
        <f>LOS!M181</f>
        <v>1049</v>
      </c>
      <c r="AC187" s="45"/>
      <c r="AD187" s="44" t="str">
        <f>LOS!Q181</f>
        <v>C</v>
      </c>
      <c r="AE187" s="44">
        <f>LOS!R181</f>
        <v>1858</v>
      </c>
      <c r="AF187" s="44">
        <f>LOS!S181</f>
        <v>1024</v>
      </c>
      <c r="AG187" s="45"/>
      <c r="AH187" s="44" t="str">
        <f>LOS!W181</f>
        <v>C</v>
      </c>
      <c r="AI187" s="82">
        <f>(Trend!L181)</f>
        <v>4.0325079750883699</v>
      </c>
      <c r="AJ187" s="77">
        <f>Cap!K181</f>
        <v>0</v>
      </c>
      <c r="AK187" s="77">
        <f>Cap!L181</f>
        <v>1910</v>
      </c>
      <c r="AL187" s="77">
        <f>Cap!M181</f>
        <v>2000</v>
      </c>
      <c r="AM187" s="77">
        <f>Cap!N181</f>
        <v>2000</v>
      </c>
    </row>
    <row r="188" spans="2:39" x14ac:dyDescent="0.25">
      <c r="B188" s="48" t="str">
        <f>'2025MasterFile-Stat'!F182</f>
        <v>(799, 798)*</v>
      </c>
      <c r="C188" s="47" t="str">
        <f>'2025MasterFile-Stat'!B182</f>
        <v>Wekiwa Springs Rd/Piedmont-Wekiwa Rd/Hiawassee Rd</v>
      </c>
      <c r="D188" s="47" t="str">
        <f>LEFT('2025MasterFile-Stat'!C182,FIND(" to ",'2025MasterFile-Stat'!C182)-1)</f>
        <v>Welch Rd</v>
      </c>
      <c r="E188" s="47" t="str">
        <f>RIGHT('2025MasterFile-Stat'!C182,LEN('2025MasterFile-Stat'!C182)-FIND(" to ",'2025MasterFile-Stat'!C182)-3)</f>
        <v>Votaw Rd</v>
      </c>
      <c r="F188" s="44" t="str">
        <f>'2025MasterFile-Stat'!G182</f>
        <v>3L</v>
      </c>
      <c r="G188" s="44"/>
      <c r="H188" s="46" t="str">
        <f>'2025MasterFile-Stat'!H182</f>
        <v>E</v>
      </c>
      <c r="I188" s="44" t="str">
        <f>'2025MasterFile-Stat'!A182</f>
        <v>Min Art</v>
      </c>
      <c r="J188" s="44"/>
      <c r="K188" s="44"/>
      <c r="L188" s="26">
        <f>IF(Cap!H182="A",Cap!O182,
 IF(Cap!H182="B",Cap!P182,
 IF(Cap!H182="C",Cap!Q182,
 IF(Cap!H182="D",Cap!R182,
 IF(Cap!H182="E",Cap!S182,"")))))</f>
        <v>34200</v>
      </c>
      <c r="M188" s="44"/>
      <c r="N188" s="44">
        <f>IF(Cap!H182="A",Cap!J182,
 IF(Cap!H182="B",Cap!K182,
 IF(Cap!H182="C",Cap!L182,
 IF(Cap!H182="D",Cap!M182,
 IF(Cap!H182="E",Cap!N182,"")))))</f>
        <v>1690</v>
      </c>
      <c r="O188" s="44"/>
      <c r="P188" s="44"/>
      <c r="Q188" s="44"/>
      <c r="R188" s="44">
        <f>LOS!J182</f>
        <v>25074</v>
      </c>
      <c r="S188" s="45"/>
      <c r="T188" s="44" t="str">
        <f>LOS!K182</f>
        <v>D</v>
      </c>
      <c r="U188" s="44"/>
      <c r="V188" s="44"/>
      <c r="W188" s="44"/>
      <c r="X188" s="44"/>
      <c r="Y188" s="44"/>
      <c r="Z188" s="44"/>
      <c r="AA188" s="44">
        <f>LOS!L182</f>
        <v>939</v>
      </c>
      <c r="AB188" s="44">
        <f>LOS!M182</f>
        <v>1266</v>
      </c>
      <c r="AC188" s="45"/>
      <c r="AD188" s="44" t="str">
        <f>LOS!Q182</f>
        <v>E</v>
      </c>
      <c r="AE188" s="44">
        <f>LOS!R182</f>
        <v>1199</v>
      </c>
      <c r="AF188" s="44">
        <f>LOS!S182</f>
        <v>1128</v>
      </c>
      <c r="AG188" s="45"/>
      <c r="AH188" s="44" t="str">
        <f>LOS!W182</f>
        <v>D</v>
      </c>
      <c r="AI188" s="82">
        <f>(Trend!L182)</f>
        <v>3.4520898824088802</v>
      </c>
      <c r="AJ188" s="77">
        <f>Cap!K182</f>
        <v>610</v>
      </c>
      <c r="AK188" s="77">
        <f>Cap!L182</f>
        <v>930</v>
      </c>
      <c r="AL188" s="77">
        <f>Cap!M182</f>
        <v>1260</v>
      </c>
      <c r="AM188" s="77">
        <f>Cap!N182</f>
        <v>1690</v>
      </c>
    </row>
    <row r="189" spans="2:39" x14ac:dyDescent="0.25">
      <c r="B189" s="48" t="str">
        <f>'2025MasterFile-Stat'!F183</f>
        <v>25*</v>
      </c>
      <c r="C189" s="47" t="str">
        <f>'2025MasterFile-Stat'!B183</f>
        <v>Wekiwa Springs Rd/Piedmont-Wekiwa Rd/Hiawassee Rd</v>
      </c>
      <c r="D189" s="47" t="str">
        <f>LEFT('2025MasterFile-Stat'!C183,FIND(" to ",'2025MasterFile-Stat'!C183)-1)</f>
        <v>Votaw Rd</v>
      </c>
      <c r="E189" s="47" t="str">
        <f>RIGHT('2025MasterFile-Stat'!C183,LEN('2025MasterFile-Stat'!C183)-FIND(" to ",'2025MasterFile-Stat'!C183)-3)</f>
        <v>SR 436</v>
      </c>
      <c r="F189" s="44" t="str">
        <f>'2025MasterFile-Stat'!G183</f>
        <v>5L</v>
      </c>
      <c r="G189" s="44"/>
      <c r="H189" s="46" t="str">
        <f>'2025MasterFile-Stat'!H183</f>
        <v>E</v>
      </c>
      <c r="I189" s="44" t="str">
        <f>'2025MasterFile-Stat'!A183</f>
        <v>Min Art</v>
      </c>
      <c r="J189" s="44"/>
      <c r="K189" s="44"/>
      <c r="L189" s="26">
        <f>IF(Cap!H183="A",Cap!O183,
 IF(Cap!H183="B",Cap!P183,
 IF(Cap!H183="C",Cap!Q183,
 IF(Cap!H183="D",Cap!R183,
 IF(Cap!H183="E",Cap!S183,"")))))</f>
        <v>39800</v>
      </c>
      <c r="M189" s="44"/>
      <c r="N189" s="44">
        <f>IF(Cap!H183="A",Cap!J183,
 IF(Cap!H183="B",Cap!K183,
 IF(Cap!H183="C",Cap!L183,
 IF(Cap!H183="D",Cap!M183,
 IF(Cap!H183="E",Cap!N183,"")))))</f>
        <v>2000</v>
      </c>
      <c r="O189" s="44"/>
      <c r="P189" s="44"/>
      <c r="Q189" s="44"/>
      <c r="R189" s="44">
        <f>LOS!J183</f>
        <v>25677</v>
      </c>
      <c r="S189" s="45"/>
      <c r="T189" s="44" t="str">
        <f>LOS!K183</f>
        <v>C</v>
      </c>
      <c r="U189" s="44"/>
      <c r="V189" s="44"/>
      <c r="W189" s="44"/>
      <c r="X189" s="44"/>
      <c r="Y189" s="44"/>
      <c r="Z189" s="44"/>
      <c r="AA189" s="44">
        <f>LOS!L183</f>
        <v>770</v>
      </c>
      <c r="AB189" s="44">
        <f>LOS!M183</f>
        <v>1335</v>
      </c>
      <c r="AC189" s="45"/>
      <c r="AD189" s="44" t="str">
        <f>LOS!Q183</f>
        <v>C</v>
      </c>
      <c r="AE189" s="44">
        <f>LOS!R183</f>
        <v>1125</v>
      </c>
      <c r="AF189" s="44">
        <f>LOS!S183</f>
        <v>1018</v>
      </c>
      <c r="AG189" s="45"/>
      <c r="AH189" s="44" t="str">
        <f>LOS!W183</f>
        <v>C</v>
      </c>
      <c r="AI189" s="82">
        <f>(Trend!L183)</f>
        <v>2.9063611220865</v>
      </c>
      <c r="AJ189" s="77">
        <f>Cap!K183</f>
        <v>0</v>
      </c>
      <c r="AK189" s="77">
        <f>Cap!L183</f>
        <v>1910</v>
      </c>
      <c r="AL189" s="77">
        <f>Cap!M183</f>
        <v>2000</v>
      </c>
      <c r="AM189" s="77">
        <f>Cap!N183</f>
        <v>2000</v>
      </c>
    </row>
    <row r="190" spans="2:39" x14ac:dyDescent="0.25">
      <c r="B190" s="48" t="str">
        <f>'2025MasterFile-Stat'!F184</f>
        <v>330*</v>
      </c>
      <c r="C190" s="47" t="str">
        <f>'2025MasterFile-Stat'!B184</f>
        <v>Wekiwa Springs Rd/Piedmont-Wekiwa Rd/Hiawassee Rd</v>
      </c>
      <c r="D190" s="47" t="str">
        <f>LEFT('2025MasterFile-Stat'!C184,FIND(" to ",'2025MasterFile-Stat'!C184)-1)</f>
        <v>SR 436</v>
      </c>
      <c r="E190" s="47" t="str">
        <f>RIGHT('2025MasterFile-Stat'!C184,LEN('2025MasterFile-Stat'!C184)-FIND(" to ",'2025MasterFile-Stat'!C184)-3)</f>
        <v>Piedmont Lakes Blvd</v>
      </c>
      <c r="F190" s="44" t="str">
        <f>'2025MasterFile-Stat'!G184</f>
        <v>5L</v>
      </c>
      <c r="G190" s="44"/>
      <c r="H190" s="46" t="str">
        <f>'2025MasterFile-Stat'!H184</f>
        <v>E</v>
      </c>
      <c r="I190" s="44" t="str">
        <f>'2025MasterFile-Stat'!A184</f>
        <v>Min Art</v>
      </c>
      <c r="J190" s="44"/>
      <c r="K190" s="44"/>
      <c r="L190" s="26">
        <f>IF(Cap!H184="A",Cap!O184,
 IF(Cap!H184="B",Cap!P184,
 IF(Cap!H184="C",Cap!Q184,
 IF(Cap!H184="D",Cap!R184,
 IF(Cap!H184="E",Cap!S184,"")))))</f>
        <v>39800</v>
      </c>
      <c r="M190" s="44"/>
      <c r="N190" s="44">
        <f>IF(Cap!H184="A",Cap!J184,
 IF(Cap!H184="B",Cap!K184,
 IF(Cap!H184="C",Cap!L184,
 IF(Cap!H184="D",Cap!M184,
 IF(Cap!H184="E",Cap!N184,"")))))</f>
        <v>2000</v>
      </c>
      <c r="O190" s="44"/>
      <c r="P190" s="44"/>
      <c r="Q190" s="44"/>
      <c r="R190" s="44">
        <f>LOS!J184</f>
        <v>31540</v>
      </c>
      <c r="S190" s="45"/>
      <c r="T190" s="44" t="str">
        <f>LOS!K184</f>
        <v>C</v>
      </c>
      <c r="U190" s="44"/>
      <c r="V190" s="44"/>
      <c r="W190" s="44"/>
      <c r="X190" s="44"/>
      <c r="Y190" s="44"/>
      <c r="Z190" s="44"/>
      <c r="AA190" s="44">
        <f>LOS!L184</f>
        <v>1000</v>
      </c>
      <c r="AB190" s="44">
        <f>LOS!M184</f>
        <v>1000</v>
      </c>
      <c r="AC190" s="45"/>
      <c r="AD190" s="44" t="str">
        <f>LOS!Q184</f>
        <v>C</v>
      </c>
      <c r="AE190" s="44">
        <f>LOS!R184</f>
        <v>1532</v>
      </c>
      <c r="AF190" s="44">
        <f>LOS!S184</f>
        <v>1187</v>
      </c>
      <c r="AG190" s="45"/>
      <c r="AH190" s="44" t="str">
        <f>LOS!W184</f>
        <v>C</v>
      </c>
      <c r="AI190" s="82">
        <f>(Trend!L184)</f>
        <v>0.43215952751374798</v>
      </c>
      <c r="AJ190" s="77">
        <f>Cap!K184</f>
        <v>0</v>
      </c>
      <c r="AK190" s="77">
        <f>Cap!L184</f>
        <v>1910</v>
      </c>
      <c r="AL190" s="77">
        <f>Cap!M184</f>
        <v>2000</v>
      </c>
      <c r="AM190" s="77">
        <f>Cap!N184</f>
        <v>2000</v>
      </c>
    </row>
    <row r="191" spans="2:39" x14ac:dyDescent="0.25">
      <c r="B191" s="48" t="str">
        <f>'2025MasterFile-Stat'!F185</f>
        <v>331*</v>
      </c>
      <c r="C191" s="47" t="str">
        <f>'2025MasterFile-Stat'!B185</f>
        <v>Wekiwa Springs Rd/Piedmont-Wekiwa Rd/Hiawassee Rd</v>
      </c>
      <c r="D191" s="47" t="str">
        <f>LEFT('2025MasterFile-Stat'!C185,FIND(" to ",'2025MasterFile-Stat'!C185)-1)</f>
        <v>US 441</v>
      </c>
      <c r="E191" s="47" t="str">
        <f>RIGHT('2025MasterFile-Stat'!C185,LEN('2025MasterFile-Stat'!C185)-FIND(" to ",'2025MasterFile-Stat'!C185)-3)</f>
        <v>CR 424 (Apopka Blvd)</v>
      </c>
      <c r="F191" s="44" t="str">
        <f>'2025MasterFile-Stat'!G185</f>
        <v>4LD</v>
      </c>
      <c r="G191" s="44"/>
      <c r="H191" s="46" t="str">
        <f>'2025MasterFile-Stat'!H185</f>
        <v>E</v>
      </c>
      <c r="I191" s="44" t="str">
        <f>'2025MasterFile-Stat'!A185</f>
        <v>Min Art</v>
      </c>
      <c r="J191" s="44"/>
      <c r="K191" s="44"/>
      <c r="L191" s="26">
        <f>IF(Cap!H185="A",Cap!O185,
 IF(Cap!H185="B",Cap!P185,
 IF(Cap!H185="C",Cap!Q185,
 IF(Cap!H185="D",Cap!R185,
 IF(Cap!H185="E",Cap!S185,"")))))</f>
        <v>39800</v>
      </c>
      <c r="M191" s="44"/>
      <c r="N191" s="44">
        <f>IF(Cap!H185="A",Cap!J185,
 IF(Cap!H185="B",Cap!K185,
 IF(Cap!H185="C",Cap!L185,
 IF(Cap!H185="D",Cap!M185,
 IF(Cap!H185="E",Cap!N185,"")))))</f>
        <v>2000</v>
      </c>
      <c r="O191" s="44"/>
      <c r="P191" s="44"/>
      <c r="Q191" s="44"/>
      <c r="R191" s="44">
        <f>LOS!J185</f>
        <v>25939</v>
      </c>
      <c r="S191" s="45"/>
      <c r="T191" s="44" t="str">
        <f>LOS!K185</f>
        <v>C</v>
      </c>
      <c r="U191" s="44"/>
      <c r="V191" s="44"/>
      <c r="W191" s="44"/>
      <c r="X191" s="44"/>
      <c r="Y191" s="44"/>
      <c r="Z191" s="44"/>
      <c r="AA191" s="44">
        <f>LOS!L185</f>
        <v>899</v>
      </c>
      <c r="AB191" s="44">
        <f>LOS!M185</f>
        <v>856</v>
      </c>
      <c r="AC191" s="45"/>
      <c r="AD191" s="44" t="str">
        <f>LOS!Q185</f>
        <v>C</v>
      </c>
      <c r="AE191" s="44">
        <f>LOS!R185</f>
        <v>1054</v>
      </c>
      <c r="AF191" s="44">
        <f>LOS!S185</f>
        <v>1073</v>
      </c>
      <c r="AG191" s="45"/>
      <c r="AH191" s="44" t="str">
        <f>LOS!W185</f>
        <v>C</v>
      </c>
      <c r="AI191" s="82">
        <f>(Trend!L185)</f>
        <v>3.1198756557227001</v>
      </c>
      <c r="AJ191" s="77">
        <f>Cap!K185</f>
        <v>0</v>
      </c>
      <c r="AK191" s="77">
        <f>Cap!L185</f>
        <v>1910</v>
      </c>
      <c r="AL191" s="77">
        <f>Cap!M185</f>
        <v>2000</v>
      </c>
      <c r="AM191" s="77">
        <f>Cap!N185</f>
        <v>2000</v>
      </c>
    </row>
    <row r="192" spans="2:39" x14ac:dyDescent="0.25">
      <c r="B192" s="48" t="str">
        <f>'2025MasterFile-Stat'!F186</f>
        <v>7115*</v>
      </c>
      <c r="C192" s="47" t="str">
        <f>'2025MasterFile-Stat'!B186</f>
        <v>Wekiwa Springs Rd/Piedmont-Wekiwa Rd/Hiawassee Rd</v>
      </c>
      <c r="D192" s="47" t="str">
        <f>LEFT('2025MasterFile-Stat'!C186,FIND(" to ",'2025MasterFile-Stat'!C186)-1)</f>
        <v>CR 424 (Apopka Blvd)</v>
      </c>
      <c r="E192" s="47" t="str">
        <f>RIGHT('2025MasterFile-Stat'!C186,LEN('2025MasterFile-Stat'!C186)-FIND(" to ",'2025MasterFile-Stat'!C186)-3)</f>
        <v>SR 414</v>
      </c>
      <c r="F192" s="44" t="str">
        <f>'2025MasterFile-Stat'!G186</f>
        <v>4LD</v>
      </c>
      <c r="G192" s="44"/>
      <c r="H192" s="46" t="str">
        <f>'2025MasterFile-Stat'!H186</f>
        <v>E</v>
      </c>
      <c r="I192" s="44" t="str">
        <f>'2025MasterFile-Stat'!A186</f>
        <v>Min Art</v>
      </c>
      <c r="J192" s="44"/>
      <c r="K192" s="44"/>
      <c r="L192" s="26">
        <f>IF(Cap!H186="A",Cap!O186,
 IF(Cap!H186="B",Cap!P186,
 IF(Cap!H186="C",Cap!Q186,
 IF(Cap!H186="D",Cap!R186,
 IF(Cap!H186="E",Cap!S186,"")))))</f>
        <v>39800</v>
      </c>
      <c r="M192" s="44"/>
      <c r="N192" s="44">
        <f>IF(Cap!H186="A",Cap!J186,
 IF(Cap!H186="B",Cap!K186,
 IF(Cap!H186="C",Cap!L186,
 IF(Cap!H186="D",Cap!M186,
 IF(Cap!H186="E",Cap!N186,"")))))</f>
        <v>2000</v>
      </c>
      <c r="O192" s="44"/>
      <c r="P192" s="44"/>
      <c r="Q192" s="44"/>
      <c r="R192" s="44">
        <f>LOS!J186</f>
        <v>22710</v>
      </c>
      <c r="S192" s="45"/>
      <c r="T192" s="44" t="str">
        <f>LOS!K186</f>
        <v>C</v>
      </c>
      <c r="U192" s="44"/>
      <c r="V192" s="44"/>
      <c r="W192" s="44"/>
      <c r="X192" s="44"/>
      <c r="Y192" s="44"/>
      <c r="Z192" s="44"/>
      <c r="AA192" s="44">
        <f>LOS!L186</f>
        <v>891</v>
      </c>
      <c r="AB192" s="44">
        <f>LOS!M186</f>
        <v>864</v>
      </c>
      <c r="AC192" s="45"/>
      <c r="AD192" s="44" t="str">
        <f>LOS!Q186</f>
        <v>C</v>
      </c>
      <c r="AE192" s="44">
        <f>LOS!R186</f>
        <v>957</v>
      </c>
      <c r="AF192" s="44">
        <f>LOS!S186</f>
        <v>941</v>
      </c>
      <c r="AG192" s="45"/>
      <c r="AH192" s="44" t="str">
        <f>LOS!W186</f>
        <v>C</v>
      </c>
      <c r="AI192" s="82">
        <f>(Trend!L186)</f>
        <v>2.1817239592336501</v>
      </c>
      <c r="AJ192" s="77">
        <f>Cap!K186</f>
        <v>0</v>
      </c>
      <c r="AK192" s="77">
        <f>Cap!L186</f>
        <v>1910</v>
      </c>
      <c r="AL192" s="77">
        <f>Cap!M186</f>
        <v>2000</v>
      </c>
      <c r="AM192" s="77">
        <f>Cap!N186</f>
        <v>2000</v>
      </c>
    </row>
    <row r="193" spans="2:39" x14ac:dyDescent="0.25">
      <c r="B193" s="48" t="str">
        <f>'2025MasterFile-Stat'!F187</f>
        <v>65*</v>
      </c>
      <c r="C193" s="47" t="str">
        <f>'2025MasterFile-Stat'!B187</f>
        <v>Wekiwa Springs Rd/Piedmont-Wekiwa Rd/Hiawassee Rd</v>
      </c>
      <c r="D193" s="47" t="str">
        <f>LEFT('2025MasterFile-Stat'!C187,FIND(" to ",'2025MasterFile-Stat'!C187)-1)</f>
        <v>Beggs Rd</v>
      </c>
      <c r="E193" s="47" t="str">
        <f>RIGHT('2025MasterFile-Stat'!C187,LEN('2025MasterFile-Stat'!C187)-FIND(" to ",'2025MasterFile-Stat'!C187)-3)</f>
        <v>Clarcona-Ocoee Rd</v>
      </c>
      <c r="F193" s="44" t="str">
        <f>'2025MasterFile-Stat'!G187</f>
        <v>4LD</v>
      </c>
      <c r="G193" s="44"/>
      <c r="H193" s="46" t="str">
        <f>'2025MasterFile-Stat'!H187</f>
        <v>E</v>
      </c>
      <c r="I193" s="44" t="str">
        <f>'2025MasterFile-Stat'!A187</f>
        <v>Min Art</v>
      </c>
      <c r="J193" s="44"/>
      <c r="K193" s="44"/>
      <c r="L193" s="26">
        <f>IF(Cap!H187="A",Cap!O187,
 IF(Cap!H187="B",Cap!P187,
 IF(Cap!H187="C",Cap!Q187,
 IF(Cap!H187="D",Cap!R187,
 IF(Cap!H187="E",Cap!S187,"")))))</f>
        <v>39800</v>
      </c>
      <c r="M193" s="44"/>
      <c r="N193" s="44">
        <f>IF(Cap!H187="A",Cap!J187,
 IF(Cap!H187="B",Cap!K187,
 IF(Cap!H187="C",Cap!L187,
 IF(Cap!H187="D",Cap!M187,
 IF(Cap!H187="E",Cap!N187,"")))))</f>
        <v>2000</v>
      </c>
      <c r="O193" s="44"/>
      <c r="P193" s="44"/>
      <c r="Q193" s="44"/>
      <c r="R193" s="44">
        <f>LOS!J187</f>
        <v>24831</v>
      </c>
      <c r="S193" s="45"/>
      <c r="T193" s="44" t="str">
        <f>LOS!K187</f>
        <v>C</v>
      </c>
      <c r="U193" s="44"/>
      <c r="V193" s="44"/>
      <c r="W193" s="44"/>
      <c r="X193" s="44"/>
      <c r="Y193" s="44"/>
      <c r="Z193" s="44"/>
      <c r="AA193" s="44">
        <f>LOS!L187</f>
        <v>872</v>
      </c>
      <c r="AB193" s="44">
        <f>LOS!M187</f>
        <v>1040</v>
      </c>
      <c r="AC193" s="45"/>
      <c r="AD193" s="44" t="str">
        <f>LOS!Q187</f>
        <v>C</v>
      </c>
      <c r="AE193" s="44">
        <f>LOS!R187</f>
        <v>1117</v>
      </c>
      <c r="AF193" s="44">
        <f>LOS!S187</f>
        <v>918</v>
      </c>
      <c r="AG193" s="45"/>
      <c r="AH193" s="44" t="str">
        <f>LOS!W187</f>
        <v>C</v>
      </c>
      <c r="AI193" s="82">
        <f>(Trend!L187)</f>
        <v>2.61933413558071</v>
      </c>
      <c r="AJ193" s="77">
        <f>Cap!K187</f>
        <v>0</v>
      </c>
      <c r="AK193" s="77">
        <f>Cap!L187</f>
        <v>1910</v>
      </c>
      <c r="AL193" s="77">
        <f>Cap!M187</f>
        <v>2000</v>
      </c>
      <c r="AM193" s="77">
        <f>Cap!N187</f>
        <v>2000</v>
      </c>
    </row>
    <row r="194" spans="2:39" x14ac:dyDescent="0.25">
      <c r="B194" s="48">
        <f>'2025MasterFile-Stat'!F188</f>
        <v>223</v>
      </c>
      <c r="C194" s="47" t="str">
        <f>'2025MasterFile-Stat'!B188</f>
        <v>Wekiwa Springs Rd/Piedmont-Wekiwa Rd/Hiawassee Rd</v>
      </c>
      <c r="D194" s="47" t="str">
        <f>LEFT('2025MasterFile-Stat'!C188,FIND(" to ",'2025MasterFile-Stat'!C188)-1)</f>
        <v>SR 414</v>
      </c>
      <c r="E194" s="47" t="str">
        <f>RIGHT('2025MasterFile-Stat'!C188,LEN('2025MasterFile-Stat'!C188)-FIND(" to ",'2025MasterFile-Stat'!C188)-3)</f>
        <v>Beggs Rd</v>
      </c>
      <c r="F194" s="44" t="str">
        <f>'2025MasterFile-Stat'!G188</f>
        <v>4LD</v>
      </c>
      <c r="G194" s="44"/>
      <c r="H194" s="46" t="str">
        <f>'2025MasterFile-Stat'!H188</f>
        <v>E</v>
      </c>
      <c r="I194" s="44" t="str">
        <f>'2025MasterFile-Stat'!A188</f>
        <v>Min Art</v>
      </c>
      <c r="J194" s="44"/>
      <c r="K194" s="44"/>
      <c r="L194" s="26">
        <f>IF(Cap!H188="A",Cap!O188,
 IF(Cap!H188="B",Cap!P188,
 IF(Cap!H188="C",Cap!Q188,
 IF(Cap!H188="D",Cap!R188,
 IF(Cap!H188="E",Cap!S188,"")))))</f>
        <v>39800</v>
      </c>
      <c r="M194" s="44"/>
      <c r="N194" s="44">
        <f>IF(Cap!H188="A",Cap!J188,
 IF(Cap!H188="B",Cap!K188,
 IF(Cap!H188="C",Cap!L188,
 IF(Cap!H188="D",Cap!M188,
 IF(Cap!H188="E",Cap!N188,"")))))</f>
        <v>2000</v>
      </c>
      <c r="O194" s="44"/>
      <c r="P194" s="44"/>
      <c r="Q194" s="44"/>
      <c r="R194" s="44">
        <f>LOS!J188</f>
        <v>25932</v>
      </c>
      <c r="S194" s="45"/>
      <c r="T194" s="44" t="str">
        <f>LOS!K188</f>
        <v>C</v>
      </c>
      <c r="U194" s="44"/>
      <c r="V194" s="44"/>
      <c r="W194" s="44"/>
      <c r="X194" s="44"/>
      <c r="Y194" s="44"/>
      <c r="Z194" s="44"/>
      <c r="AA194" s="44">
        <f>LOS!L188</f>
        <v>1012</v>
      </c>
      <c r="AB194" s="44">
        <f>LOS!M188</f>
        <v>1026</v>
      </c>
      <c r="AC194" s="45"/>
      <c r="AD194" s="44" t="str">
        <f>LOS!Q188</f>
        <v>C</v>
      </c>
      <c r="AE194" s="44">
        <f>LOS!R188</f>
        <v>1014</v>
      </c>
      <c r="AF194" s="44">
        <f>LOS!S188</f>
        <v>1061</v>
      </c>
      <c r="AG194" s="45"/>
      <c r="AH194" s="44" t="str">
        <f>LOS!W188</f>
        <v>C</v>
      </c>
      <c r="AI194" s="82">
        <f>(Trend!L188)</f>
        <v>0.51673607897588503</v>
      </c>
      <c r="AJ194" s="77">
        <f>Cap!K188</f>
        <v>0</v>
      </c>
      <c r="AK194" s="77">
        <f>Cap!L188</f>
        <v>1910</v>
      </c>
      <c r="AL194" s="77">
        <f>Cap!M188</f>
        <v>2000</v>
      </c>
      <c r="AM194" s="77">
        <f>Cap!N188</f>
        <v>2000</v>
      </c>
    </row>
    <row r="195" spans="2:39" x14ac:dyDescent="0.25">
      <c r="B195" s="48" t="str">
        <f>'2025MasterFile-Stat'!F189</f>
        <v>7049*</v>
      </c>
      <c r="C195" s="47" t="str">
        <f>'2025MasterFile-Stat'!B189</f>
        <v>Welch Rd</v>
      </c>
      <c r="D195" s="47" t="str">
        <f>LEFT('2025MasterFile-Stat'!C189,FIND(" to ",'2025MasterFile-Stat'!C189)-1)</f>
        <v>Ustler Road</v>
      </c>
      <c r="E195" s="47" t="str">
        <f>RIGHT('2025MasterFile-Stat'!C189,LEN('2025MasterFile-Stat'!C189)-FIND(" to ",'2025MasterFile-Stat'!C189)-3)</f>
        <v>Thompson Rd</v>
      </c>
      <c r="F195" s="44" t="str">
        <f>'2025MasterFile-Stat'!G189</f>
        <v>2L</v>
      </c>
      <c r="G195" s="44"/>
      <c r="H195" s="46" t="str">
        <f>'2025MasterFile-Stat'!H189</f>
        <v>E</v>
      </c>
      <c r="I195" s="44" t="str">
        <f>'2025MasterFile-Stat'!A189</f>
        <v>Min Art</v>
      </c>
      <c r="J195" s="44"/>
      <c r="K195" s="44"/>
      <c r="L195" s="26">
        <f>IF(Cap!H189="A",Cap!O189,
 IF(Cap!H189="B",Cap!P189,
 IF(Cap!H189="C",Cap!Q189,
 IF(Cap!H189="D",Cap!R189,
 IF(Cap!H189="E",Cap!S189,"")))))</f>
        <v>32600</v>
      </c>
      <c r="M195" s="44"/>
      <c r="N195" s="44">
        <f>IF(Cap!H189="A",Cap!J189,
 IF(Cap!H189="B",Cap!K189,
 IF(Cap!H189="C",Cap!L189,
 IF(Cap!H189="D",Cap!M189,
 IF(Cap!H189="E",Cap!N189,"")))))</f>
        <v>1610</v>
      </c>
      <c r="O195" s="44"/>
      <c r="P195" s="44"/>
      <c r="Q195" s="44"/>
      <c r="R195" s="44">
        <f>LOS!J189</f>
        <v>19067</v>
      </c>
      <c r="S195" s="45"/>
      <c r="T195" s="44" t="str">
        <f>LOS!K189</f>
        <v>D</v>
      </c>
      <c r="U195" s="44"/>
      <c r="V195" s="44"/>
      <c r="W195" s="44"/>
      <c r="X195" s="44"/>
      <c r="Y195" s="44"/>
      <c r="Z195" s="44"/>
      <c r="AA195" s="44">
        <f>LOS!L189</f>
        <v>844</v>
      </c>
      <c r="AB195" s="44">
        <f>LOS!M189</f>
        <v>594</v>
      </c>
      <c r="AC195" s="45"/>
      <c r="AD195" s="44" t="str">
        <f>LOS!Q189</f>
        <v>C</v>
      </c>
      <c r="AE195" s="44">
        <f>LOS!R189</f>
        <v>673</v>
      </c>
      <c r="AF195" s="44">
        <f>LOS!S189</f>
        <v>1023</v>
      </c>
      <c r="AG195" s="45"/>
      <c r="AH195" s="44" t="str">
        <f>LOS!W189</f>
        <v>D</v>
      </c>
      <c r="AI195" s="82">
        <f>(Trend!L189)</f>
        <v>1.74935414140391</v>
      </c>
      <c r="AJ195" s="77">
        <f>Cap!K189</f>
        <v>580</v>
      </c>
      <c r="AK195" s="77">
        <f>Cap!L189</f>
        <v>890</v>
      </c>
      <c r="AL195" s="77">
        <f>Cap!M189</f>
        <v>1200</v>
      </c>
      <c r="AM195" s="77">
        <f>Cap!N189</f>
        <v>1610</v>
      </c>
    </row>
    <row r="196" spans="2:39" x14ac:dyDescent="0.25">
      <c r="B196" s="48" t="str">
        <f>'2025MasterFile-Stat'!F190</f>
        <v>2017*</v>
      </c>
      <c r="C196" s="47" t="str">
        <f>'2025MasterFile-Stat'!B190</f>
        <v>Welch Rd</v>
      </c>
      <c r="D196" s="47" t="str">
        <f>LEFT('2025MasterFile-Stat'!C190,FIND(" to ",'2025MasterFile-Stat'!C190)-1)</f>
        <v>Vick Rd</v>
      </c>
      <c r="E196" s="47" t="str">
        <f>RIGHT('2025MasterFile-Stat'!C190,LEN('2025MasterFile-Stat'!C190)-FIND(" to ",'2025MasterFile-Stat'!C190)-3)</f>
        <v>Rock Springs Rd</v>
      </c>
      <c r="F196" s="44" t="str">
        <f>'2025MasterFile-Stat'!G190</f>
        <v>2L</v>
      </c>
      <c r="G196" s="44"/>
      <c r="H196" s="46" t="str">
        <f>'2025MasterFile-Stat'!H190</f>
        <v>E</v>
      </c>
      <c r="I196" s="44" t="str">
        <f>'2025MasterFile-Stat'!A190</f>
        <v>Min Art</v>
      </c>
      <c r="J196" s="44"/>
      <c r="K196" s="44"/>
      <c r="L196" s="26">
        <f>IF(Cap!H190="A",Cap!O190,
 IF(Cap!H190="B",Cap!P190,
 IF(Cap!H190="C",Cap!Q190,
 IF(Cap!H190="D",Cap!R190,
 IF(Cap!H190="E",Cap!S190,"")))))</f>
        <v>16400</v>
      </c>
      <c r="M196" s="44"/>
      <c r="N196" s="44">
        <f>IF(Cap!H190="A",Cap!J190,
 IF(Cap!H190="B",Cap!K190,
 IF(Cap!H190="C",Cap!L190,
 IF(Cap!H190="D",Cap!M190,
 IF(Cap!H190="E",Cap!N190,"")))))</f>
        <v>840</v>
      </c>
      <c r="O196" s="44"/>
      <c r="P196" s="44"/>
      <c r="Q196" s="44"/>
      <c r="R196" s="44">
        <f>LOS!J190</f>
        <v>11774</v>
      </c>
      <c r="S196" s="45"/>
      <c r="T196" s="44" t="str">
        <f>LOS!K190</f>
        <v>D</v>
      </c>
      <c r="U196" s="44"/>
      <c r="V196" s="44"/>
      <c r="W196" s="44"/>
      <c r="X196" s="44"/>
      <c r="Y196" s="44"/>
      <c r="Z196" s="44"/>
      <c r="AA196" s="44">
        <f>LOS!L190</f>
        <v>535</v>
      </c>
      <c r="AB196" s="44">
        <f>LOS!M190</f>
        <v>350</v>
      </c>
      <c r="AC196" s="45"/>
      <c r="AD196" s="44" t="str">
        <f>LOS!Q190</f>
        <v>D</v>
      </c>
      <c r="AE196" s="44">
        <f>LOS!R190</f>
        <v>546</v>
      </c>
      <c r="AF196" s="44">
        <f>LOS!S190</f>
        <v>533</v>
      </c>
      <c r="AG196" s="45"/>
      <c r="AH196" s="44" t="str">
        <f>LOS!W190</f>
        <v>D</v>
      </c>
      <c r="AI196" s="82">
        <f>(Trend!L190)</f>
        <v>2.4064754235873198</v>
      </c>
      <c r="AJ196" s="77">
        <f>Cap!K190</f>
        <v>0</v>
      </c>
      <c r="AK196" s="77">
        <f>Cap!L190</f>
        <v>390</v>
      </c>
      <c r="AL196" s="77">
        <f>Cap!M190</f>
        <v>790</v>
      </c>
      <c r="AM196" s="77">
        <f>Cap!N190</f>
        <v>840</v>
      </c>
    </row>
    <row r="197" spans="2:39" x14ac:dyDescent="0.25">
      <c r="B197" s="48" t="str">
        <f>'2025MasterFile-Stat'!F191</f>
        <v>7049*</v>
      </c>
      <c r="C197" s="47" t="str">
        <f>'2025MasterFile-Stat'!B191</f>
        <v>Welch Rd</v>
      </c>
      <c r="D197" s="47" t="str">
        <f>LEFT('2025MasterFile-Stat'!C191,FIND(" to ",'2025MasterFile-Stat'!C191)-1)</f>
        <v>Thompson Rd</v>
      </c>
      <c r="E197" s="47" t="str">
        <f>RIGHT('2025MasterFile-Stat'!C191,LEN('2025MasterFile-Stat'!C191)-FIND(" to ",'2025MasterFile-Stat'!C191)-3)</f>
        <v>Wekiva Springs Rd</v>
      </c>
      <c r="F197" s="44" t="str">
        <f>'2025MasterFile-Stat'!G191</f>
        <v>2L</v>
      </c>
      <c r="G197" s="44"/>
      <c r="H197" s="46" t="str">
        <f>'2025MasterFile-Stat'!H191</f>
        <v>E</v>
      </c>
      <c r="I197" s="44" t="str">
        <f>'2025MasterFile-Stat'!A191</f>
        <v>Min Art</v>
      </c>
      <c r="J197" s="44"/>
      <c r="K197" s="44"/>
      <c r="L197" s="26">
        <f>IF(Cap!H191="A",Cap!O191,
 IF(Cap!H191="B",Cap!P191,
 IF(Cap!H191="C",Cap!Q191,
 IF(Cap!H191="D",Cap!R191,
 IF(Cap!H191="E",Cap!S191,"")))))</f>
        <v>32600</v>
      </c>
      <c r="M197" s="44"/>
      <c r="N197" s="44">
        <f>IF(Cap!H191="A",Cap!J191,
 IF(Cap!H191="B",Cap!K191,
 IF(Cap!H191="C",Cap!L191,
 IF(Cap!H191="D",Cap!M191,
 IF(Cap!H191="E",Cap!N191,"")))))</f>
        <v>1610</v>
      </c>
      <c r="O197" s="44"/>
      <c r="P197" s="44"/>
      <c r="Q197" s="44"/>
      <c r="R197" s="44">
        <f>LOS!J191</f>
        <v>19067</v>
      </c>
      <c r="S197" s="45"/>
      <c r="T197" s="44" t="str">
        <f>LOS!K191</f>
        <v>D</v>
      </c>
      <c r="U197" s="44"/>
      <c r="V197" s="44"/>
      <c r="W197" s="44"/>
      <c r="X197" s="44"/>
      <c r="Y197" s="44"/>
      <c r="Z197" s="44"/>
      <c r="AA197" s="44">
        <f>LOS!L191</f>
        <v>844</v>
      </c>
      <c r="AB197" s="44">
        <f>LOS!M191</f>
        <v>594</v>
      </c>
      <c r="AC197" s="45"/>
      <c r="AD197" s="44" t="str">
        <f>LOS!Q191</f>
        <v>C</v>
      </c>
      <c r="AE197" s="44">
        <f>LOS!R191</f>
        <v>673</v>
      </c>
      <c r="AF197" s="44">
        <f>LOS!S191</f>
        <v>1023</v>
      </c>
      <c r="AG197" s="45"/>
      <c r="AH197" s="44" t="str">
        <f>LOS!W191</f>
        <v>D</v>
      </c>
      <c r="AI197" s="82">
        <f>(Trend!L191)</f>
        <v>4.6116939948345603</v>
      </c>
      <c r="AJ197" s="77">
        <f>Cap!K191</f>
        <v>580</v>
      </c>
      <c r="AK197" s="77">
        <f>Cap!L191</f>
        <v>890</v>
      </c>
      <c r="AL197" s="77">
        <f>Cap!M191</f>
        <v>1200</v>
      </c>
      <c r="AM197" s="77">
        <f>Cap!N191</f>
        <v>1610</v>
      </c>
    </row>
    <row r="198" spans="2:39" x14ac:dyDescent="0.25">
      <c r="B198" s="48">
        <f>'2025MasterFile-Stat'!F192</f>
        <v>624</v>
      </c>
      <c r="C198" s="47" t="str">
        <f>'2025MasterFile-Stat'!B192</f>
        <v>Welch Rd</v>
      </c>
      <c r="D198" s="47" t="str">
        <f>LEFT('2025MasterFile-Stat'!C192,FIND(" to ",'2025MasterFile-Stat'!C192)-1)</f>
        <v>Rock Springs Rd</v>
      </c>
      <c r="E198" s="47" t="str">
        <f>RIGHT('2025MasterFile-Stat'!C192,LEN('2025MasterFile-Stat'!C192)-FIND(" to ",'2025MasterFile-Stat'!C192)-3)</f>
        <v>Ustler Road</v>
      </c>
      <c r="F198" s="44" t="str">
        <f>'2025MasterFile-Stat'!G192</f>
        <v>3L</v>
      </c>
      <c r="G198" s="44"/>
      <c r="H198" s="46" t="str">
        <f>'2025MasterFile-Stat'!H192</f>
        <v>E</v>
      </c>
      <c r="I198" s="44" t="str">
        <f>'2025MasterFile-Stat'!A192</f>
        <v>Min Art</v>
      </c>
      <c r="J198" s="44"/>
      <c r="K198" s="44"/>
      <c r="L198" s="26">
        <f>IF(Cap!H192="A",Cap!O192,
 IF(Cap!H192="B",Cap!P192,
 IF(Cap!H192="C",Cap!Q192,
 IF(Cap!H192="D",Cap!R192,
 IF(Cap!H192="E",Cap!S192,"")))))</f>
        <v>34200</v>
      </c>
      <c r="M198" s="44"/>
      <c r="N198" s="44">
        <f>IF(Cap!H192="A",Cap!J192,
 IF(Cap!H192="B",Cap!K192,
 IF(Cap!H192="C",Cap!L192,
 IF(Cap!H192="D",Cap!M192,
 IF(Cap!H192="E",Cap!N192,"")))))</f>
        <v>1690</v>
      </c>
      <c r="O198" s="44"/>
      <c r="P198" s="44"/>
      <c r="Q198" s="44"/>
      <c r="R198" s="44">
        <f>LOS!J192</f>
        <v>18612</v>
      </c>
      <c r="S198" s="45"/>
      <c r="T198" s="44" t="str">
        <f>LOS!K192</f>
        <v>C</v>
      </c>
      <c r="U198" s="44"/>
      <c r="V198" s="44"/>
      <c r="W198" s="44"/>
      <c r="X198" s="44"/>
      <c r="Y198" s="44"/>
      <c r="Z198" s="44"/>
      <c r="AA198" s="44">
        <f>LOS!L192</f>
        <v>870</v>
      </c>
      <c r="AB198" s="44">
        <f>LOS!M192</f>
        <v>479</v>
      </c>
      <c r="AC198" s="45"/>
      <c r="AD198" s="44" t="str">
        <f>LOS!Q192</f>
        <v>C</v>
      </c>
      <c r="AE198" s="44">
        <f>LOS!R192</f>
        <v>638</v>
      </c>
      <c r="AF198" s="44">
        <f>LOS!S192</f>
        <v>781</v>
      </c>
      <c r="AG198" s="45"/>
      <c r="AH198" s="44" t="str">
        <f>LOS!W192</f>
        <v>C</v>
      </c>
      <c r="AI198" s="82">
        <f>(Trend!L192)</f>
        <v>-0.23264560498613801</v>
      </c>
      <c r="AJ198" s="77">
        <f>Cap!K192</f>
        <v>610</v>
      </c>
      <c r="AK198" s="77">
        <f>Cap!L192</f>
        <v>930</v>
      </c>
      <c r="AL198" s="77">
        <f>Cap!M192</f>
        <v>1260</v>
      </c>
      <c r="AM198" s="77">
        <f>Cap!N192</f>
        <v>1690</v>
      </c>
    </row>
    <row r="199" spans="2:39" x14ac:dyDescent="0.25">
      <c r="B199" s="48">
        <f>'2025MasterFile-Stat'!F193</f>
        <v>700</v>
      </c>
      <c r="C199" s="47" t="str">
        <f>'2025MasterFile-Stat'!B193</f>
        <v>Woodfield Oaks Dr</v>
      </c>
      <c r="D199" s="47" t="str">
        <f>LEFT('2025MasterFile-Stat'!C193,FIND(" to ",'2025MasterFile-Stat'!C193)-1)</f>
        <v>Arbor Way</v>
      </c>
      <c r="E199" s="47" t="str">
        <f>RIGHT('2025MasterFile-Stat'!C193,LEN('2025MasterFile-Stat'!C193)-FIND(" to ",'2025MasterFile-Stat'!C193)-3)</f>
        <v>Regal St</v>
      </c>
      <c r="F199" s="44" t="str">
        <f>'2025MasterFile-Stat'!G193</f>
        <v>2L</v>
      </c>
      <c r="G199" s="44"/>
      <c r="H199" s="46" t="str">
        <f>'2025MasterFile-Stat'!H193</f>
        <v>E</v>
      </c>
      <c r="I199" s="44" t="str">
        <f>'2025MasterFile-Stat'!A193</f>
        <v>Min Coll</v>
      </c>
      <c r="J199" s="44"/>
      <c r="K199" s="44"/>
      <c r="L199" s="26">
        <f>IF(Cap!H193="A",Cap!O193,
 IF(Cap!H193="B",Cap!P193,
 IF(Cap!H193="C",Cap!Q193,
 IF(Cap!H193="D",Cap!R193,
 IF(Cap!H193="E",Cap!S193,"")))))</f>
        <v>14000</v>
      </c>
      <c r="M199" s="44"/>
      <c r="N199" s="44">
        <f>IF(Cap!H193="A",Cap!J193,
 IF(Cap!H193="B",Cap!K193,
 IF(Cap!H193="C",Cap!L193,
 IF(Cap!H193="D",Cap!M193,
 IF(Cap!H193="E",Cap!N193,"")))))</f>
        <v>720</v>
      </c>
      <c r="O199" s="44"/>
      <c r="P199" s="44"/>
      <c r="Q199" s="44"/>
      <c r="R199" s="44">
        <f>LOS!J193</f>
        <v>702</v>
      </c>
      <c r="S199" s="45"/>
      <c r="T199" s="44" t="str">
        <f>LOS!K193</f>
        <v>C</v>
      </c>
      <c r="U199" s="44"/>
      <c r="V199" s="44"/>
      <c r="W199" s="44"/>
      <c r="X199" s="44"/>
      <c r="Y199" s="44"/>
      <c r="Z199" s="44"/>
      <c r="AA199" s="44">
        <f>LOS!L193</f>
        <v>43</v>
      </c>
      <c r="AB199" s="44">
        <f>LOS!M193</f>
        <v>17</v>
      </c>
      <c r="AC199" s="45"/>
      <c r="AD199" s="44" t="str">
        <f>LOS!Q193</f>
        <v>C</v>
      </c>
      <c r="AE199" s="44">
        <f>LOS!R193</f>
        <v>25</v>
      </c>
      <c r="AF199" s="44">
        <f>LOS!S193</f>
        <v>31</v>
      </c>
      <c r="AG199" s="45"/>
      <c r="AH199" s="44" t="str">
        <f>LOS!W193</f>
        <v>C</v>
      </c>
      <c r="AI199" s="82">
        <f>(Trend!L193)</f>
        <v>0.683760683760674</v>
      </c>
      <c r="AJ199" s="77">
        <f>Cap!K193</f>
        <v>0</v>
      </c>
      <c r="AK199" s="77">
        <f>Cap!L193</f>
        <v>330</v>
      </c>
      <c r="AL199" s="77">
        <f>Cap!M193</f>
        <v>680</v>
      </c>
      <c r="AM199" s="77">
        <f>Cap!N193</f>
        <v>720</v>
      </c>
    </row>
    <row r="200" spans="2:39" x14ac:dyDescent="0.25">
      <c r="B200" s="48" t="str">
        <f>'2025MasterFile-Stat'!F194</f>
        <v>8152*</v>
      </c>
      <c r="C200" s="47" t="str">
        <f>'2025MasterFile-Stat'!B194</f>
        <v>Yothers Rd</v>
      </c>
      <c r="D200" s="47" t="str">
        <f>LEFT('2025MasterFile-Stat'!C194,FIND(" to ",'2025MasterFile-Stat'!C194)-1)</f>
        <v>Hermit Smith Rd</v>
      </c>
      <c r="E200" s="47" t="str">
        <f>RIGHT('2025MasterFile-Stat'!C194,LEN('2025MasterFile-Stat'!C194)-FIND(" to ",'2025MasterFile-Stat'!C194)-3)</f>
        <v>Plymouth-Sorrento Rd (CR 437)</v>
      </c>
      <c r="F200" s="44" t="str">
        <f>'2025MasterFile-Stat'!G194</f>
        <v>2L</v>
      </c>
      <c r="G200" s="44"/>
      <c r="H200" s="46" t="str">
        <f>'2025MasterFile-Stat'!H194</f>
        <v>E</v>
      </c>
      <c r="I200" s="44" t="str">
        <f>'2025MasterFile-Stat'!A194</f>
        <v>Min Coll</v>
      </c>
      <c r="J200" s="44"/>
      <c r="K200" s="44"/>
      <c r="L200" s="26">
        <f>IF(Cap!H194="A",Cap!O194,
 IF(Cap!H194="B",Cap!P194,
 IF(Cap!H194="C",Cap!Q194,
 IF(Cap!H194="D",Cap!R194,
 IF(Cap!H194="E",Cap!S194,"")))))</f>
        <v>14000</v>
      </c>
      <c r="M200" s="44"/>
      <c r="N200" s="44">
        <f>IF(Cap!H194="A",Cap!J194,
 IF(Cap!H194="B",Cap!K194,
 IF(Cap!H194="C",Cap!L194,
 IF(Cap!H194="D",Cap!M194,
 IF(Cap!H194="E",Cap!N194,"")))))</f>
        <v>720</v>
      </c>
      <c r="O200" s="44"/>
      <c r="P200" s="44"/>
      <c r="Q200" s="44"/>
      <c r="R200" s="44">
        <f>LOS!J194</f>
        <v>4140</v>
      </c>
      <c r="S200" s="45"/>
      <c r="T200" s="44" t="str">
        <f>LOS!K194</f>
        <v>C</v>
      </c>
      <c r="U200" s="44"/>
      <c r="V200" s="44"/>
      <c r="W200" s="44"/>
      <c r="X200" s="44"/>
      <c r="Y200" s="44"/>
      <c r="Z200" s="44"/>
      <c r="AA200" s="44">
        <f>LOS!L194</f>
        <v>280</v>
      </c>
      <c r="AB200" s="44">
        <f>LOS!M194</f>
        <v>161</v>
      </c>
      <c r="AC200" s="45"/>
      <c r="AD200" s="44" t="str">
        <f>LOS!Q194</f>
        <v>C</v>
      </c>
      <c r="AE200" s="44">
        <f>LOS!R194</f>
        <v>203</v>
      </c>
      <c r="AF200" s="44">
        <f>LOS!S194</f>
        <v>174</v>
      </c>
      <c r="AG200" s="45"/>
      <c r="AH200" s="44" t="str">
        <f>LOS!W194</f>
        <v>C</v>
      </c>
      <c r="AI200" s="82">
        <f>(Trend!L194)</f>
        <v>2.8491192238963001</v>
      </c>
      <c r="AJ200" s="77">
        <f>Cap!K194</f>
        <v>0</v>
      </c>
      <c r="AK200" s="77">
        <f>Cap!L194</f>
        <v>330</v>
      </c>
      <c r="AL200" s="77">
        <f>Cap!M194</f>
        <v>680</v>
      </c>
      <c r="AM200" s="77">
        <f>Cap!N194</f>
        <v>720</v>
      </c>
    </row>
    <row r="201" spans="2:39" x14ac:dyDescent="0.25">
      <c r="B201" s="48">
        <f>'2025MasterFile-Stat'!F195</f>
        <v>800</v>
      </c>
      <c r="C201" s="47" t="str">
        <f>'2025MasterFile-Stat'!B195</f>
        <v>Yothers Rd</v>
      </c>
      <c r="D201" s="47" t="str">
        <f>LEFT('2025MasterFile-Stat'!C195,FIND(" to ",'2025MasterFile-Stat'!C195)-1)</f>
        <v>US 441</v>
      </c>
      <c r="E201" s="47" t="str">
        <f>RIGHT('2025MasterFile-Stat'!C195,LEN('2025MasterFile-Stat'!C195)-FIND(" to ",'2025MasterFile-Stat'!C195)-3)</f>
        <v>Hermit Smith Rd</v>
      </c>
      <c r="F201" s="44" t="str">
        <f>'2025MasterFile-Stat'!G195</f>
        <v>2L</v>
      </c>
      <c r="G201" s="44"/>
      <c r="H201" s="46" t="str">
        <f>'2025MasterFile-Stat'!H195</f>
        <v>E</v>
      </c>
      <c r="I201" s="44" t="str">
        <f>'2025MasterFile-Stat'!A195</f>
        <v>Min Coll</v>
      </c>
      <c r="J201" s="44"/>
      <c r="K201" s="44"/>
      <c r="L201" s="26">
        <f>IF(Cap!H195="A",Cap!O195,
 IF(Cap!H195="B",Cap!P195,
 IF(Cap!H195="C",Cap!Q195,
 IF(Cap!H195="D",Cap!R195,
 IF(Cap!H195="E",Cap!S195,"")))))</f>
        <v>14000</v>
      </c>
      <c r="M201" s="44"/>
      <c r="N201" s="44">
        <f>IF(Cap!H195="A",Cap!J195,
 IF(Cap!H195="B",Cap!K195,
 IF(Cap!H195="C",Cap!L195,
 IF(Cap!H195="D",Cap!M195,
 IF(Cap!H195="E",Cap!N195,"")))))</f>
        <v>720</v>
      </c>
      <c r="O201" s="44"/>
      <c r="P201" s="44"/>
      <c r="Q201" s="44"/>
      <c r="R201" s="44">
        <f>LOS!J195</f>
        <v>2374</v>
      </c>
      <c r="S201" s="45"/>
      <c r="T201" s="44" t="str">
        <f>LOS!K195</f>
        <v>C</v>
      </c>
      <c r="U201" s="44"/>
      <c r="V201" s="44"/>
      <c r="W201" s="44"/>
      <c r="X201" s="44"/>
      <c r="Y201" s="44"/>
      <c r="Z201" s="44"/>
      <c r="AA201" s="44">
        <f>LOS!L195</f>
        <v>65</v>
      </c>
      <c r="AB201" s="44">
        <f>LOS!M195</f>
        <v>140</v>
      </c>
      <c r="AC201" s="45"/>
      <c r="AD201" s="44" t="str">
        <f>LOS!Q195</f>
        <v>C</v>
      </c>
      <c r="AE201" s="44">
        <f>LOS!R195</f>
        <v>129</v>
      </c>
      <c r="AF201" s="44">
        <f>LOS!S195</f>
        <v>79</v>
      </c>
      <c r="AG201" s="45"/>
      <c r="AH201" s="44" t="str">
        <f>LOS!W195</f>
        <v>C</v>
      </c>
      <c r="AI201" s="82">
        <f>(Trend!L195)</f>
        <v>5.1684919966316301</v>
      </c>
      <c r="AJ201" s="77">
        <f>Cap!K195</f>
        <v>0</v>
      </c>
      <c r="AK201" s="77">
        <f>Cap!L195</f>
        <v>330</v>
      </c>
      <c r="AL201" s="77">
        <f>Cap!M195</f>
        <v>680</v>
      </c>
      <c r="AM201" s="77">
        <f>Cap!N195</f>
        <v>720</v>
      </c>
    </row>
    <row r="202" spans="2:39" x14ac:dyDescent="0.25">
      <c r="B202" s="48"/>
      <c r="C202" s="47"/>
      <c r="D202" s="47"/>
      <c r="E202" s="47"/>
      <c r="F202" s="44"/>
      <c r="G202" s="44"/>
      <c r="H202" s="46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5"/>
      <c r="T202" s="44"/>
      <c r="U202" s="44"/>
      <c r="V202" s="44"/>
      <c r="W202" s="44"/>
      <c r="X202" s="44"/>
      <c r="Y202" s="44"/>
      <c r="Z202" s="44"/>
      <c r="AA202" s="44"/>
      <c r="AB202" s="44"/>
      <c r="AC202" s="45"/>
      <c r="AD202" s="44"/>
      <c r="AE202" s="44"/>
      <c r="AF202" s="44"/>
      <c r="AG202" s="45"/>
      <c r="AH202" s="44"/>
      <c r="AI202" s="81"/>
      <c r="AJ202" s="43"/>
      <c r="AK202" s="43"/>
      <c r="AL202" s="43"/>
      <c r="AM202" s="43"/>
    </row>
    <row r="203" spans="2:39" x14ac:dyDescent="0.25">
      <c r="B203" s="48"/>
      <c r="C203" s="47"/>
      <c r="D203" s="47"/>
      <c r="E203" s="47"/>
      <c r="F203" s="44"/>
      <c r="G203" s="44"/>
      <c r="H203" s="46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5"/>
      <c r="T203" s="44"/>
      <c r="U203" s="44"/>
      <c r="V203" s="44"/>
      <c r="W203" s="44"/>
      <c r="X203" s="44"/>
      <c r="Y203" s="44"/>
      <c r="Z203" s="44"/>
      <c r="AA203" s="44"/>
      <c r="AB203" s="44"/>
      <c r="AC203" s="45"/>
      <c r="AD203" s="44"/>
      <c r="AE203" s="44"/>
      <c r="AF203" s="44"/>
      <c r="AG203" s="45"/>
      <c r="AH203" s="44"/>
      <c r="AI203" s="81"/>
      <c r="AJ203" s="43"/>
      <c r="AK203" s="43"/>
      <c r="AL203" s="43"/>
      <c r="AM203" s="43"/>
    </row>
    <row r="204" spans="2:39" x14ac:dyDescent="0.25">
      <c r="B204" s="48"/>
      <c r="C204" s="47"/>
      <c r="D204" s="47"/>
      <c r="E204" s="47"/>
      <c r="F204" s="44"/>
      <c r="G204" s="44"/>
      <c r="H204" s="46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5"/>
      <c r="T204" s="44"/>
      <c r="U204" s="44"/>
      <c r="V204" s="44"/>
      <c r="W204" s="44"/>
      <c r="X204" s="44"/>
      <c r="Y204" s="44"/>
      <c r="Z204" s="44"/>
      <c r="AA204" s="44"/>
      <c r="AB204" s="44"/>
      <c r="AC204" s="45"/>
      <c r="AD204" s="44"/>
      <c r="AE204" s="44"/>
      <c r="AF204" s="44"/>
      <c r="AG204" s="45"/>
      <c r="AH204" s="44"/>
      <c r="AI204" s="81"/>
      <c r="AJ204" s="43"/>
      <c r="AK204" s="43"/>
      <c r="AL204" s="43"/>
      <c r="AM204" s="43"/>
    </row>
    <row r="205" spans="2:39" x14ac:dyDescent="0.25">
      <c r="B205" s="48"/>
      <c r="C205" s="47"/>
      <c r="D205" s="47"/>
      <c r="E205" s="47"/>
      <c r="F205" s="44"/>
      <c r="G205" s="44"/>
      <c r="H205" s="46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5"/>
      <c r="T205" s="44"/>
      <c r="U205" s="44"/>
      <c r="V205" s="44"/>
      <c r="W205" s="44"/>
      <c r="X205" s="44"/>
      <c r="Y205" s="44"/>
      <c r="Z205" s="44"/>
      <c r="AA205" s="44"/>
      <c r="AB205" s="44"/>
      <c r="AC205" s="45"/>
      <c r="AD205" s="44"/>
      <c r="AE205" s="44"/>
      <c r="AF205" s="44"/>
      <c r="AG205" s="45"/>
      <c r="AH205" s="44"/>
      <c r="AI205" s="81"/>
      <c r="AJ205" s="43"/>
      <c r="AK205" s="43"/>
      <c r="AL205" s="43"/>
      <c r="AM205" s="43"/>
    </row>
    <row r="206" spans="2:39" x14ac:dyDescent="0.25">
      <c r="B206" s="48"/>
      <c r="C206" s="47"/>
      <c r="D206" s="47"/>
      <c r="E206" s="47"/>
      <c r="F206" s="44"/>
      <c r="G206" s="44"/>
      <c r="H206" s="46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5"/>
      <c r="T206" s="44"/>
      <c r="U206" s="44"/>
      <c r="V206" s="44"/>
      <c r="W206" s="44"/>
      <c r="X206" s="44"/>
      <c r="Y206" s="44"/>
      <c r="Z206" s="44"/>
      <c r="AA206" s="44"/>
      <c r="AB206" s="44"/>
      <c r="AC206" s="45"/>
      <c r="AD206" s="44"/>
      <c r="AE206" s="44"/>
      <c r="AF206" s="44"/>
      <c r="AG206" s="45"/>
      <c r="AH206" s="44"/>
      <c r="AI206" s="81"/>
      <c r="AJ206" s="43"/>
      <c r="AK206" s="43"/>
      <c r="AL206" s="43"/>
      <c r="AM206" s="43"/>
    </row>
    <row r="207" spans="2:39" x14ac:dyDescent="0.25">
      <c r="B207" s="48"/>
      <c r="C207" s="47"/>
      <c r="D207" s="47"/>
      <c r="E207" s="47"/>
      <c r="F207" s="44"/>
      <c r="G207" s="44"/>
      <c r="H207" s="46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5"/>
      <c r="T207" s="44"/>
      <c r="U207" s="44"/>
      <c r="V207" s="44"/>
      <c r="W207" s="44"/>
      <c r="X207" s="44"/>
      <c r="Y207" s="44"/>
      <c r="Z207" s="44"/>
      <c r="AA207" s="44"/>
      <c r="AB207" s="44"/>
      <c r="AC207" s="45"/>
      <c r="AD207" s="44"/>
      <c r="AE207" s="44"/>
      <c r="AF207" s="44"/>
      <c r="AG207" s="45"/>
      <c r="AH207" s="44"/>
      <c r="AI207" s="81"/>
      <c r="AJ207" s="43"/>
      <c r="AK207" s="43"/>
      <c r="AL207" s="43"/>
      <c r="AM207" s="43"/>
    </row>
    <row r="208" spans="2:39" x14ac:dyDescent="0.25">
      <c r="B208" s="48"/>
      <c r="C208" s="47"/>
      <c r="D208" s="47"/>
      <c r="E208" s="47"/>
      <c r="F208" s="44"/>
      <c r="G208" s="44"/>
      <c r="H208" s="46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5"/>
      <c r="T208" s="44"/>
      <c r="U208" s="44"/>
      <c r="V208" s="44"/>
      <c r="W208" s="44"/>
      <c r="X208" s="44"/>
      <c r="Y208" s="44"/>
      <c r="Z208" s="44"/>
      <c r="AA208" s="44"/>
      <c r="AB208" s="44"/>
      <c r="AC208" s="45"/>
      <c r="AD208" s="44"/>
      <c r="AE208" s="44"/>
      <c r="AF208" s="44"/>
      <c r="AG208" s="45"/>
      <c r="AH208" s="44"/>
      <c r="AI208" s="81"/>
      <c r="AJ208" s="43"/>
      <c r="AK208" s="43"/>
      <c r="AL208" s="43"/>
      <c r="AM208" s="43"/>
    </row>
    <row r="209" spans="2:39" x14ac:dyDescent="0.25">
      <c r="B209" s="48"/>
      <c r="C209" s="47"/>
      <c r="D209" s="47"/>
      <c r="E209" s="47"/>
      <c r="F209" s="44"/>
      <c r="G209" s="44"/>
      <c r="H209" s="46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5"/>
      <c r="T209" s="44"/>
      <c r="U209" s="44"/>
      <c r="V209" s="44"/>
      <c r="W209" s="44"/>
      <c r="X209" s="44"/>
      <c r="Y209" s="44"/>
      <c r="Z209" s="44"/>
      <c r="AA209" s="44"/>
      <c r="AB209" s="44"/>
      <c r="AC209" s="45"/>
      <c r="AD209" s="44"/>
      <c r="AE209" s="44"/>
      <c r="AF209" s="44"/>
      <c r="AG209" s="45"/>
      <c r="AH209" s="44"/>
      <c r="AI209" s="81"/>
      <c r="AJ209" s="43"/>
      <c r="AK209" s="43"/>
      <c r="AL209" s="43"/>
      <c r="AM209" s="43"/>
    </row>
    <row r="210" spans="2:39" x14ac:dyDescent="0.25">
      <c r="B210" s="48"/>
      <c r="C210" s="47"/>
      <c r="D210" s="47"/>
      <c r="E210" s="47"/>
      <c r="F210" s="44"/>
      <c r="G210" s="44"/>
      <c r="H210" s="46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5"/>
      <c r="T210" s="44"/>
      <c r="U210" s="44"/>
      <c r="V210" s="44"/>
      <c r="W210" s="44"/>
      <c r="X210" s="44"/>
      <c r="Y210" s="44"/>
      <c r="Z210" s="44"/>
      <c r="AA210" s="44"/>
      <c r="AB210" s="44"/>
      <c r="AC210" s="45"/>
      <c r="AD210" s="44"/>
      <c r="AE210" s="44"/>
      <c r="AF210" s="44"/>
      <c r="AG210" s="45"/>
      <c r="AH210" s="44"/>
      <c r="AI210" s="81"/>
      <c r="AJ210" s="43"/>
      <c r="AK210" s="43"/>
      <c r="AL210" s="43"/>
      <c r="AM210" s="43"/>
    </row>
    <row r="211" spans="2:39" x14ac:dyDescent="0.25">
      <c r="B211" s="48"/>
      <c r="C211" s="47"/>
      <c r="D211" s="47"/>
      <c r="E211" s="47"/>
      <c r="F211" s="44"/>
      <c r="G211" s="44"/>
      <c r="H211" s="46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5"/>
      <c r="T211" s="44"/>
      <c r="U211" s="44"/>
      <c r="V211" s="44"/>
      <c r="W211" s="44"/>
      <c r="X211" s="44"/>
      <c r="Y211" s="44"/>
      <c r="Z211" s="44"/>
      <c r="AA211" s="44"/>
      <c r="AB211" s="44"/>
      <c r="AC211" s="45"/>
      <c r="AD211" s="44"/>
      <c r="AE211" s="44"/>
      <c r="AF211" s="44"/>
      <c r="AG211" s="45"/>
      <c r="AH211" s="44"/>
      <c r="AI211" s="81"/>
      <c r="AJ211" s="43"/>
      <c r="AK211" s="43"/>
      <c r="AL211" s="43"/>
      <c r="AM211" s="43"/>
    </row>
    <row r="212" spans="2:39" x14ac:dyDescent="0.25">
      <c r="B212" s="48"/>
      <c r="C212" s="47"/>
      <c r="D212" s="47"/>
      <c r="E212" s="47"/>
      <c r="F212" s="44"/>
      <c r="G212" s="44"/>
      <c r="H212" s="46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5"/>
      <c r="T212" s="44"/>
      <c r="U212" s="44"/>
      <c r="V212" s="44"/>
      <c r="W212" s="44"/>
      <c r="X212" s="44"/>
      <c r="Y212" s="44"/>
      <c r="Z212" s="44"/>
      <c r="AA212" s="44"/>
      <c r="AB212" s="44"/>
      <c r="AC212" s="45"/>
      <c r="AD212" s="44"/>
      <c r="AE212" s="44"/>
      <c r="AF212" s="44"/>
      <c r="AG212" s="45"/>
      <c r="AH212" s="44"/>
      <c r="AI212" s="81"/>
      <c r="AJ212" s="43"/>
      <c r="AK212" s="43"/>
      <c r="AL212" s="43"/>
      <c r="AM212" s="43"/>
    </row>
    <row r="213" spans="2:39" x14ac:dyDescent="0.25">
      <c r="B213" s="48"/>
      <c r="C213" s="47"/>
      <c r="D213" s="47"/>
      <c r="E213" s="47"/>
      <c r="F213" s="44"/>
      <c r="G213" s="44"/>
      <c r="H213" s="46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5"/>
      <c r="T213" s="44"/>
      <c r="U213" s="44"/>
      <c r="V213" s="44"/>
      <c r="W213" s="44"/>
      <c r="X213" s="44"/>
      <c r="Y213" s="44"/>
      <c r="Z213" s="44"/>
      <c r="AA213" s="44"/>
      <c r="AB213" s="44"/>
      <c r="AC213" s="45"/>
      <c r="AD213" s="44"/>
      <c r="AE213" s="44"/>
      <c r="AF213" s="44"/>
      <c r="AG213" s="45"/>
      <c r="AH213" s="44"/>
      <c r="AI213" s="81"/>
      <c r="AJ213" s="43"/>
      <c r="AK213" s="43"/>
      <c r="AL213" s="43"/>
      <c r="AM213" s="43"/>
    </row>
    <row r="214" spans="2:39" x14ac:dyDescent="0.25">
      <c r="B214" s="48"/>
      <c r="C214" s="47"/>
      <c r="D214" s="47"/>
      <c r="E214" s="47"/>
      <c r="F214" s="44"/>
      <c r="G214" s="44"/>
      <c r="H214" s="46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5"/>
      <c r="T214" s="44"/>
      <c r="U214" s="44"/>
      <c r="V214" s="44"/>
      <c r="W214" s="44"/>
      <c r="X214" s="44"/>
      <c r="Y214" s="44"/>
      <c r="Z214" s="44"/>
      <c r="AA214" s="44"/>
      <c r="AB214" s="44"/>
      <c r="AC214" s="45"/>
      <c r="AD214" s="44"/>
      <c r="AE214" s="44"/>
      <c r="AF214" s="44"/>
      <c r="AG214" s="45"/>
      <c r="AH214" s="44"/>
      <c r="AI214" s="81"/>
      <c r="AJ214" s="43"/>
      <c r="AK214" s="43"/>
      <c r="AL214" s="43"/>
      <c r="AM214" s="43"/>
    </row>
    <row r="215" spans="2:39" x14ac:dyDescent="0.25">
      <c r="B215" s="48"/>
      <c r="C215" s="47"/>
      <c r="D215" s="47"/>
      <c r="E215" s="47"/>
      <c r="F215" s="44"/>
      <c r="G215" s="44"/>
      <c r="H215" s="46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5"/>
      <c r="T215" s="44"/>
      <c r="U215" s="44"/>
      <c r="V215" s="44"/>
      <c r="W215" s="44"/>
      <c r="X215" s="44"/>
      <c r="Y215" s="44"/>
      <c r="Z215" s="44"/>
      <c r="AA215" s="44"/>
      <c r="AB215" s="44"/>
      <c r="AC215" s="45"/>
      <c r="AD215" s="44"/>
      <c r="AE215" s="44"/>
      <c r="AF215" s="44"/>
      <c r="AG215" s="45"/>
      <c r="AH215" s="44"/>
      <c r="AI215" s="81"/>
      <c r="AJ215" s="43"/>
      <c r="AK215" s="43"/>
      <c r="AL215" s="43"/>
      <c r="AM215" s="43"/>
    </row>
    <row r="216" spans="2:39" x14ac:dyDescent="0.25">
      <c r="B216" s="48"/>
      <c r="C216" s="47"/>
      <c r="D216" s="47"/>
      <c r="E216" s="47"/>
      <c r="F216" s="44"/>
      <c r="G216" s="44"/>
      <c r="H216" s="46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5"/>
      <c r="T216" s="44"/>
      <c r="U216" s="44"/>
      <c r="V216" s="44"/>
      <c r="W216" s="44"/>
      <c r="X216" s="44"/>
      <c r="Y216" s="44"/>
      <c r="Z216" s="44"/>
      <c r="AA216" s="44"/>
      <c r="AB216" s="44"/>
      <c r="AC216" s="45"/>
      <c r="AD216" s="44"/>
      <c r="AE216" s="44"/>
      <c r="AF216" s="44"/>
      <c r="AG216" s="45"/>
      <c r="AH216" s="44"/>
      <c r="AI216" s="81"/>
      <c r="AJ216" s="43"/>
      <c r="AK216" s="43"/>
      <c r="AL216" s="43"/>
      <c r="AM216" s="43"/>
    </row>
    <row r="217" spans="2:39" x14ac:dyDescent="0.25">
      <c r="B217" s="48"/>
      <c r="C217" s="47"/>
      <c r="D217" s="47"/>
      <c r="E217" s="47"/>
      <c r="F217" s="44"/>
      <c r="G217" s="44"/>
      <c r="H217" s="46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5"/>
      <c r="T217" s="44"/>
      <c r="U217" s="44"/>
      <c r="V217" s="44"/>
      <c r="W217" s="44"/>
      <c r="X217" s="44"/>
      <c r="Y217" s="44"/>
      <c r="Z217" s="44"/>
      <c r="AA217" s="44"/>
      <c r="AB217" s="44"/>
      <c r="AC217" s="45"/>
      <c r="AD217" s="44"/>
      <c r="AE217" s="44"/>
      <c r="AF217" s="44"/>
      <c r="AG217" s="45"/>
      <c r="AH217" s="44"/>
      <c r="AI217" s="81"/>
      <c r="AJ217" s="43"/>
      <c r="AK217" s="43"/>
      <c r="AL217" s="43"/>
      <c r="AM217" s="43"/>
    </row>
    <row r="218" spans="2:39" x14ac:dyDescent="0.25">
      <c r="B218" s="48"/>
      <c r="C218" s="47"/>
      <c r="D218" s="47"/>
      <c r="E218" s="47"/>
      <c r="F218" s="44"/>
      <c r="G218" s="44"/>
      <c r="H218" s="46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5"/>
      <c r="T218" s="44"/>
      <c r="U218" s="44"/>
      <c r="V218" s="44"/>
      <c r="W218" s="44"/>
      <c r="X218" s="44"/>
      <c r="Y218" s="44"/>
      <c r="Z218" s="44"/>
      <c r="AA218" s="44"/>
      <c r="AB218" s="44"/>
      <c r="AC218" s="45"/>
      <c r="AD218" s="44"/>
      <c r="AE218" s="44"/>
      <c r="AF218" s="44"/>
      <c r="AG218" s="45"/>
      <c r="AH218" s="44"/>
      <c r="AI218" s="81"/>
      <c r="AJ218" s="43"/>
      <c r="AK218" s="43"/>
      <c r="AL218" s="43"/>
      <c r="AM218" s="43"/>
    </row>
    <row r="219" spans="2:39" x14ac:dyDescent="0.25">
      <c r="B219" s="48"/>
      <c r="C219" s="47"/>
      <c r="D219" s="47"/>
      <c r="E219" s="47"/>
      <c r="F219" s="44"/>
      <c r="G219" s="44"/>
      <c r="H219" s="46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5"/>
      <c r="T219" s="44"/>
      <c r="U219" s="44"/>
      <c r="V219" s="44"/>
      <c r="W219" s="44"/>
      <c r="X219" s="44"/>
      <c r="Y219" s="44"/>
      <c r="Z219" s="44"/>
      <c r="AA219" s="44"/>
      <c r="AB219" s="44"/>
      <c r="AC219" s="45"/>
      <c r="AD219" s="44"/>
      <c r="AE219" s="44"/>
      <c r="AF219" s="44"/>
      <c r="AG219" s="45"/>
      <c r="AH219" s="44"/>
      <c r="AI219" s="81"/>
      <c r="AJ219" s="43"/>
      <c r="AK219" s="43"/>
      <c r="AL219" s="43"/>
      <c r="AM219" s="43"/>
    </row>
    <row r="220" spans="2:39" x14ac:dyDescent="0.25">
      <c r="B220" s="48"/>
      <c r="C220" s="47"/>
      <c r="D220" s="47"/>
      <c r="E220" s="47"/>
      <c r="F220" s="44"/>
      <c r="G220" s="44"/>
      <c r="H220" s="46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5"/>
      <c r="T220" s="44"/>
      <c r="U220" s="44"/>
      <c r="V220" s="44"/>
      <c r="W220" s="44"/>
      <c r="X220" s="44"/>
      <c r="Y220" s="44"/>
      <c r="Z220" s="44"/>
      <c r="AA220" s="44"/>
      <c r="AB220" s="44"/>
      <c r="AC220" s="45"/>
      <c r="AD220" s="44"/>
      <c r="AE220" s="44"/>
      <c r="AF220" s="44"/>
      <c r="AG220" s="45"/>
      <c r="AH220" s="44"/>
      <c r="AI220" s="81"/>
      <c r="AJ220" s="43"/>
      <c r="AK220" s="43"/>
      <c r="AL220" s="43"/>
      <c r="AM220" s="43"/>
    </row>
    <row r="221" spans="2:39" x14ac:dyDescent="0.25">
      <c r="B221" s="48"/>
      <c r="C221" s="47"/>
      <c r="D221" s="47"/>
      <c r="E221" s="47"/>
      <c r="F221" s="44"/>
      <c r="G221" s="44"/>
      <c r="H221" s="46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5"/>
      <c r="T221" s="44"/>
      <c r="U221" s="44"/>
      <c r="V221" s="44"/>
      <c r="W221" s="44"/>
      <c r="X221" s="44"/>
      <c r="Y221" s="44"/>
      <c r="Z221" s="44"/>
      <c r="AA221" s="44"/>
      <c r="AB221" s="44"/>
      <c r="AC221" s="45"/>
      <c r="AD221" s="44"/>
      <c r="AE221" s="44"/>
      <c r="AF221" s="44"/>
      <c r="AG221" s="45"/>
      <c r="AH221" s="44"/>
      <c r="AI221" s="81"/>
      <c r="AJ221" s="43"/>
      <c r="AK221" s="43"/>
      <c r="AL221" s="43"/>
      <c r="AM221" s="43"/>
    </row>
    <row r="222" spans="2:39" x14ac:dyDescent="0.25">
      <c r="B222" s="48"/>
      <c r="C222" s="47"/>
      <c r="D222" s="47"/>
      <c r="E222" s="47"/>
      <c r="F222" s="44"/>
      <c r="G222" s="44"/>
      <c r="H222" s="46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5"/>
      <c r="T222" s="44"/>
      <c r="U222" s="44"/>
      <c r="V222" s="44"/>
      <c r="W222" s="44"/>
      <c r="X222" s="44"/>
      <c r="Y222" s="44"/>
      <c r="Z222" s="44"/>
      <c r="AA222" s="44"/>
      <c r="AB222" s="44"/>
      <c r="AC222" s="45"/>
      <c r="AD222" s="44"/>
      <c r="AE222" s="44"/>
      <c r="AF222" s="44"/>
      <c r="AG222" s="45"/>
      <c r="AH222" s="44"/>
      <c r="AI222" s="81"/>
      <c r="AJ222" s="43"/>
      <c r="AK222" s="43"/>
      <c r="AL222" s="43"/>
      <c r="AM222" s="43"/>
    </row>
    <row r="223" spans="2:39" x14ac:dyDescent="0.25">
      <c r="B223" s="48"/>
      <c r="C223" s="47"/>
      <c r="D223" s="47"/>
      <c r="E223" s="47"/>
      <c r="F223" s="44"/>
      <c r="G223" s="44"/>
      <c r="H223" s="46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5"/>
      <c r="T223" s="44"/>
      <c r="U223" s="44"/>
      <c r="V223" s="44"/>
      <c r="W223" s="44"/>
      <c r="X223" s="44"/>
      <c r="Y223" s="44"/>
      <c r="Z223" s="44"/>
      <c r="AA223" s="44"/>
      <c r="AB223" s="44"/>
      <c r="AC223" s="45"/>
      <c r="AD223" s="44"/>
      <c r="AE223" s="44"/>
      <c r="AF223" s="44"/>
      <c r="AG223" s="45"/>
      <c r="AH223" s="44"/>
      <c r="AI223" s="81"/>
      <c r="AJ223" s="43"/>
      <c r="AK223" s="43"/>
      <c r="AL223" s="43"/>
      <c r="AM223" s="43"/>
    </row>
    <row r="224" spans="2:39" x14ac:dyDescent="0.25">
      <c r="B224" s="48"/>
      <c r="C224" s="47"/>
      <c r="D224" s="47"/>
      <c r="E224" s="47"/>
      <c r="F224" s="44"/>
      <c r="G224" s="44"/>
      <c r="H224" s="46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5"/>
      <c r="T224" s="44"/>
      <c r="U224" s="44"/>
      <c r="V224" s="44"/>
      <c r="W224" s="44"/>
      <c r="X224" s="44"/>
      <c r="Y224" s="44"/>
      <c r="Z224" s="44"/>
      <c r="AA224" s="44"/>
      <c r="AB224" s="44"/>
      <c r="AC224" s="45"/>
      <c r="AD224" s="44"/>
      <c r="AE224" s="44"/>
      <c r="AF224" s="44"/>
      <c r="AG224" s="45"/>
      <c r="AH224" s="44"/>
      <c r="AI224" s="81"/>
      <c r="AJ224" s="43"/>
      <c r="AK224" s="43"/>
      <c r="AL224" s="43"/>
      <c r="AM224" s="43"/>
    </row>
    <row r="225" spans="2:39" x14ac:dyDescent="0.25">
      <c r="B225" s="48"/>
      <c r="C225" s="47"/>
      <c r="D225" s="47"/>
      <c r="E225" s="47"/>
      <c r="F225" s="44"/>
      <c r="G225" s="44"/>
      <c r="H225" s="46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5"/>
      <c r="T225" s="44"/>
      <c r="U225" s="44"/>
      <c r="V225" s="44"/>
      <c r="W225" s="44"/>
      <c r="X225" s="44"/>
      <c r="Y225" s="44"/>
      <c r="Z225" s="44"/>
      <c r="AA225" s="44"/>
      <c r="AB225" s="44"/>
      <c r="AC225" s="45"/>
      <c r="AD225" s="44"/>
      <c r="AE225" s="44"/>
      <c r="AF225" s="44"/>
      <c r="AG225" s="45"/>
      <c r="AH225" s="44"/>
      <c r="AI225" s="81"/>
      <c r="AJ225" s="43"/>
      <c r="AK225" s="43"/>
      <c r="AL225" s="43"/>
      <c r="AM225" s="43"/>
    </row>
    <row r="226" spans="2:39" x14ac:dyDescent="0.25">
      <c r="B226" s="48"/>
      <c r="C226" s="47"/>
      <c r="D226" s="47"/>
      <c r="E226" s="47"/>
      <c r="F226" s="44"/>
      <c r="G226" s="44"/>
      <c r="H226" s="46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5"/>
      <c r="T226" s="44"/>
      <c r="U226" s="44"/>
      <c r="V226" s="44"/>
      <c r="W226" s="44"/>
      <c r="X226" s="44"/>
      <c r="Y226" s="44"/>
      <c r="Z226" s="44"/>
      <c r="AA226" s="44"/>
      <c r="AB226" s="44"/>
      <c r="AC226" s="45"/>
      <c r="AD226" s="44"/>
      <c r="AE226" s="44"/>
      <c r="AF226" s="44"/>
      <c r="AG226" s="45"/>
      <c r="AH226" s="44"/>
      <c r="AI226" s="81"/>
      <c r="AJ226" s="43"/>
      <c r="AK226" s="43"/>
      <c r="AL226" s="43"/>
      <c r="AM226" s="43"/>
    </row>
    <row r="227" spans="2:39" x14ac:dyDescent="0.25">
      <c r="B227" s="48"/>
      <c r="C227" s="47"/>
      <c r="D227" s="47"/>
      <c r="E227" s="47"/>
      <c r="F227" s="44"/>
      <c r="G227" s="44"/>
      <c r="H227" s="46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5"/>
      <c r="T227" s="44"/>
      <c r="U227" s="44"/>
      <c r="V227" s="44"/>
      <c r="W227" s="44"/>
      <c r="X227" s="44"/>
      <c r="Y227" s="44"/>
      <c r="Z227" s="44"/>
      <c r="AA227" s="44"/>
      <c r="AB227" s="44"/>
      <c r="AC227" s="45"/>
      <c r="AD227" s="44"/>
      <c r="AE227" s="44"/>
      <c r="AF227" s="44"/>
      <c r="AG227" s="45"/>
      <c r="AH227" s="44"/>
      <c r="AI227" s="81"/>
      <c r="AJ227" s="43"/>
      <c r="AK227" s="43"/>
      <c r="AL227" s="43"/>
      <c r="AM227" s="43"/>
    </row>
    <row r="228" spans="2:39" x14ac:dyDescent="0.25">
      <c r="B228" s="48"/>
      <c r="C228" s="47"/>
      <c r="D228" s="47"/>
      <c r="E228" s="47"/>
      <c r="F228" s="44"/>
      <c r="G228" s="44"/>
      <c r="H228" s="46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5"/>
      <c r="T228" s="44"/>
      <c r="U228" s="44"/>
      <c r="V228" s="44"/>
      <c r="W228" s="44"/>
      <c r="X228" s="44"/>
      <c r="Y228" s="44"/>
      <c r="Z228" s="44"/>
      <c r="AA228" s="44"/>
      <c r="AB228" s="44"/>
      <c r="AC228" s="45"/>
      <c r="AD228" s="44"/>
      <c r="AE228" s="44"/>
      <c r="AF228" s="44"/>
      <c r="AG228" s="45"/>
      <c r="AH228" s="44"/>
      <c r="AI228" s="81"/>
      <c r="AJ228" s="43"/>
      <c r="AK228" s="43"/>
      <c r="AL228" s="43"/>
      <c r="AM228" s="43"/>
    </row>
    <row r="229" spans="2:39" x14ac:dyDescent="0.25">
      <c r="B229" s="48"/>
      <c r="C229" s="47"/>
      <c r="D229" s="47"/>
      <c r="E229" s="47"/>
      <c r="F229" s="44"/>
      <c r="G229" s="44"/>
      <c r="H229" s="46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5"/>
      <c r="T229" s="44"/>
      <c r="U229" s="44"/>
      <c r="V229" s="44"/>
      <c r="W229" s="44"/>
      <c r="X229" s="44"/>
      <c r="Y229" s="44"/>
      <c r="Z229" s="44"/>
      <c r="AA229" s="44"/>
      <c r="AB229" s="44"/>
      <c r="AC229" s="45"/>
      <c r="AD229" s="44"/>
      <c r="AE229" s="44"/>
      <c r="AF229" s="44"/>
      <c r="AG229" s="45"/>
      <c r="AH229" s="44"/>
      <c r="AI229" s="81"/>
      <c r="AJ229" s="43"/>
      <c r="AK229" s="43"/>
      <c r="AL229" s="43"/>
      <c r="AM229" s="43"/>
    </row>
    <row r="230" spans="2:39" x14ac:dyDescent="0.25">
      <c r="B230" s="48"/>
      <c r="C230" s="47"/>
      <c r="D230" s="47"/>
      <c r="E230" s="47"/>
      <c r="F230" s="44"/>
      <c r="G230" s="44"/>
      <c r="H230" s="46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5"/>
      <c r="T230" s="44"/>
      <c r="U230" s="44"/>
      <c r="V230" s="44"/>
      <c r="W230" s="44"/>
      <c r="X230" s="44"/>
      <c r="Y230" s="44"/>
      <c r="Z230" s="44"/>
      <c r="AA230" s="44"/>
      <c r="AB230" s="44"/>
      <c r="AC230" s="45"/>
      <c r="AD230" s="44"/>
      <c r="AE230" s="44"/>
      <c r="AF230" s="44"/>
      <c r="AG230" s="45"/>
      <c r="AH230" s="44"/>
      <c r="AI230" s="81"/>
      <c r="AJ230" s="43"/>
      <c r="AK230" s="43"/>
      <c r="AL230" s="43"/>
      <c r="AM230" s="43"/>
    </row>
    <row r="231" spans="2:39" x14ac:dyDescent="0.25">
      <c r="B231" s="48"/>
      <c r="C231" s="47"/>
      <c r="D231" s="47"/>
      <c r="E231" s="47"/>
      <c r="F231" s="44"/>
      <c r="G231" s="44"/>
      <c r="H231" s="46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5"/>
      <c r="T231" s="44"/>
      <c r="U231" s="44"/>
      <c r="V231" s="44"/>
      <c r="W231" s="44"/>
      <c r="X231" s="44"/>
      <c r="Y231" s="44"/>
      <c r="Z231" s="44"/>
      <c r="AA231" s="44"/>
      <c r="AB231" s="44"/>
      <c r="AC231" s="45"/>
      <c r="AD231" s="44"/>
      <c r="AE231" s="44"/>
      <c r="AF231" s="44"/>
      <c r="AG231" s="45"/>
      <c r="AH231" s="44"/>
      <c r="AI231" s="81"/>
      <c r="AJ231" s="43"/>
      <c r="AK231" s="43"/>
      <c r="AL231" s="43"/>
      <c r="AM231" s="43"/>
    </row>
    <row r="232" spans="2:39" x14ac:dyDescent="0.25">
      <c r="B232" s="48"/>
      <c r="C232" s="47"/>
      <c r="D232" s="47"/>
      <c r="E232" s="47"/>
      <c r="F232" s="44"/>
      <c r="G232" s="44"/>
      <c r="H232" s="46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5"/>
      <c r="T232" s="44"/>
      <c r="U232" s="44"/>
      <c r="V232" s="44"/>
      <c r="W232" s="44"/>
      <c r="X232" s="44"/>
      <c r="Y232" s="44"/>
      <c r="Z232" s="44"/>
      <c r="AA232" s="44"/>
      <c r="AB232" s="44"/>
      <c r="AC232" s="45"/>
      <c r="AD232" s="44"/>
      <c r="AE232" s="44"/>
      <c r="AF232" s="44"/>
      <c r="AG232" s="45"/>
      <c r="AH232" s="44"/>
      <c r="AI232" s="81"/>
      <c r="AJ232" s="43"/>
      <c r="AK232" s="43"/>
      <c r="AL232" s="43"/>
      <c r="AM232" s="43"/>
    </row>
    <row r="233" spans="2:39" x14ac:dyDescent="0.25">
      <c r="B233" s="48"/>
      <c r="C233" s="47"/>
      <c r="D233" s="47"/>
      <c r="E233" s="47"/>
      <c r="F233" s="44"/>
      <c r="G233" s="44"/>
      <c r="H233" s="46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5"/>
      <c r="T233" s="44"/>
      <c r="U233" s="44"/>
      <c r="V233" s="44"/>
      <c r="W233" s="44"/>
      <c r="X233" s="44"/>
      <c r="Y233" s="44"/>
      <c r="Z233" s="44"/>
      <c r="AA233" s="44"/>
      <c r="AB233" s="44"/>
      <c r="AC233" s="45"/>
      <c r="AD233" s="44"/>
      <c r="AE233" s="44"/>
      <c r="AF233" s="44"/>
      <c r="AG233" s="45"/>
      <c r="AH233" s="44"/>
      <c r="AI233" s="81"/>
      <c r="AJ233" s="43"/>
      <c r="AK233" s="43"/>
      <c r="AL233" s="43"/>
      <c r="AM233" s="43"/>
    </row>
    <row r="234" spans="2:39" x14ac:dyDescent="0.25">
      <c r="B234" s="48"/>
      <c r="C234" s="47"/>
      <c r="D234" s="47"/>
      <c r="E234" s="47"/>
      <c r="F234" s="44"/>
      <c r="G234" s="44"/>
      <c r="H234" s="46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5"/>
      <c r="T234" s="44"/>
      <c r="U234" s="44"/>
      <c r="V234" s="44"/>
      <c r="W234" s="44"/>
      <c r="X234" s="44"/>
      <c r="Y234" s="44"/>
      <c r="Z234" s="44"/>
      <c r="AA234" s="44"/>
      <c r="AB234" s="44"/>
      <c r="AC234" s="45"/>
      <c r="AD234" s="44"/>
      <c r="AE234" s="44"/>
      <c r="AF234" s="44"/>
      <c r="AG234" s="45"/>
      <c r="AH234" s="44"/>
      <c r="AI234" s="81"/>
      <c r="AJ234" s="43"/>
      <c r="AK234" s="43"/>
      <c r="AL234" s="43"/>
      <c r="AM234" s="43"/>
    </row>
    <row r="235" spans="2:39" x14ac:dyDescent="0.25">
      <c r="B235" s="48"/>
      <c r="C235" s="47"/>
      <c r="D235" s="47"/>
      <c r="E235" s="47"/>
      <c r="F235" s="44"/>
      <c r="G235" s="44"/>
      <c r="H235" s="46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5"/>
      <c r="T235" s="44"/>
      <c r="U235" s="44"/>
      <c r="V235" s="44"/>
      <c r="W235" s="44"/>
      <c r="X235" s="44"/>
      <c r="Y235" s="44"/>
      <c r="Z235" s="44"/>
      <c r="AA235" s="44"/>
      <c r="AB235" s="44"/>
      <c r="AC235" s="45"/>
      <c r="AD235" s="44"/>
      <c r="AE235" s="44"/>
      <c r="AF235" s="44"/>
      <c r="AG235" s="45"/>
      <c r="AH235" s="44"/>
      <c r="AI235" s="81"/>
      <c r="AJ235" s="43"/>
      <c r="AK235" s="43"/>
      <c r="AL235" s="43"/>
      <c r="AM235" s="43"/>
    </row>
    <row r="236" spans="2:39" x14ac:dyDescent="0.25">
      <c r="B236" s="48"/>
      <c r="C236" s="47"/>
      <c r="D236" s="47"/>
      <c r="E236" s="47"/>
      <c r="F236" s="44"/>
      <c r="G236" s="44"/>
      <c r="H236" s="46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5"/>
      <c r="T236" s="44"/>
      <c r="U236" s="44"/>
      <c r="V236" s="44"/>
      <c r="W236" s="44"/>
      <c r="X236" s="44"/>
      <c r="Y236" s="44"/>
      <c r="Z236" s="44"/>
      <c r="AA236" s="44"/>
      <c r="AB236" s="44"/>
      <c r="AC236" s="45"/>
      <c r="AD236" s="44"/>
      <c r="AE236" s="44"/>
      <c r="AF236" s="44"/>
      <c r="AG236" s="45"/>
      <c r="AH236" s="44"/>
      <c r="AI236" s="81"/>
      <c r="AJ236" s="43"/>
      <c r="AK236" s="43"/>
      <c r="AL236" s="43"/>
      <c r="AM236" s="43"/>
    </row>
    <row r="237" spans="2:39" x14ac:dyDescent="0.25">
      <c r="B237" s="48"/>
      <c r="C237" s="47"/>
      <c r="D237" s="47"/>
      <c r="E237" s="47"/>
      <c r="F237" s="44"/>
      <c r="G237" s="44"/>
      <c r="H237" s="46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5"/>
      <c r="T237" s="44"/>
      <c r="U237" s="44"/>
      <c r="V237" s="44"/>
      <c r="W237" s="44"/>
      <c r="X237" s="44"/>
      <c r="Y237" s="44"/>
      <c r="Z237" s="44"/>
      <c r="AA237" s="44"/>
      <c r="AB237" s="44"/>
      <c r="AC237" s="45"/>
      <c r="AD237" s="44"/>
      <c r="AE237" s="44"/>
      <c r="AF237" s="44"/>
      <c r="AG237" s="45"/>
      <c r="AH237" s="44"/>
      <c r="AI237" s="81"/>
      <c r="AJ237" s="43"/>
      <c r="AK237" s="43"/>
      <c r="AL237" s="43"/>
      <c r="AM237" s="43"/>
    </row>
    <row r="238" spans="2:39" x14ac:dyDescent="0.25">
      <c r="B238" s="48"/>
      <c r="C238" s="47"/>
      <c r="D238" s="47"/>
      <c r="E238" s="47"/>
      <c r="F238" s="44"/>
      <c r="G238" s="44"/>
      <c r="H238" s="46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5"/>
      <c r="T238" s="44"/>
      <c r="U238" s="44"/>
      <c r="V238" s="44"/>
      <c r="W238" s="44"/>
      <c r="X238" s="44"/>
      <c r="Y238" s="44"/>
      <c r="Z238" s="44"/>
      <c r="AA238" s="44"/>
      <c r="AB238" s="44"/>
      <c r="AC238" s="45"/>
      <c r="AD238" s="44"/>
      <c r="AE238" s="44"/>
      <c r="AF238" s="44"/>
      <c r="AG238" s="45"/>
      <c r="AH238" s="44"/>
      <c r="AI238" s="81"/>
      <c r="AJ238" s="43"/>
      <c r="AK238" s="43"/>
      <c r="AL238" s="43"/>
      <c r="AM238" s="43"/>
    </row>
    <row r="239" spans="2:39" x14ac:dyDescent="0.25">
      <c r="B239" s="48"/>
      <c r="C239" s="47"/>
      <c r="D239" s="47"/>
      <c r="E239" s="47"/>
      <c r="F239" s="44"/>
      <c r="G239" s="44"/>
      <c r="H239" s="46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5"/>
      <c r="T239" s="44"/>
      <c r="U239" s="44"/>
      <c r="V239" s="44"/>
      <c r="W239" s="44"/>
      <c r="X239" s="44"/>
      <c r="Y239" s="44"/>
      <c r="Z239" s="44"/>
      <c r="AA239" s="44"/>
      <c r="AB239" s="44"/>
      <c r="AC239" s="45"/>
      <c r="AD239" s="44"/>
      <c r="AE239" s="44"/>
      <c r="AF239" s="44"/>
      <c r="AG239" s="45"/>
      <c r="AH239" s="44"/>
      <c r="AI239" s="81"/>
      <c r="AJ239" s="43"/>
      <c r="AK239" s="43"/>
      <c r="AL239" s="43"/>
      <c r="AM239" s="43"/>
    </row>
    <row r="240" spans="2:39" x14ac:dyDescent="0.25">
      <c r="B240" s="48"/>
      <c r="C240" s="47"/>
      <c r="D240" s="47"/>
      <c r="E240" s="47"/>
      <c r="F240" s="44"/>
      <c r="G240" s="44"/>
      <c r="H240" s="46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5"/>
      <c r="T240" s="44"/>
      <c r="U240" s="44"/>
      <c r="V240" s="44"/>
      <c r="W240" s="44"/>
      <c r="X240" s="44"/>
      <c r="Y240" s="44"/>
      <c r="Z240" s="44"/>
      <c r="AA240" s="44"/>
      <c r="AB240" s="44"/>
      <c r="AC240" s="45"/>
      <c r="AD240" s="44"/>
      <c r="AE240" s="44"/>
      <c r="AF240" s="44"/>
      <c r="AG240" s="45"/>
      <c r="AH240" s="44"/>
      <c r="AI240" s="81"/>
      <c r="AJ240" s="43"/>
      <c r="AK240" s="43"/>
      <c r="AL240" s="43"/>
      <c r="AM240" s="43"/>
    </row>
    <row r="241" spans="2:39" x14ac:dyDescent="0.25">
      <c r="B241" s="48"/>
      <c r="C241" s="47"/>
      <c r="D241" s="47"/>
      <c r="E241" s="47"/>
      <c r="F241" s="44"/>
      <c r="G241" s="44"/>
      <c r="H241" s="46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5"/>
      <c r="T241" s="44"/>
      <c r="U241" s="44"/>
      <c r="V241" s="44"/>
      <c r="W241" s="44"/>
      <c r="X241" s="44"/>
      <c r="Y241" s="44"/>
      <c r="Z241" s="44"/>
      <c r="AA241" s="44"/>
      <c r="AB241" s="44"/>
      <c r="AC241" s="45"/>
      <c r="AD241" s="44"/>
      <c r="AE241" s="44"/>
      <c r="AF241" s="44"/>
      <c r="AG241" s="45"/>
      <c r="AH241" s="44"/>
      <c r="AI241" s="81"/>
      <c r="AJ241" s="43"/>
      <c r="AK241" s="43"/>
      <c r="AL241" s="43"/>
      <c r="AM241" s="43"/>
    </row>
    <row r="242" spans="2:39" x14ac:dyDescent="0.25">
      <c r="B242" s="48"/>
      <c r="C242" s="47"/>
      <c r="D242" s="47"/>
      <c r="E242" s="47"/>
      <c r="F242" s="44"/>
      <c r="G242" s="44"/>
      <c r="H242" s="46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5"/>
      <c r="T242" s="44"/>
      <c r="U242" s="44"/>
      <c r="V242" s="44"/>
      <c r="W242" s="44"/>
      <c r="X242" s="44"/>
      <c r="Y242" s="44"/>
      <c r="Z242" s="44"/>
      <c r="AA242" s="44"/>
      <c r="AB242" s="44"/>
      <c r="AC242" s="45"/>
      <c r="AD242" s="44"/>
      <c r="AE242" s="44"/>
      <c r="AF242" s="44"/>
      <c r="AG242" s="45"/>
      <c r="AH242" s="44"/>
      <c r="AI242" s="81"/>
      <c r="AJ242" s="43"/>
      <c r="AK242" s="43"/>
      <c r="AL242" s="43"/>
      <c r="AM242" s="43"/>
    </row>
    <row r="243" spans="2:39" x14ac:dyDescent="0.25">
      <c r="B243" s="48"/>
      <c r="C243" s="47"/>
      <c r="D243" s="47"/>
      <c r="E243" s="47"/>
      <c r="F243" s="44"/>
      <c r="G243" s="44"/>
      <c r="H243" s="46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5"/>
      <c r="T243" s="44"/>
      <c r="U243" s="44"/>
      <c r="V243" s="44"/>
      <c r="W243" s="44"/>
      <c r="X243" s="44"/>
      <c r="Y243" s="44"/>
      <c r="Z243" s="44"/>
      <c r="AA243" s="44"/>
      <c r="AB243" s="44"/>
      <c r="AC243" s="45"/>
      <c r="AD243" s="44"/>
      <c r="AE243" s="44"/>
      <c r="AF243" s="44"/>
      <c r="AG243" s="45"/>
      <c r="AH243" s="44"/>
      <c r="AI243" s="81"/>
      <c r="AJ243" s="43"/>
      <c r="AK243" s="43"/>
      <c r="AL243" s="43"/>
      <c r="AM243" s="43"/>
    </row>
    <row r="244" spans="2:39" x14ac:dyDescent="0.25">
      <c r="B244" s="48"/>
      <c r="C244" s="47"/>
      <c r="D244" s="47"/>
      <c r="E244" s="47"/>
      <c r="F244" s="44"/>
      <c r="G244" s="44"/>
      <c r="H244" s="46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5"/>
      <c r="T244" s="44"/>
      <c r="U244" s="44"/>
      <c r="V244" s="44"/>
      <c r="W244" s="44"/>
      <c r="X244" s="44"/>
      <c r="Y244" s="44"/>
      <c r="Z244" s="44"/>
      <c r="AA244" s="44"/>
      <c r="AB244" s="44"/>
      <c r="AC244" s="45"/>
      <c r="AD244" s="44"/>
      <c r="AE244" s="44"/>
      <c r="AF244" s="44"/>
      <c r="AG244" s="45"/>
      <c r="AH244" s="44"/>
      <c r="AI244" s="81"/>
      <c r="AJ244" s="43"/>
      <c r="AK244" s="43"/>
      <c r="AL244" s="43"/>
      <c r="AM244" s="43"/>
    </row>
    <row r="245" spans="2:39" x14ac:dyDescent="0.25">
      <c r="B245" s="48"/>
      <c r="C245" s="47"/>
      <c r="D245" s="47"/>
      <c r="E245" s="47"/>
      <c r="F245" s="44"/>
      <c r="G245" s="44"/>
      <c r="H245" s="46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5"/>
      <c r="T245" s="44"/>
      <c r="U245" s="44"/>
      <c r="V245" s="44"/>
      <c r="W245" s="44"/>
      <c r="X245" s="44"/>
      <c r="Y245" s="44"/>
      <c r="Z245" s="44"/>
      <c r="AA245" s="44"/>
      <c r="AB245" s="44"/>
      <c r="AC245" s="45"/>
      <c r="AD245" s="44"/>
      <c r="AE245" s="44"/>
      <c r="AF245" s="44"/>
      <c r="AG245" s="45"/>
      <c r="AH245" s="44"/>
      <c r="AI245" s="81"/>
      <c r="AJ245" s="43"/>
      <c r="AK245" s="43"/>
      <c r="AL245" s="43"/>
      <c r="AM245" s="43"/>
    </row>
    <row r="246" spans="2:39" x14ac:dyDescent="0.25">
      <c r="B246" s="48"/>
      <c r="C246" s="47"/>
      <c r="D246" s="47"/>
      <c r="E246" s="47"/>
      <c r="F246" s="44"/>
      <c r="G246" s="44"/>
      <c r="H246" s="46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5"/>
      <c r="T246" s="44"/>
      <c r="U246" s="44"/>
      <c r="V246" s="44"/>
      <c r="W246" s="44"/>
      <c r="X246" s="44"/>
      <c r="Y246" s="44"/>
      <c r="Z246" s="44"/>
      <c r="AA246" s="44"/>
      <c r="AB246" s="44"/>
      <c r="AC246" s="45"/>
      <c r="AD246" s="44"/>
      <c r="AE246" s="44"/>
      <c r="AF246" s="44"/>
      <c r="AG246" s="45"/>
      <c r="AH246" s="44"/>
      <c r="AI246" s="81"/>
      <c r="AJ246" s="43"/>
      <c r="AK246" s="43"/>
      <c r="AL246" s="43"/>
      <c r="AM246" s="43"/>
    </row>
    <row r="247" spans="2:39" x14ac:dyDescent="0.25">
      <c r="B247" s="48"/>
      <c r="C247" s="47"/>
      <c r="D247" s="47"/>
      <c r="E247" s="47"/>
      <c r="F247" s="44"/>
      <c r="G247" s="44"/>
      <c r="H247" s="46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5"/>
      <c r="T247" s="44"/>
      <c r="U247" s="44"/>
      <c r="V247" s="44"/>
      <c r="W247" s="44"/>
      <c r="X247" s="44"/>
      <c r="Y247" s="44"/>
      <c r="Z247" s="44"/>
      <c r="AA247" s="44"/>
      <c r="AB247" s="44"/>
      <c r="AC247" s="45"/>
      <c r="AD247" s="44"/>
      <c r="AE247" s="44"/>
      <c r="AF247" s="44"/>
      <c r="AG247" s="45"/>
      <c r="AH247" s="44"/>
      <c r="AI247" s="81"/>
      <c r="AJ247" s="43"/>
      <c r="AK247" s="43"/>
      <c r="AL247" s="43"/>
      <c r="AM247" s="43"/>
    </row>
    <row r="248" spans="2:39" x14ac:dyDescent="0.25">
      <c r="B248" s="48"/>
      <c r="C248" s="47"/>
      <c r="D248" s="47"/>
      <c r="E248" s="47"/>
      <c r="F248" s="44"/>
      <c r="G248" s="44"/>
      <c r="H248" s="46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5"/>
      <c r="T248" s="44"/>
      <c r="U248" s="44"/>
      <c r="V248" s="44"/>
      <c r="W248" s="44"/>
      <c r="X248" s="44"/>
      <c r="Y248" s="44"/>
      <c r="Z248" s="44"/>
      <c r="AA248" s="44"/>
      <c r="AB248" s="44"/>
      <c r="AC248" s="45"/>
      <c r="AD248" s="44"/>
      <c r="AE248" s="44"/>
      <c r="AF248" s="44"/>
      <c r="AG248" s="45"/>
      <c r="AH248" s="44"/>
      <c r="AI248" s="81"/>
      <c r="AJ248" s="43"/>
      <c r="AK248" s="43"/>
      <c r="AL248" s="43"/>
      <c r="AM248" s="43"/>
    </row>
    <row r="249" spans="2:39" x14ac:dyDescent="0.25">
      <c r="B249" s="48"/>
      <c r="C249" s="47"/>
      <c r="D249" s="47"/>
      <c r="E249" s="47"/>
      <c r="F249" s="44"/>
      <c r="G249" s="44"/>
      <c r="H249" s="46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5"/>
      <c r="T249" s="44"/>
      <c r="U249" s="44"/>
      <c r="V249" s="44"/>
      <c r="W249" s="44"/>
      <c r="X249" s="44"/>
      <c r="Y249" s="44"/>
      <c r="Z249" s="44"/>
      <c r="AA249" s="44"/>
      <c r="AB249" s="44"/>
      <c r="AC249" s="45"/>
      <c r="AD249" s="44"/>
      <c r="AE249" s="44"/>
      <c r="AF249" s="44"/>
      <c r="AG249" s="45"/>
      <c r="AH249" s="44"/>
      <c r="AI249" s="81"/>
      <c r="AJ249" s="43"/>
      <c r="AK249" s="43"/>
      <c r="AL249" s="43"/>
      <c r="AM249" s="43"/>
    </row>
    <row r="250" spans="2:39" x14ac:dyDescent="0.25">
      <c r="B250" s="48"/>
      <c r="C250" s="47"/>
      <c r="D250" s="47"/>
      <c r="E250" s="47"/>
      <c r="F250" s="44"/>
      <c r="G250" s="44"/>
      <c r="H250" s="46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5"/>
      <c r="T250" s="44"/>
      <c r="U250" s="44"/>
      <c r="V250" s="44"/>
      <c r="W250" s="44"/>
      <c r="X250" s="44"/>
      <c r="Y250" s="44"/>
      <c r="Z250" s="44"/>
      <c r="AA250" s="44"/>
      <c r="AB250" s="44"/>
      <c r="AC250" s="45"/>
      <c r="AD250" s="44"/>
      <c r="AE250" s="44"/>
      <c r="AF250" s="44"/>
      <c r="AG250" s="45"/>
      <c r="AH250" s="44"/>
      <c r="AI250" s="81"/>
      <c r="AJ250" s="43"/>
      <c r="AK250" s="43"/>
      <c r="AL250" s="43"/>
      <c r="AM250" s="43"/>
    </row>
    <row r="251" spans="2:39" x14ac:dyDescent="0.25">
      <c r="B251" s="48"/>
      <c r="C251" s="47"/>
      <c r="D251" s="47"/>
      <c r="E251" s="47"/>
      <c r="F251" s="44"/>
      <c r="G251" s="44"/>
      <c r="H251" s="46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5"/>
      <c r="T251" s="44"/>
      <c r="U251" s="44"/>
      <c r="V251" s="44"/>
      <c r="W251" s="44"/>
      <c r="X251" s="44"/>
      <c r="Y251" s="44"/>
      <c r="Z251" s="44"/>
      <c r="AA251" s="44"/>
      <c r="AB251" s="44"/>
      <c r="AC251" s="45"/>
      <c r="AD251" s="44"/>
      <c r="AE251" s="44"/>
      <c r="AF251" s="44"/>
      <c r="AG251" s="45"/>
      <c r="AH251" s="44"/>
      <c r="AI251" s="81"/>
      <c r="AJ251" s="43"/>
      <c r="AK251" s="43"/>
      <c r="AL251" s="43"/>
      <c r="AM251" s="43"/>
    </row>
    <row r="252" spans="2:39" x14ac:dyDescent="0.25">
      <c r="B252" s="48"/>
      <c r="C252" s="47"/>
      <c r="D252" s="47"/>
      <c r="E252" s="47"/>
      <c r="F252" s="44"/>
      <c r="G252" s="44"/>
      <c r="H252" s="46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5"/>
      <c r="T252" s="44"/>
      <c r="U252" s="44"/>
      <c r="V252" s="44"/>
      <c r="W252" s="44"/>
      <c r="X252" s="44"/>
      <c r="Y252" s="44"/>
      <c r="Z252" s="44"/>
      <c r="AA252" s="44"/>
      <c r="AB252" s="44"/>
      <c r="AC252" s="45"/>
      <c r="AD252" s="44"/>
      <c r="AE252" s="44"/>
      <c r="AF252" s="44"/>
      <c r="AG252" s="45"/>
      <c r="AH252" s="44"/>
      <c r="AI252" s="81"/>
      <c r="AJ252" s="43"/>
      <c r="AK252" s="43"/>
      <c r="AL252" s="43"/>
      <c r="AM252" s="43"/>
    </row>
    <row r="253" spans="2:39" x14ac:dyDescent="0.25">
      <c r="B253" s="48"/>
      <c r="C253" s="47"/>
      <c r="D253" s="47"/>
      <c r="E253" s="47"/>
      <c r="F253" s="44"/>
      <c r="G253" s="44"/>
      <c r="H253" s="46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5"/>
      <c r="T253" s="44"/>
      <c r="U253" s="44"/>
      <c r="V253" s="44"/>
      <c r="W253" s="44"/>
      <c r="X253" s="44"/>
      <c r="Y253" s="44"/>
      <c r="Z253" s="44"/>
      <c r="AA253" s="44"/>
      <c r="AB253" s="44"/>
      <c r="AC253" s="45"/>
      <c r="AD253" s="44"/>
      <c r="AE253" s="44"/>
      <c r="AF253" s="44"/>
      <c r="AG253" s="45"/>
      <c r="AH253" s="44"/>
      <c r="AI253" s="81"/>
      <c r="AJ253" s="43"/>
      <c r="AK253" s="43"/>
      <c r="AL253" s="43"/>
      <c r="AM253" s="43"/>
    </row>
    <row r="254" spans="2:39" x14ac:dyDescent="0.25">
      <c r="B254" s="48"/>
      <c r="C254" s="47"/>
      <c r="D254" s="47"/>
      <c r="E254" s="47"/>
      <c r="F254" s="44"/>
      <c r="G254" s="44"/>
      <c r="H254" s="46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5"/>
      <c r="T254" s="44"/>
      <c r="U254" s="44"/>
      <c r="V254" s="44"/>
      <c r="W254" s="44"/>
      <c r="X254" s="44"/>
      <c r="Y254" s="44"/>
      <c r="Z254" s="44"/>
      <c r="AA254" s="44"/>
      <c r="AB254" s="44"/>
      <c r="AC254" s="45"/>
      <c r="AD254" s="44"/>
      <c r="AE254" s="44"/>
      <c r="AF254" s="44"/>
      <c r="AG254" s="45"/>
      <c r="AH254" s="44"/>
      <c r="AI254" s="81"/>
      <c r="AJ254" s="43"/>
      <c r="AK254" s="43"/>
      <c r="AL254" s="43"/>
      <c r="AM254" s="43"/>
    </row>
    <row r="255" spans="2:39" x14ac:dyDescent="0.25">
      <c r="B255" s="48"/>
      <c r="C255" s="47"/>
      <c r="D255" s="47"/>
      <c r="E255" s="47"/>
      <c r="F255" s="44"/>
      <c r="G255" s="44"/>
      <c r="H255" s="46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5"/>
      <c r="T255" s="44"/>
      <c r="U255" s="44"/>
      <c r="V255" s="44"/>
      <c r="W255" s="44"/>
      <c r="X255" s="44"/>
      <c r="Y255" s="44"/>
      <c r="Z255" s="44"/>
      <c r="AA255" s="44"/>
      <c r="AB255" s="44"/>
      <c r="AC255" s="45"/>
      <c r="AD255" s="44"/>
      <c r="AE255" s="44"/>
      <c r="AF255" s="44"/>
      <c r="AG255" s="45"/>
      <c r="AH255" s="44"/>
      <c r="AI255" s="81"/>
      <c r="AJ255" s="43"/>
      <c r="AK255" s="43"/>
      <c r="AL255" s="43"/>
      <c r="AM255" s="43"/>
    </row>
    <row r="256" spans="2:39" x14ac:dyDescent="0.25">
      <c r="B256" s="48"/>
      <c r="C256" s="47"/>
      <c r="D256" s="47"/>
      <c r="E256" s="47"/>
      <c r="F256" s="44"/>
      <c r="G256" s="44"/>
      <c r="H256" s="46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5"/>
      <c r="T256" s="44"/>
      <c r="U256" s="44"/>
      <c r="V256" s="44"/>
      <c r="W256" s="44"/>
      <c r="X256" s="44"/>
      <c r="Y256" s="44"/>
      <c r="Z256" s="44"/>
      <c r="AA256" s="44"/>
      <c r="AB256" s="44"/>
      <c r="AC256" s="45"/>
      <c r="AD256" s="44"/>
      <c r="AE256" s="44"/>
      <c r="AF256" s="44"/>
      <c r="AG256" s="45"/>
      <c r="AH256" s="44"/>
      <c r="AI256" s="81"/>
      <c r="AJ256" s="43"/>
      <c r="AK256" s="43"/>
      <c r="AL256" s="43"/>
      <c r="AM256" s="43"/>
    </row>
    <row r="257" spans="2:39" x14ac:dyDescent="0.25">
      <c r="B257" s="48"/>
      <c r="C257" s="47"/>
      <c r="D257" s="47"/>
      <c r="E257" s="47"/>
      <c r="F257" s="44"/>
      <c r="G257" s="44"/>
      <c r="H257" s="46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5"/>
      <c r="T257" s="44"/>
      <c r="U257" s="44"/>
      <c r="V257" s="44"/>
      <c r="W257" s="44"/>
      <c r="X257" s="44"/>
      <c r="Y257" s="44"/>
      <c r="Z257" s="44"/>
      <c r="AA257" s="44"/>
      <c r="AB257" s="44"/>
      <c r="AC257" s="45"/>
      <c r="AD257" s="44"/>
      <c r="AE257" s="44"/>
      <c r="AF257" s="44"/>
      <c r="AG257" s="45"/>
      <c r="AH257" s="44"/>
      <c r="AI257" s="81"/>
      <c r="AJ257" s="43"/>
      <c r="AK257" s="43"/>
      <c r="AL257" s="43"/>
      <c r="AM257" s="43"/>
    </row>
    <row r="258" spans="2:39" x14ac:dyDescent="0.25">
      <c r="B258" s="48"/>
      <c r="C258" s="47"/>
      <c r="D258" s="47"/>
      <c r="E258" s="47"/>
      <c r="F258" s="44"/>
      <c r="G258" s="44"/>
      <c r="H258" s="46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5"/>
      <c r="T258" s="44"/>
      <c r="U258" s="44"/>
      <c r="V258" s="44"/>
      <c r="W258" s="44"/>
      <c r="X258" s="44"/>
      <c r="Y258" s="44"/>
      <c r="Z258" s="44"/>
      <c r="AA258" s="44"/>
      <c r="AB258" s="44"/>
      <c r="AC258" s="45"/>
      <c r="AD258" s="44"/>
      <c r="AE258" s="44"/>
      <c r="AF258" s="44"/>
      <c r="AG258" s="45"/>
      <c r="AH258" s="44"/>
      <c r="AI258" s="81"/>
      <c r="AJ258" s="43"/>
      <c r="AK258" s="43"/>
      <c r="AL258" s="43"/>
      <c r="AM258" s="43"/>
    </row>
    <row r="259" spans="2:39" x14ac:dyDescent="0.25">
      <c r="B259" s="48"/>
      <c r="C259" s="47"/>
      <c r="D259" s="47"/>
      <c r="E259" s="47"/>
      <c r="F259" s="44"/>
      <c r="G259" s="44"/>
      <c r="H259" s="46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5"/>
      <c r="T259" s="44"/>
      <c r="U259" s="44"/>
      <c r="V259" s="44"/>
      <c r="W259" s="44"/>
      <c r="X259" s="44"/>
      <c r="Y259" s="44"/>
      <c r="Z259" s="44"/>
      <c r="AA259" s="44"/>
      <c r="AB259" s="44"/>
      <c r="AC259" s="45"/>
      <c r="AD259" s="44"/>
      <c r="AE259" s="44"/>
      <c r="AF259" s="44"/>
      <c r="AG259" s="45"/>
      <c r="AH259" s="44"/>
      <c r="AI259" s="81"/>
      <c r="AJ259" s="43"/>
      <c r="AK259" s="43"/>
      <c r="AL259" s="43"/>
      <c r="AM259" s="43"/>
    </row>
    <row r="260" spans="2:39" x14ac:dyDescent="0.25">
      <c r="B260" s="48"/>
      <c r="C260" s="47"/>
      <c r="D260" s="47"/>
      <c r="E260" s="47"/>
      <c r="F260" s="44"/>
      <c r="G260" s="44"/>
      <c r="H260" s="46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5"/>
      <c r="T260" s="44"/>
      <c r="U260" s="44"/>
      <c r="V260" s="44"/>
      <c r="W260" s="44"/>
      <c r="X260" s="44"/>
      <c r="Y260" s="44"/>
      <c r="Z260" s="44"/>
      <c r="AA260" s="44"/>
      <c r="AB260" s="44"/>
      <c r="AC260" s="45"/>
      <c r="AD260" s="44"/>
      <c r="AE260" s="44"/>
      <c r="AF260" s="44"/>
      <c r="AG260" s="45"/>
      <c r="AH260" s="44"/>
      <c r="AI260" s="81"/>
      <c r="AJ260" s="43"/>
      <c r="AK260" s="43"/>
      <c r="AL260" s="43"/>
      <c r="AM260" s="43"/>
    </row>
    <row r="261" spans="2:39" x14ac:dyDescent="0.25">
      <c r="B261" s="48"/>
      <c r="C261" s="47"/>
      <c r="D261" s="47"/>
      <c r="E261" s="47"/>
      <c r="F261" s="44"/>
      <c r="G261" s="44"/>
      <c r="H261" s="46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5"/>
      <c r="T261" s="44"/>
      <c r="U261" s="44"/>
      <c r="V261" s="44"/>
      <c r="W261" s="44"/>
      <c r="X261" s="44"/>
      <c r="Y261" s="44"/>
      <c r="Z261" s="44"/>
      <c r="AA261" s="44"/>
      <c r="AB261" s="44"/>
      <c r="AC261" s="45"/>
      <c r="AD261" s="44"/>
      <c r="AE261" s="44"/>
      <c r="AF261" s="44"/>
      <c r="AG261" s="45"/>
      <c r="AH261" s="44"/>
      <c r="AI261" s="81"/>
      <c r="AJ261" s="43"/>
      <c r="AK261" s="43"/>
      <c r="AL261" s="43"/>
      <c r="AM261" s="43"/>
    </row>
    <row r="262" spans="2:39" x14ac:dyDescent="0.25">
      <c r="B262" s="48"/>
      <c r="C262" s="47"/>
      <c r="D262" s="47"/>
      <c r="E262" s="47"/>
      <c r="F262" s="44"/>
      <c r="G262" s="44"/>
      <c r="H262" s="46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5"/>
      <c r="T262" s="44"/>
      <c r="U262" s="44"/>
      <c r="V262" s="44"/>
      <c r="W262" s="44"/>
      <c r="X262" s="44"/>
      <c r="Y262" s="44"/>
      <c r="Z262" s="44"/>
      <c r="AA262" s="44"/>
      <c r="AB262" s="44"/>
      <c r="AC262" s="45"/>
      <c r="AD262" s="44"/>
      <c r="AE262" s="44"/>
      <c r="AF262" s="44"/>
      <c r="AG262" s="45"/>
      <c r="AH262" s="44"/>
      <c r="AI262" s="81"/>
      <c r="AJ262" s="43"/>
      <c r="AK262" s="43"/>
      <c r="AL262" s="43"/>
      <c r="AM262" s="43"/>
    </row>
    <row r="263" spans="2:39" x14ac:dyDescent="0.25">
      <c r="B263" s="48"/>
      <c r="C263" s="47"/>
      <c r="D263" s="47"/>
      <c r="E263" s="47"/>
      <c r="F263" s="44"/>
      <c r="G263" s="44"/>
      <c r="H263" s="46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5"/>
      <c r="T263" s="44"/>
      <c r="U263" s="44"/>
      <c r="V263" s="44"/>
      <c r="W263" s="44"/>
      <c r="X263" s="44"/>
      <c r="Y263" s="44"/>
      <c r="Z263" s="44"/>
      <c r="AA263" s="44"/>
      <c r="AB263" s="44"/>
      <c r="AC263" s="45"/>
      <c r="AD263" s="44"/>
      <c r="AE263" s="44"/>
      <c r="AF263" s="44"/>
      <c r="AG263" s="45"/>
      <c r="AH263" s="44"/>
      <c r="AI263" s="81"/>
      <c r="AJ263" s="43"/>
      <c r="AK263" s="43"/>
      <c r="AL263" s="43"/>
      <c r="AM263" s="43"/>
    </row>
    <row r="264" spans="2:39" x14ac:dyDescent="0.25">
      <c r="B264" s="48"/>
      <c r="C264" s="47"/>
      <c r="D264" s="47"/>
      <c r="E264" s="47"/>
      <c r="F264" s="44"/>
      <c r="G264" s="44"/>
      <c r="H264" s="46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5"/>
      <c r="T264" s="44"/>
      <c r="U264" s="44"/>
      <c r="V264" s="44"/>
      <c r="W264" s="44"/>
      <c r="X264" s="44"/>
      <c r="Y264" s="44"/>
      <c r="Z264" s="44"/>
      <c r="AA264" s="44"/>
      <c r="AB264" s="44"/>
      <c r="AC264" s="45"/>
      <c r="AD264" s="44"/>
      <c r="AE264" s="44"/>
      <c r="AF264" s="44"/>
      <c r="AG264" s="45"/>
      <c r="AH264" s="44"/>
      <c r="AI264" s="81"/>
      <c r="AJ264" s="43"/>
      <c r="AK264" s="43"/>
      <c r="AL264" s="43"/>
      <c r="AM264" s="43"/>
    </row>
    <row r="265" spans="2:39" x14ac:dyDescent="0.25">
      <c r="B265" s="48"/>
      <c r="C265" s="47"/>
      <c r="D265" s="47"/>
      <c r="E265" s="47"/>
      <c r="F265" s="44"/>
      <c r="G265" s="44"/>
      <c r="H265" s="46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5"/>
      <c r="T265" s="44"/>
      <c r="U265" s="44"/>
      <c r="V265" s="44"/>
      <c r="W265" s="44"/>
      <c r="X265" s="44"/>
      <c r="Y265" s="44"/>
      <c r="Z265" s="44"/>
      <c r="AA265" s="44"/>
      <c r="AB265" s="44"/>
      <c r="AC265" s="45"/>
      <c r="AD265" s="44"/>
      <c r="AE265" s="44"/>
      <c r="AF265" s="44"/>
      <c r="AG265" s="45"/>
      <c r="AH265" s="44"/>
      <c r="AI265" s="81"/>
      <c r="AJ265" s="43"/>
      <c r="AK265" s="43"/>
      <c r="AL265" s="43"/>
      <c r="AM265" s="43"/>
    </row>
    <row r="266" spans="2:39" x14ac:dyDescent="0.25">
      <c r="B266" s="48"/>
      <c r="C266" s="47"/>
      <c r="D266" s="47"/>
      <c r="E266" s="47"/>
      <c r="F266" s="44"/>
      <c r="G266" s="44"/>
      <c r="H266" s="46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5"/>
      <c r="T266" s="44"/>
      <c r="U266" s="44"/>
      <c r="V266" s="44"/>
      <c r="W266" s="44"/>
      <c r="X266" s="44"/>
      <c r="Y266" s="44"/>
      <c r="Z266" s="44"/>
      <c r="AA266" s="44"/>
      <c r="AB266" s="44"/>
      <c r="AC266" s="45"/>
      <c r="AD266" s="44"/>
      <c r="AE266" s="44"/>
      <c r="AF266" s="44"/>
      <c r="AG266" s="45"/>
      <c r="AH266" s="44"/>
      <c r="AI266" s="81"/>
      <c r="AJ266" s="43"/>
      <c r="AK266" s="43"/>
      <c r="AL266" s="43"/>
      <c r="AM266" s="43"/>
    </row>
    <row r="267" spans="2:39" x14ac:dyDescent="0.25">
      <c r="B267" s="48"/>
      <c r="C267" s="47"/>
      <c r="D267" s="47"/>
      <c r="E267" s="47"/>
      <c r="F267" s="44"/>
      <c r="G267" s="44"/>
      <c r="H267" s="46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5"/>
      <c r="T267" s="44"/>
      <c r="U267" s="44"/>
      <c r="V267" s="44"/>
      <c r="W267" s="44"/>
      <c r="X267" s="44"/>
      <c r="Y267" s="44"/>
      <c r="Z267" s="44"/>
      <c r="AA267" s="44"/>
      <c r="AB267" s="44"/>
      <c r="AC267" s="45"/>
      <c r="AD267" s="44"/>
      <c r="AE267" s="44"/>
      <c r="AF267" s="44"/>
      <c r="AG267" s="45"/>
      <c r="AH267" s="44"/>
      <c r="AI267" s="81"/>
      <c r="AJ267" s="43"/>
      <c r="AK267" s="43"/>
      <c r="AL267" s="43"/>
      <c r="AM267" s="43"/>
    </row>
    <row r="268" spans="2:39" x14ac:dyDescent="0.25">
      <c r="B268" s="48"/>
      <c r="C268" s="47"/>
      <c r="D268" s="47"/>
      <c r="E268" s="47"/>
      <c r="F268" s="44"/>
      <c r="G268" s="44"/>
      <c r="H268" s="46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5"/>
      <c r="T268" s="44"/>
      <c r="U268" s="44"/>
      <c r="V268" s="44"/>
      <c r="W268" s="44"/>
      <c r="X268" s="44"/>
      <c r="Y268" s="44"/>
      <c r="Z268" s="44"/>
      <c r="AA268" s="44"/>
      <c r="AB268" s="44"/>
      <c r="AC268" s="45"/>
      <c r="AD268" s="44"/>
      <c r="AE268" s="44"/>
      <c r="AF268" s="44"/>
      <c r="AG268" s="45"/>
      <c r="AH268" s="44"/>
      <c r="AI268" s="81"/>
      <c r="AJ268" s="43"/>
      <c r="AK268" s="43"/>
      <c r="AL268" s="43"/>
      <c r="AM268" s="43"/>
    </row>
    <row r="269" spans="2:39" x14ac:dyDescent="0.25">
      <c r="B269" s="48"/>
      <c r="C269" s="47"/>
      <c r="D269" s="47"/>
      <c r="E269" s="47"/>
      <c r="F269" s="44"/>
      <c r="G269" s="44"/>
      <c r="H269" s="46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5"/>
      <c r="T269" s="44"/>
      <c r="U269" s="44"/>
      <c r="V269" s="44"/>
      <c r="W269" s="44"/>
      <c r="X269" s="44"/>
      <c r="Y269" s="44"/>
      <c r="Z269" s="44"/>
      <c r="AA269" s="44"/>
      <c r="AB269" s="44"/>
      <c r="AC269" s="45"/>
      <c r="AD269" s="44"/>
      <c r="AE269" s="44"/>
      <c r="AF269" s="44"/>
      <c r="AG269" s="45"/>
      <c r="AH269" s="44"/>
      <c r="AI269" s="81"/>
      <c r="AJ269" s="43"/>
      <c r="AK269" s="43"/>
      <c r="AL269" s="43"/>
      <c r="AM269" s="43"/>
    </row>
    <row r="270" spans="2:39" x14ac:dyDescent="0.25">
      <c r="B270" s="48"/>
      <c r="C270" s="47"/>
      <c r="D270" s="47"/>
      <c r="E270" s="47"/>
      <c r="F270" s="44"/>
      <c r="G270" s="44"/>
      <c r="H270" s="46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5"/>
      <c r="T270" s="44"/>
      <c r="U270" s="44"/>
      <c r="V270" s="44"/>
      <c r="W270" s="44"/>
      <c r="X270" s="44"/>
      <c r="Y270" s="44"/>
      <c r="Z270" s="44"/>
      <c r="AA270" s="44"/>
      <c r="AB270" s="44"/>
      <c r="AC270" s="45"/>
      <c r="AD270" s="44"/>
      <c r="AE270" s="44"/>
      <c r="AF270" s="44"/>
      <c r="AG270" s="45"/>
      <c r="AH270" s="44"/>
      <c r="AI270" s="81"/>
      <c r="AJ270" s="43"/>
      <c r="AK270" s="43"/>
      <c r="AL270" s="43"/>
      <c r="AM270" s="43"/>
    </row>
    <row r="271" spans="2:39" x14ac:dyDescent="0.25">
      <c r="B271" s="48"/>
      <c r="C271" s="47"/>
      <c r="D271" s="47"/>
      <c r="E271" s="47"/>
      <c r="F271" s="44"/>
      <c r="G271" s="44"/>
      <c r="H271" s="46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5"/>
      <c r="T271" s="44"/>
      <c r="U271" s="44"/>
      <c r="V271" s="44"/>
      <c r="W271" s="44"/>
      <c r="X271" s="44"/>
      <c r="Y271" s="44"/>
      <c r="Z271" s="44"/>
      <c r="AA271" s="44"/>
      <c r="AB271" s="44"/>
      <c r="AC271" s="45"/>
      <c r="AD271" s="44"/>
      <c r="AE271" s="44"/>
      <c r="AF271" s="44"/>
      <c r="AG271" s="45"/>
      <c r="AH271" s="44"/>
      <c r="AI271" s="81"/>
      <c r="AJ271" s="43"/>
      <c r="AK271" s="43"/>
      <c r="AL271" s="43"/>
      <c r="AM271" s="43"/>
    </row>
    <row r="272" spans="2:39" x14ac:dyDescent="0.25">
      <c r="B272" s="48"/>
      <c r="C272" s="47"/>
      <c r="D272" s="47"/>
      <c r="E272" s="47"/>
      <c r="F272" s="44"/>
      <c r="G272" s="44"/>
      <c r="H272" s="46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5"/>
      <c r="T272" s="44"/>
      <c r="U272" s="44"/>
      <c r="V272" s="44"/>
      <c r="W272" s="44"/>
      <c r="X272" s="44"/>
      <c r="Y272" s="44"/>
      <c r="Z272" s="44"/>
      <c r="AA272" s="44"/>
      <c r="AB272" s="44"/>
      <c r="AC272" s="45"/>
      <c r="AD272" s="44"/>
      <c r="AE272" s="44"/>
      <c r="AF272" s="44"/>
      <c r="AG272" s="45"/>
      <c r="AH272" s="44"/>
      <c r="AI272" s="81"/>
      <c r="AJ272" s="43"/>
      <c r="AK272" s="43"/>
      <c r="AL272" s="43"/>
      <c r="AM272" s="43"/>
    </row>
    <row r="273" spans="2:39" x14ac:dyDescent="0.25">
      <c r="B273" s="48"/>
      <c r="C273" s="47"/>
      <c r="D273" s="47"/>
      <c r="E273" s="47"/>
      <c r="F273" s="44"/>
      <c r="G273" s="44"/>
      <c r="H273" s="46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5"/>
      <c r="T273" s="44"/>
      <c r="U273" s="44"/>
      <c r="V273" s="44"/>
      <c r="W273" s="44"/>
      <c r="X273" s="44"/>
      <c r="Y273" s="44"/>
      <c r="Z273" s="44"/>
      <c r="AA273" s="44"/>
      <c r="AB273" s="44"/>
      <c r="AC273" s="45"/>
      <c r="AD273" s="44"/>
      <c r="AE273" s="44"/>
      <c r="AF273" s="44"/>
      <c r="AG273" s="45"/>
      <c r="AH273" s="44"/>
      <c r="AI273" s="81"/>
      <c r="AJ273" s="43"/>
      <c r="AK273" s="43"/>
      <c r="AL273" s="43"/>
      <c r="AM273" s="43"/>
    </row>
    <row r="274" spans="2:39" x14ac:dyDescent="0.25">
      <c r="B274" s="48"/>
      <c r="C274" s="47"/>
      <c r="D274" s="47"/>
      <c r="E274" s="47"/>
      <c r="F274" s="44"/>
      <c r="G274" s="44"/>
      <c r="H274" s="46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5"/>
      <c r="T274" s="44"/>
      <c r="U274" s="44"/>
      <c r="V274" s="44"/>
      <c r="W274" s="44"/>
      <c r="X274" s="44"/>
      <c r="Y274" s="44"/>
      <c r="Z274" s="44"/>
      <c r="AA274" s="44"/>
      <c r="AB274" s="44"/>
      <c r="AC274" s="45"/>
      <c r="AD274" s="44"/>
      <c r="AE274" s="44"/>
      <c r="AF274" s="44"/>
      <c r="AG274" s="45"/>
      <c r="AH274" s="44"/>
      <c r="AI274" s="81"/>
      <c r="AJ274" s="43"/>
      <c r="AK274" s="43"/>
      <c r="AL274" s="43"/>
      <c r="AM274" s="43"/>
    </row>
    <row r="275" spans="2:39" x14ac:dyDescent="0.25">
      <c r="B275" s="48"/>
      <c r="C275" s="47"/>
      <c r="D275" s="47"/>
      <c r="E275" s="47"/>
      <c r="F275" s="44"/>
      <c r="G275" s="44"/>
      <c r="H275" s="46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5"/>
      <c r="T275" s="44"/>
      <c r="U275" s="44"/>
      <c r="V275" s="44"/>
      <c r="W275" s="44"/>
      <c r="X275" s="44"/>
      <c r="Y275" s="44"/>
      <c r="Z275" s="44"/>
      <c r="AA275" s="44"/>
      <c r="AB275" s="44"/>
      <c r="AC275" s="45"/>
      <c r="AD275" s="44"/>
      <c r="AE275" s="44"/>
      <c r="AF275" s="44"/>
      <c r="AG275" s="45"/>
      <c r="AH275" s="44"/>
      <c r="AI275" s="81"/>
      <c r="AJ275" s="43"/>
      <c r="AK275" s="43"/>
      <c r="AL275" s="43"/>
      <c r="AM275" s="43"/>
    </row>
    <row r="276" spans="2:39" x14ac:dyDescent="0.25">
      <c r="B276" s="48"/>
      <c r="C276" s="47"/>
      <c r="D276" s="47"/>
      <c r="E276" s="47"/>
      <c r="F276" s="44"/>
      <c r="G276" s="44"/>
      <c r="H276" s="46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5"/>
      <c r="T276" s="44"/>
      <c r="U276" s="44"/>
      <c r="V276" s="44"/>
      <c r="W276" s="44"/>
      <c r="X276" s="44"/>
      <c r="Y276" s="44"/>
      <c r="Z276" s="44"/>
      <c r="AA276" s="44"/>
      <c r="AB276" s="44"/>
      <c r="AC276" s="45"/>
      <c r="AD276" s="44"/>
      <c r="AE276" s="44"/>
      <c r="AF276" s="44"/>
      <c r="AG276" s="45"/>
      <c r="AH276" s="44"/>
      <c r="AI276" s="81"/>
      <c r="AJ276" s="43"/>
      <c r="AK276" s="43"/>
      <c r="AL276" s="43"/>
      <c r="AM276" s="43"/>
    </row>
    <row r="277" spans="2:39" x14ac:dyDescent="0.25">
      <c r="B277" s="48"/>
      <c r="C277" s="47"/>
      <c r="D277" s="47"/>
      <c r="E277" s="47"/>
      <c r="F277" s="44"/>
      <c r="G277" s="44"/>
      <c r="H277" s="46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5"/>
      <c r="T277" s="44"/>
      <c r="U277" s="44"/>
      <c r="V277" s="44"/>
      <c r="W277" s="44"/>
      <c r="X277" s="44"/>
      <c r="Y277" s="44"/>
      <c r="Z277" s="44"/>
      <c r="AA277" s="44"/>
      <c r="AB277" s="44"/>
      <c r="AC277" s="45"/>
      <c r="AD277" s="44"/>
      <c r="AE277" s="44"/>
      <c r="AF277" s="44"/>
      <c r="AG277" s="45"/>
      <c r="AH277" s="44"/>
      <c r="AI277" s="81"/>
      <c r="AJ277" s="43"/>
      <c r="AK277" s="43"/>
      <c r="AL277" s="43"/>
      <c r="AM277" s="43"/>
    </row>
    <row r="278" spans="2:39" x14ac:dyDescent="0.25">
      <c r="B278" s="48"/>
      <c r="C278" s="47"/>
      <c r="D278" s="47"/>
      <c r="E278" s="47"/>
      <c r="F278" s="44"/>
      <c r="G278" s="44"/>
      <c r="H278" s="46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5"/>
      <c r="T278" s="44"/>
      <c r="U278" s="44"/>
      <c r="V278" s="44"/>
      <c r="W278" s="44"/>
      <c r="X278" s="44"/>
      <c r="Y278" s="44"/>
      <c r="Z278" s="44"/>
      <c r="AA278" s="44"/>
      <c r="AB278" s="44"/>
      <c r="AC278" s="45"/>
      <c r="AD278" s="44"/>
      <c r="AE278" s="44"/>
      <c r="AF278" s="44"/>
      <c r="AG278" s="45"/>
      <c r="AH278" s="44"/>
      <c r="AI278" s="81"/>
      <c r="AJ278" s="43"/>
      <c r="AK278" s="43"/>
      <c r="AL278" s="43"/>
      <c r="AM278" s="43"/>
    </row>
    <row r="279" spans="2:39" x14ac:dyDescent="0.25">
      <c r="B279" s="48"/>
      <c r="C279" s="47"/>
      <c r="D279" s="47"/>
      <c r="E279" s="47"/>
      <c r="F279" s="44"/>
      <c r="G279" s="44"/>
      <c r="H279" s="46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5"/>
      <c r="T279" s="44"/>
      <c r="U279" s="44"/>
      <c r="V279" s="44"/>
      <c r="W279" s="44"/>
      <c r="X279" s="44"/>
      <c r="Y279" s="44"/>
      <c r="Z279" s="44"/>
      <c r="AA279" s="44"/>
      <c r="AB279" s="44"/>
      <c r="AC279" s="45"/>
      <c r="AD279" s="44"/>
      <c r="AE279" s="44"/>
      <c r="AF279" s="44"/>
      <c r="AG279" s="45"/>
      <c r="AH279" s="44"/>
      <c r="AI279" s="81"/>
      <c r="AJ279" s="43"/>
      <c r="AK279" s="43"/>
      <c r="AL279" s="43"/>
      <c r="AM279" s="43"/>
    </row>
    <row r="280" spans="2:39" x14ac:dyDescent="0.25">
      <c r="B280" s="48"/>
      <c r="C280" s="47"/>
      <c r="D280" s="47"/>
      <c r="E280" s="47"/>
      <c r="F280" s="44"/>
      <c r="G280" s="44"/>
      <c r="H280" s="46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5"/>
      <c r="T280" s="44"/>
      <c r="U280" s="44"/>
      <c r="V280" s="44"/>
      <c r="W280" s="44"/>
      <c r="X280" s="44"/>
      <c r="Y280" s="44"/>
      <c r="Z280" s="44"/>
      <c r="AA280" s="44"/>
      <c r="AB280" s="44"/>
      <c r="AC280" s="45"/>
      <c r="AD280" s="44"/>
      <c r="AE280" s="44"/>
      <c r="AF280" s="44"/>
      <c r="AG280" s="45"/>
      <c r="AH280" s="44"/>
      <c r="AI280" s="81"/>
      <c r="AJ280" s="43"/>
      <c r="AK280" s="43"/>
      <c r="AL280" s="43"/>
      <c r="AM280" s="43"/>
    </row>
    <row r="281" spans="2:39" x14ac:dyDescent="0.25">
      <c r="B281" s="48"/>
      <c r="C281" s="47"/>
      <c r="D281" s="47"/>
      <c r="E281" s="47"/>
      <c r="F281" s="44"/>
      <c r="G281" s="44"/>
      <c r="H281" s="46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5"/>
      <c r="T281" s="44"/>
      <c r="U281" s="44"/>
      <c r="V281" s="44"/>
      <c r="W281" s="44"/>
      <c r="X281" s="44"/>
      <c r="Y281" s="44"/>
      <c r="Z281" s="44"/>
      <c r="AA281" s="44"/>
      <c r="AB281" s="44"/>
      <c r="AC281" s="45"/>
      <c r="AD281" s="44"/>
      <c r="AE281" s="44"/>
      <c r="AF281" s="44"/>
      <c r="AG281" s="45"/>
      <c r="AH281" s="44"/>
      <c r="AI281" s="81"/>
      <c r="AJ281" s="43"/>
      <c r="AK281" s="43"/>
      <c r="AL281" s="43"/>
      <c r="AM281" s="43"/>
    </row>
    <row r="282" spans="2:39" x14ac:dyDescent="0.25">
      <c r="B282" s="48"/>
      <c r="C282" s="47"/>
      <c r="D282" s="47"/>
      <c r="E282" s="47"/>
      <c r="F282" s="44"/>
      <c r="G282" s="44"/>
      <c r="H282" s="46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5"/>
      <c r="T282" s="44"/>
      <c r="U282" s="44"/>
      <c r="V282" s="44"/>
      <c r="W282" s="44"/>
      <c r="X282" s="44"/>
      <c r="Y282" s="44"/>
      <c r="Z282" s="44"/>
      <c r="AA282" s="44"/>
      <c r="AB282" s="44"/>
      <c r="AC282" s="45"/>
      <c r="AD282" s="44"/>
      <c r="AE282" s="44"/>
      <c r="AF282" s="44"/>
      <c r="AG282" s="45"/>
      <c r="AH282" s="44"/>
      <c r="AI282" s="81"/>
      <c r="AJ282" s="43"/>
      <c r="AK282" s="43"/>
      <c r="AL282" s="43"/>
      <c r="AM282" s="43"/>
    </row>
    <row r="283" spans="2:39" x14ac:dyDescent="0.25">
      <c r="B283" s="48"/>
      <c r="C283" s="47"/>
      <c r="D283" s="47"/>
      <c r="E283" s="47"/>
      <c r="F283" s="44"/>
      <c r="G283" s="44"/>
      <c r="H283" s="46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5"/>
      <c r="T283" s="44"/>
      <c r="U283" s="44"/>
      <c r="V283" s="44"/>
      <c r="W283" s="44"/>
      <c r="X283" s="44"/>
      <c r="Y283" s="44"/>
      <c r="Z283" s="44"/>
      <c r="AA283" s="44"/>
      <c r="AB283" s="44"/>
      <c r="AC283" s="45"/>
      <c r="AD283" s="44"/>
      <c r="AE283" s="44"/>
      <c r="AF283" s="44"/>
      <c r="AG283" s="45"/>
      <c r="AH283" s="44"/>
      <c r="AI283" s="81"/>
      <c r="AJ283" s="43"/>
      <c r="AK283" s="43"/>
      <c r="AL283" s="43"/>
      <c r="AM283" s="43"/>
    </row>
    <row r="284" spans="2:39" x14ac:dyDescent="0.25">
      <c r="B284" s="48"/>
      <c r="C284" s="47"/>
      <c r="D284" s="47"/>
      <c r="E284" s="47"/>
      <c r="F284" s="44"/>
      <c r="G284" s="44"/>
      <c r="H284" s="46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5"/>
      <c r="T284" s="44"/>
      <c r="U284" s="44"/>
      <c r="V284" s="44"/>
      <c r="W284" s="44"/>
      <c r="X284" s="44"/>
      <c r="Y284" s="44"/>
      <c r="Z284" s="44"/>
      <c r="AA284" s="44"/>
      <c r="AB284" s="44"/>
      <c r="AC284" s="45"/>
      <c r="AD284" s="44"/>
      <c r="AE284" s="44"/>
      <c r="AF284" s="44"/>
      <c r="AG284" s="45"/>
      <c r="AH284" s="44"/>
      <c r="AI284" s="81"/>
      <c r="AJ284" s="43"/>
      <c r="AK284" s="43"/>
      <c r="AL284" s="43"/>
      <c r="AM284" s="43"/>
    </row>
    <row r="285" spans="2:39" x14ac:dyDescent="0.25">
      <c r="B285" s="48"/>
      <c r="C285" s="47"/>
      <c r="D285" s="47"/>
      <c r="E285" s="47"/>
      <c r="F285" s="44"/>
      <c r="G285" s="44"/>
      <c r="H285" s="46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5"/>
      <c r="T285" s="44"/>
      <c r="U285" s="44"/>
      <c r="V285" s="44"/>
      <c r="W285" s="44"/>
      <c r="X285" s="44"/>
      <c r="Y285" s="44"/>
      <c r="Z285" s="44"/>
      <c r="AA285" s="44"/>
      <c r="AB285" s="44"/>
      <c r="AC285" s="45"/>
      <c r="AD285" s="44"/>
      <c r="AE285" s="44"/>
      <c r="AF285" s="44"/>
      <c r="AG285" s="45"/>
      <c r="AH285" s="44"/>
      <c r="AI285" s="81"/>
      <c r="AJ285" s="43"/>
      <c r="AK285" s="43"/>
      <c r="AL285" s="43"/>
      <c r="AM285" s="43"/>
    </row>
    <row r="286" spans="2:39" x14ac:dyDescent="0.25">
      <c r="B286" s="48"/>
      <c r="C286" s="47"/>
      <c r="D286" s="47"/>
      <c r="E286" s="47"/>
      <c r="F286" s="44"/>
      <c r="G286" s="44"/>
      <c r="H286" s="46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5"/>
      <c r="T286" s="44"/>
      <c r="U286" s="44"/>
      <c r="V286" s="44"/>
      <c r="W286" s="44"/>
      <c r="X286" s="44"/>
      <c r="Y286" s="44"/>
      <c r="Z286" s="44"/>
      <c r="AA286" s="44"/>
      <c r="AB286" s="44"/>
      <c r="AC286" s="45"/>
      <c r="AD286" s="44"/>
      <c r="AE286" s="44"/>
      <c r="AF286" s="44"/>
      <c r="AG286" s="45"/>
      <c r="AH286" s="44"/>
      <c r="AI286" s="81"/>
      <c r="AJ286" s="43"/>
      <c r="AK286" s="43"/>
      <c r="AL286" s="43"/>
      <c r="AM286" s="43"/>
    </row>
    <row r="287" spans="2:39" x14ac:dyDescent="0.25">
      <c r="B287" s="48"/>
      <c r="C287" s="47"/>
      <c r="D287" s="47"/>
      <c r="E287" s="47"/>
      <c r="F287" s="44"/>
      <c r="G287" s="44"/>
      <c r="H287" s="46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5"/>
      <c r="T287" s="44"/>
      <c r="U287" s="44"/>
      <c r="V287" s="44"/>
      <c r="W287" s="44"/>
      <c r="X287" s="44"/>
      <c r="Y287" s="44"/>
      <c r="Z287" s="44"/>
      <c r="AA287" s="44"/>
      <c r="AB287" s="44"/>
      <c r="AC287" s="45"/>
      <c r="AD287" s="44"/>
      <c r="AE287" s="44"/>
      <c r="AF287" s="44"/>
      <c r="AG287" s="45"/>
      <c r="AH287" s="44"/>
      <c r="AI287" s="81"/>
      <c r="AJ287" s="43"/>
      <c r="AK287" s="43"/>
      <c r="AL287" s="43"/>
      <c r="AM287" s="43"/>
    </row>
    <row r="288" spans="2:39" x14ac:dyDescent="0.25">
      <c r="B288" s="48"/>
      <c r="C288" s="47"/>
      <c r="D288" s="47"/>
      <c r="E288" s="47"/>
      <c r="F288" s="44"/>
      <c r="G288" s="44"/>
      <c r="H288" s="46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5"/>
      <c r="T288" s="44"/>
      <c r="U288" s="44"/>
      <c r="V288" s="44"/>
      <c r="W288" s="44"/>
      <c r="X288" s="44"/>
      <c r="Y288" s="44"/>
      <c r="Z288" s="44"/>
      <c r="AA288" s="44"/>
      <c r="AB288" s="44"/>
      <c r="AC288" s="45"/>
      <c r="AD288" s="44"/>
      <c r="AE288" s="44"/>
      <c r="AF288" s="44"/>
      <c r="AG288" s="45"/>
      <c r="AH288" s="44"/>
      <c r="AI288" s="81"/>
      <c r="AJ288" s="43"/>
      <c r="AK288" s="43"/>
      <c r="AL288" s="43"/>
      <c r="AM288" s="43"/>
    </row>
    <row r="289" spans="2:39" x14ac:dyDescent="0.25">
      <c r="B289" s="48"/>
      <c r="C289" s="47"/>
      <c r="D289" s="47"/>
      <c r="E289" s="47"/>
      <c r="F289" s="44"/>
      <c r="G289" s="44"/>
      <c r="H289" s="46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5"/>
      <c r="T289" s="44"/>
      <c r="U289" s="44"/>
      <c r="V289" s="44"/>
      <c r="W289" s="44"/>
      <c r="X289" s="44"/>
      <c r="Y289" s="44"/>
      <c r="Z289" s="44"/>
      <c r="AA289" s="44"/>
      <c r="AB289" s="44"/>
      <c r="AC289" s="45"/>
      <c r="AD289" s="44"/>
      <c r="AE289" s="44"/>
      <c r="AF289" s="44"/>
      <c r="AG289" s="45"/>
      <c r="AH289" s="44"/>
      <c r="AI289" s="81"/>
      <c r="AJ289" s="43"/>
      <c r="AK289" s="43"/>
      <c r="AL289" s="43"/>
      <c r="AM289" s="43"/>
    </row>
    <row r="290" spans="2:39" x14ac:dyDescent="0.25">
      <c r="B290" s="48"/>
      <c r="C290" s="47"/>
      <c r="D290" s="47"/>
      <c r="E290" s="47"/>
      <c r="F290" s="44"/>
      <c r="G290" s="44"/>
      <c r="H290" s="46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5"/>
      <c r="T290" s="44"/>
      <c r="U290" s="44"/>
      <c r="V290" s="44"/>
      <c r="W290" s="44"/>
      <c r="X290" s="44"/>
      <c r="Y290" s="44"/>
      <c r="Z290" s="44"/>
      <c r="AA290" s="44"/>
      <c r="AB290" s="44"/>
      <c r="AC290" s="45"/>
      <c r="AD290" s="44"/>
      <c r="AE290" s="44"/>
      <c r="AF290" s="44"/>
      <c r="AG290" s="45"/>
      <c r="AH290" s="44"/>
      <c r="AI290" s="81"/>
      <c r="AJ290" s="43"/>
      <c r="AK290" s="43"/>
      <c r="AL290" s="43"/>
      <c r="AM290" s="43"/>
    </row>
    <row r="291" spans="2:39" x14ac:dyDescent="0.25">
      <c r="B291" s="48"/>
      <c r="C291" s="47"/>
      <c r="D291" s="47"/>
      <c r="E291" s="47"/>
      <c r="F291" s="44"/>
      <c r="G291" s="44"/>
      <c r="H291" s="46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5"/>
      <c r="T291" s="44"/>
      <c r="U291" s="44"/>
      <c r="V291" s="44"/>
      <c r="W291" s="44"/>
      <c r="X291" s="44"/>
      <c r="Y291" s="44"/>
      <c r="Z291" s="44"/>
      <c r="AA291" s="44"/>
      <c r="AB291" s="44"/>
      <c r="AC291" s="45"/>
      <c r="AD291" s="44"/>
      <c r="AE291" s="44"/>
      <c r="AF291" s="44"/>
      <c r="AG291" s="45"/>
      <c r="AH291" s="44"/>
      <c r="AI291" s="81"/>
      <c r="AJ291" s="43"/>
      <c r="AK291" s="43"/>
      <c r="AL291" s="43"/>
      <c r="AM291" s="43"/>
    </row>
    <row r="292" spans="2:39" x14ac:dyDescent="0.25">
      <c r="B292" s="48"/>
      <c r="C292" s="47"/>
      <c r="D292" s="47"/>
      <c r="E292" s="47"/>
      <c r="F292" s="44"/>
      <c r="G292" s="44"/>
      <c r="H292" s="46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5"/>
      <c r="T292" s="44"/>
      <c r="U292" s="44"/>
      <c r="V292" s="44"/>
      <c r="W292" s="44"/>
      <c r="X292" s="44"/>
      <c r="Y292" s="44"/>
      <c r="Z292" s="44"/>
      <c r="AA292" s="44"/>
      <c r="AB292" s="44"/>
      <c r="AC292" s="45"/>
      <c r="AD292" s="44"/>
      <c r="AE292" s="44"/>
      <c r="AF292" s="44"/>
      <c r="AG292" s="45"/>
      <c r="AH292" s="44"/>
      <c r="AI292" s="81"/>
      <c r="AJ292" s="43"/>
      <c r="AK292" s="43"/>
      <c r="AL292" s="43"/>
      <c r="AM292" s="43"/>
    </row>
    <row r="293" spans="2:39" x14ac:dyDescent="0.25">
      <c r="B293" s="48"/>
      <c r="C293" s="47"/>
      <c r="D293" s="47"/>
      <c r="E293" s="47"/>
      <c r="F293" s="44"/>
      <c r="G293" s="44"/>
      <c r="H293" s="46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5"/>
      <c r="T293" s="44"/>
      <c r="U293" s="44"/>
      <c r="V293" s="44"/>
      <c r="W293" s="44"/>
      <c r="X293" s="44"/>
      <c r="Y293" s="44"/>
      <c r="Z293" s="44"/>
      <c r="AA293" s="44"/>
      <c r="AB293" s="44"/>
      <c r="AC293" s="45"/>
      <c r="AD293" s="44"/>
      <c r="AE293" s="44"/>
      <c r="AF293" s="44"/>
      <c r="AG293" s="45"/>
      <c r="AH293" s="44"/>
      <c r="AI293" s="81"/>
      <c r="AJ293" s="43"/>
      <c r="AK293" s="43"/>
      <c r="AL293" s="43"/>
      <c r="AM293" s="43"/>
    </row>
    <row r="294" spans="2:39" x14ac:dyDescent="0.25">
      <c r="B294" s="48"/>
      <c r="C294" s="47"/>
      <c r="D294" s="47"/>
      <c r="E294" s="47"/>
      <c r="F294" s="44"/>
      <c r="G294" s="44"/>
      <c r="H294" s="46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5"/>
      <c r="T294" s="44"/>
      <c r="U294" s="44"/>
      <c r="V294" s="44"/>
      <c r="W294" s="44"/>
      <c r="X294" s="44"/>
      <c r="Y294" s="44"/>
      <c r="Z294" s="44"/>
      <c r="AA294" s="44"/>
      <c r="AB294" s="44"/>
      <c r="AC294" s="45"/>
      <c r="AD294" s="44"/>
      <c r="AE294" s="44"/>
      <c r="AF294" s="44"/>
      <c r="AG294" s="45"/>
      <c r="AH294" s="44"/>
      <c r="AI294" s="81"/>
      <c r="AJ294" s="43"/>
      <c r="AK294" s="43"/>
      <c r="AL294" s="43"/>
      <c r="AM294" s="43"/>
    </row>
    <row r="295" spans="2:39" x14ac:dyDescent="0.25">
      <c r="B295" s="48"/>
      <c r="C295" s="47"/>
      <c r="D295" s="47"/>
      <c r="E295" s="47"/>
      <c r="F295" s="44"/>
      <c r="G295" s="44"/>
      <c r="H295" s="46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5"/>
      <c r="T295" s="44"/>
      <c r="U295" s="44"/>
      <c r="V295" s="44"/>
      <c r="W295" s="44"/>
      <c r="X295" s="44"/>
      <c r="Y295" s="44"/>
      <c r="Z295" s="44"/>
      <c r="AA295" s="44"/>
      <c r="AB295" s="44"/>
      <c r="AC295" s="45"/>
      <c r="AD295" s="44"/>
      <c r="AE295" s="44"/>
      <c r="AF295" s="44"/>
      <c r="AG295" s="45"/>
      <c r="AH295" s="44"/>
      <c r="AI295" s="81"/>
      <c r="AJ295" s="43"/>
      <c r="AK295" s="43"/>
      <c r="AL295" s="43"/>
      <c r="AM295" s="43"/>
    </row>
    <row r="296" spans="2:39" x14ac:dyDescent="0.25">
      <c r="B296" s="48"/>
      <c r="C296" s="47"/>
      <c r="D296" s="47"/>
      <c r="E296" s="47"/>
      <c r="F296" s="44"/>
      <c r="G296" s="44"/>
      <c r="H296" s="46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5"/>
      <c r="T296" s="44"/>
      <c r="U296" s="44"/>
      <c r="V296" s="44"/>
      <c r="W296" s="44"/>
      <c r="X296" s="44"/>
      <c r="Y296" s="44"/>
      <c r="Z296" s="44"/>
      <c r="AA296" s="44"/>
      <c r="AB296" s="44"/>
      <c r="AC296" s="45"/>
      <c r="AD296" s="44"/>
      <c r="AE296" s="44"/>
      <c r="AF296" s="44"/>
      <c r="AG296" s="45"/>
      <c r="AH296" s="44"/>
      <c r="AI296" s="81"/>
      <c r="AJ296" s="43"/>
      <c r="AK296" s="43"/>
      <c r="AL296" s="43"/>
      <c r="AM296" s="43"/>
    </row>
    <row r="297" spans="2:39" x14ac:dyDescent="0.25">
      <c r="B297" s="48"/>
      <c r="C297" s="47"/>
      <c r="D297" s="47"/>
      <c r="E297" s="47"/>
      <c r="F297" s="44"/>
      <c r="G297" s="44"/>
      <c r="H297" s="46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5"/>
      <c r="T297" s="44"/>
      <c r="U297" s="44"/>
      <c r="V297" s="44"/>
      <c r="W297" s="44"/>
      <c r="X297" s="44"/>
      <c r="Y297" s="44"/>
      <c r="Z297" s="44"/>
      <c r="AA297" s="44"/>
      <c r="AB297" s="44"/>
      <c r="AC297" s="45"/>
      <c r="AD297" s="44"/>
      <c r="AE297" s="44"/>
      <c r="AF297" s="44"/>
      <c r="AG297" s="45"/>
      <c r="AH297" s="44"/>
      <c r="AI297" s="81"/>
      <c r="AJ297" s="43"/>
      <c r="AK297" s="43"/>
      <c r="AL297" s="43"/>
      <c r="AM297" s="43"/>
    </row>
    <row r="298" spans="2:39" x14ac:dyDescent="0.25">
      <c r="B298" s="48"/>
      <c r="C298" s="47"/>
      <c r="D298" s="47"/>
      <c r="E298" s="47"/>
      <c r="F298" s="44"/>
      <c r="G298" s="44"/>
      <c r="H298" s="46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5"/>
      <c r="T298" s="44"/>
      <c r="U298" s="44"/>
      <c r="V298" s="44"/>
      <c r="W298" s="44"/>
      <c r="X298" s="44"/>
      <c r="Y298" s="44"/>
      <c r="Z298" s="44"/>
      <c r="AA298" s="44"/>
      <c r="AB298" s="44"/>
      <c r="AC298" s="45"/>
      <c r="AD298" s="44"/>
      <c r="AE298" s="44"/>
      <c r="AF298" s="44"/>
      <c r="AG298" s="45"/>
      <c r="AH298" s="44"/>
      <c r="AI298" s="81"/>
      <c r="AJ298" s="43"/>
      <c r="AK298" s="43"/>
      <c r="AL298" s="43"/>
      <c r="AM298" s="43"/>
    </row>
    <row r="299" spans="2:39" x14ac:dyDescent="0.25">
      <c r="B299" s="48"/>
      <c r="C299" s="47"/>
      <c r="D299" s="47"/>
      <c r="E299" s="47"/>
      <c r="F299" s="44"/>
      <c r="G299" s="44"/>
      <c r="H299" s="46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5"/>
      <c r="T299" s="44"/>
      <c r="U299" s="44"/>
      <c r="V299" s="44"/>
      <c r="W299" s="44"/>
      <c r="X299" s="44"/>
      <c r="Y299" s="44"/>
      <c r="Z299" s="44"/>
      <c r="AA299" s="44"/>
      <c r="AB299" s="44"/>
      <c r="AC299" s="45"/>
      <c r="AD299" s="44"/>
      <c r="AE299" s="44"/>
      <c r="AF299" s="44"/>
      <c r="AG299" s="45"/>
      <c r="AH299" s="44"/>
      <c r="AI299" s="81"/>
      <c r="AJ299" s="43"/>
      <c r="AK299" s="43"/>
      <c r="AL299" s="43"/>
      <c r="AM299" s="43"/>
    </row>
    <row r="300" spans="2:39" x14ac:dyDescent="0.25">
      <c r="B300" s="48"/>
      <c r="C300" s="47"/>
      <c r="D300" s="47"/>
      <c r="E300" s="47"/>
      <c r="F300" s="44"/>
      <c r="G300" s="44"/>
      <c r="H300" s="46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5"/>
      <c r="T300" s="44"/>
      <c r="U300" s="44"/>
      <c r="V300" s="44"/>
      <c r="W300" s="44"/>
      <c r="X300" s="44"/>
      <c r="Y300" s="44"/>
      <c r="Z300" s="44"/>
      <c r="AA300" s="44"/>
      <c r="AB300" s="44"/>
      <c r="AC300" s="45"/>
      <c r="AD300" s="44"/>
      <c r="AE300" s="44"/>
      <c r="AF300" s="44"/>
      <c r="AG300" s="45"/>
      <c r="AH300" s="44"/>
      <c r="AI300" s="81"/>
      <c r="AJ300" s="43"/>
      <c r="AK300" s="43"/>
      <c r="AL300" s="43"/>
      <c r="AM300" s="43"/>
    </row>
    <row r="301" spans="2:39" x14ac:dyDescent="0.25">
      <c r="B301" s="48"/>
      <c r="C301" s="47"/>
      <c r="D301" s="47"/>
      <c r="E301" s="47"/>
      <c r="F301" s="44"/>
      <c r="G301" s="44"/>
      <c r="H301" s="46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5"/>
      <c r="T301" s="44"/>
      <c r="U301" s="44"/>
      <c r="V301" s="44"/>
      <c r="W301" s="44"/>
      <c r="X301" s="44"/>
      <c r="Y301" s="44"/>
      <c r="Z301" s="44"/>
      <c r="AA301" s="44"/>
      <c r="AB301" s="44"/>
      <c r="AC301" s="45"/>
      <c r="AD301" s="44"/>
      <c r="AE301" s="44"/>
      <c r="AF301" s="44"/>
      <c r="AG301" s="45"/>
      <c r="AH301" s="44"/>
      <c r="AI301" s="81"/>
      <c r="AJ301" s="43"/>
      <c r="AK301" s="43"/>
      <c r="AL301" s="43"/>
      <c r="AM301" s="43"/>
    </row>
    <row r="302" spans="2:39" x14ac:dyDescent="0.25">
      <c r="B302" s="48"/>
      <c r="C302" s="47"/>
      <c r="D302" s="47"/>
      <c r="E302" s="47"/>
      <c r="F302" s="44"/>
      <c r="G302" s="44"/>
      <c r="H302" s="46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5"/>
      <c r="T302" s="44"/>
      <c r="U302" s="44"/>
      <c r="V302" s="44"/>
      <c r="W302" s="44"/>
      <c r="X302" s="44"/>
      <c r="Y302" s="44"/>
      <c r="Z302" s="44"/>
      <c r="AA302" s="44"/>
      <c r="AB302" s="44"/>
      <c r="AC302" s="45"/>
      <c r="AD302" s="44"/>
      <c r="AE302" s="44"/>
      <c r="AF302" s="44"/>
      <c r="AG302" s="45"/>
      <c r="AH302" s="44"/>
      <c r="AI302" s="81"/>
      <c r="AJ302" s="43"/>
      <c r="AK302" s="43"/>
      <c r="AL302" s="43"/>
      <c r="AM302" s="43"/>
    </row>
    <row r="303" spans="2:39" x14ac:dyDescent="0.25">
      <c r="B303" s="48"/>
      <c r="C303" s="47"/>
      <c r="D303" s="47"/>
      <c r="E303" s="47"/>
      <c r="F303" s="44"/>
      <c r="G303" s="44"/>
      <c r="H303" s="46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5"/>
      <c r="T303" s="44"/>
      <c r="U303" s="44"/>
      <c r="V303" s="44"/>
      <c r="W303" s="44"/>
      <c r="X303" s="44"/>
      <c r="Y303" s="44"/>
      <c r="Z303" s="44"/>
      <c r="AA303" s="44"/>
      <c r="AB303" s="44"/>
      <c r="AC303" s="45"/>
      <c r="AD303" s="44"/>
      <c r="AE303" s="44"/>
      <c r="AF303" s="44"/>
      <c r="AG303" s="45"/>
      <c r="AH303" s="44"/>
      <c r="AI303" s="81"/>
      <c r="AJ303" s="43"/>
      <c r="AK303" s="43"/>
      <c r="AL303" s="43"/>
      <c r="AM303" s="43"/>
    </row>
    <row r="304" spans="2:39" x14ac:dyDescent="0.25">
      <c r="B304" s="48"/>
      <c r="C304" s="47"/>
      <c r="D304" s="47"/>
      <c r="E304" s="47"/>
      <c r="F304" s="44"/>
      <c r="G304" s="44"/>
      <c r="H304" s="46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5"/>
      <c r="T304" s="44"/>
      <c r="U304" s="44"/>
      <c r="V304" s="44"/>
      <c r="W304" s="44"/>
      <c r="X304" s="44"/>
      <c r="Y304" s="44"/>
      <c r="Z304" s="44"/>
      <c r="AA304" s="44"/>
      <c r="AB304" s="44"/>
      <c r="AC304" s="45"/>
      <c r="AD304" s="44"/>
      <c r="AE304" s="44"/>
      <c r="AF304" s="44"/>
      <c r="AG304" s="45"/>
      <c r="AH304" s="44"/>
      <c r="AI304" s="81"/>
      <c r="AJ304" s="43"/>
      <c r="AK304" s="43"/>
      <c r="AL304" s="43"/>
      <c r="AM304" s="43"/>
    </row>
    <row r="305" spans="2:39" x14ac:dyDescent="0.25">
      <c r="B305" s="48"/>
      <c r="C305" s="47"/>
      <c r="D305" s="47"/>
      <c r="E305" s="47"/>
      <c r="F305" s="44"/>
      <c r="G305" s="44"/>
      <c r="H305" s="46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5"/>
      <c r="T305" s="44"/>
      <c r="U305" s="44"/>
      <c r="V305" s="44"/>
      <c r="W305" s="44"/>
      <c r="X305" s="44"/>
      <c r="Y305" s="44"/>
      <c r="Z305" s="44"/>
      <c r="AA305" s="44"/>
      <c r="AB305" s="44"/>
      <c r="AC305" s="45"/>
      <c r="AD305" s="44"/>
      <c r="AE305" s="44"/>
      <c r="AF305" s="44"/>
      <c r="AG305" s="45"/>
      <c r="AH305" s="44"/>
      <c r="AI305" s="81"/>
      <c r="AJ305" s="43"/>
      <c r="AK305" s="43"/>
      <c r="AL305" s="43"/>
      <c r="AM305" s="43"/>
    </row>
    <row r="306" spans="2:39" x14ac:dyDescent="0.25">
      <c r="B306" s="48"/>
      <c r="C306" s="47"/>
      <c r="D306" s="47"/>
      <c r="E306" s="47"/>
      <c r="F306" s="44"/>
      <c r="G306" s="44"/>
      <c r="H306" s="46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5"/>
      <c r="T306" s="44"/>
      <c r="U306" s="44"/>
      <c r="V306" s="44"/>
      <c r="W306" s="44"/>
      <c r="X306" s="44"/>
      <c r="Y306" s="44"/>
      <c r="Z306" s="44"/>
      <c r="AA306" s="44"/>
      <c r="AB306" s="44"/>
      <c r="AC306" s="45"/>
      <c r="AD306" s="44"/>
      <c r="AE306" s="44"/>
      <c r="AF306" s="44"/>
      <c r="AG306" s="45"/>
      <c r="AH306" s="44"/>
      <c r="AI306" s="81"/>
      <c r="AJ306" s="43"/>
      <c r="AK306" s="43"/>
      <c r="AL306" s="43"/>
      <c r="AM306" s="43"/>
    </row>
    <row r="307" spans="2:39" x14ac:dyDescent="0.25">
      <c r="B307" s="48"/>
      <c r="C307" s="47"/>
      <c r="D307" s="47"/>
      <c r="E307" s="47"/>
      <c r="F307" s="44"/>
      <c r="G307" s="44"/>
      <c r="H307" s="46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5"/>
      <c r="T307" s="44"/>
      <c r="U307" s="44"/>
      <c r="V307" s="44"/>
      <c r="W307" s="44"/>
      <c r="X307" s="44"/>
      <c r="Y307" s="44"/>
      <c r="Z307" s="44"/>
      <c r="AA307" s="44"/>
      <c r="AB307" s="44"/>
      <c r="AC307" s="45"/>
      <c r="AD307" s="44"/>
      <c r="AE307" s="44"/>
      <c r="AF307" s="44"/>
      <c r="AG307" s="45"/>
      <c r="AH307" s="44"/>
      <c r="AI307" s="81"/>
      <c r="AJ307" s="43"/>
      <c r="AK307" s="43"/>
      <c r="AL307" s="43"/>
      <c r="AM307" s="43"/>
    </row>
    <row r="308" spans="2:39" x14ac:dyDescent="0.25">
      <c r="B308" s="48"/>
      <c r="C308" s="47"/>
      <c r="D308" s="47"/>
      <c r="E308" s="47"/>
      <c r="F308" s="44"/>
      <c r="G308" s="44"/>
      <c r="H308" s="46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5"/>
      <c r="T308" s="44"/>
      <c r="U308" s="44"/>
      <c r="V308" s="44"/>
      <c r="W308" s="44"/>
      <c r="X308" s="44"/>
      <c r="Y308" s="44"/>
      <c r="Z308" s="44"/>
      <c r="AA308" s="44"/>
      <c r="AB308" s="44"/>
      <c r="AC308" s="45"/>
      <c r="AD308" s="44"/>
      <c r="AE308" s="44"/>
      <c r="AF308" s="44"/>
      <c r="AG308" s="45"/>
      <c r="AH308" s="44"/>
      <c r="AI308" s="81"/>
      <c r="AJ308" s="43"/>
      <c r="AK308" s="43"/>
      <c r="AL308" s="43"/>
      <c r="AM308" s="43"/>
    </row>
    <row r="309" spans="2:39" x14ac:dyDescent="0.25">
      <c r="B309" s="48"/>
      <c r="C309" s="47"/>
      <c r="D309" s="47"/>
      <c r="E309" s="47"/>
      <c r="F309" s="44"/>
      <c r="G309" s="44"/>
      <c r="H309" s="46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5"/>
      <c r="T309" s="44"/>
      <c r="U309" s="44"/>
      <c r="V309" s="44"/>
      <c r="W309" s="44"/>
      <c r="X309" s="44"/>
      <c r="Y309" s="44"/>
      <c r="Z309" s="44"/>
      <c r="AA309" s="44"/>
      <c r="AB309" s="44"/>
      <c r="AC309" s="45"/>
      <c r="AD309" s="44"/>
      <c r="AE309" s="44"/>
      <c r="AF309" s="44"/>
      <c r="AG309" s="45"/>
      <c r="AH309" s="44"/>
      <c r="AI309" s="81"/>
      <c r="AJ309" s="43"/>
      <c r="AK309" s="43"/>
      <c r="AL309" s="43"/>
      <c r="AM309" s="43"/>
    </row>
    <row r="310" spans="2:39" x14ac:dyDescent="0.25">
      <c r="B310" s="48"/>
      <c r="C310" s="47"/>
      <c r="D310" s="47"/>
      <c r="E310" s="47"/>
      <c r="F310" s="44"/>
      <c r="G310" s="44"/>
      <c r="H310" s="46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5"/>
      <c r="T310" s="44"/>
      <c r="U310" s="44"/>
      <c r="V310" s="44"/>
      <c r="W310" s="44"/>
      <c r="X310" s="44"/>
      <c r="Y310" s="44"/>
      <c r="Z310" s="44"/>
      <c r="AA310" s="44"/>
      <c r="AB310" s="44"/>
      <c r="AC310" s="45"/>
      <c r="AD310" s="44"/>
      <c r="AE310" s="44"/>
      <c r="AF310" s="44"/>
      <c r="AG310" s="45"/>
      <c r="AH310" s="44"/>
      <c r="AI310" s="81"/>
      <c r="AJ310" s="43"/>
      <c r="AK310" s="43"/>
      <c r="AL310" s="43"/>
      <c r="AM310" s="43"/>
    </row>
    <row r="311" spans="2:39" x14ac:dyDescent="0.25">
      <c r="B311" s="48"/>
      <c r="C311" s="47"/>
      <c r="D311" s="47"/>
      <c r="E311" s="47"/>
      <c r="F311" s="44"/>
      <c r="G311" s="44"/>
      <c r="H311" s="46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5"/>
      <c r="T311" s="44"/>
      <c r="U311" s="44"/>
      <c r="V311" s="44"/>
      <c r="W311" s="44"/>
      <c r="X311" s="44"/>
      <c r="Y311" s="44"/>
      <c r="Z311" s="44"/>
      <c r="AA311" s="44"/>
      <c r="AB311" s="44"/>
      <c r="AC311" s="45"/>
      <c r="AD311" s="44"/>
      <c r="AE311" s="44"/>
      <c r="AF311" s="44"/>
      <c r="AG311" s="45"/>
      <c r="AH311" s="44"/>
      <c r="AI311" s="81"/>
      <c r="AJ311" s="43"/>
      <c r="AK311" s="43"/>
      <c r="AL311" s="43"/>
      <c r="AM311" s="43"/>
    </row>
    <row r="312" spans="2:39" x14ac:dyDescent="0.25">
      <c r="B312" s="48"/>
      <c r="C312" s="47"/>
      <c r="D312" s="47"/>
      <c r="E312" s="47"/>
      <c r="F312" s="44"/>
      <c r="G312" s="44"/>
      <c r="H312" s="46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5"/>
      <c r="T312" s="44"/>
      <c r="U312" s="44"/>
      <c r="V312" s="44"/>
      <c r="W312" s="44"/>
      <c r="X312" s="44"/>
      <c r="Y312" s="44"/>
      <c r="Z312" s="44"/>
      <c r="AA312" s="44"/>
      <c r="AB312" s="44"/>
      <c r="AC312" s="45"/>
      <c r="AD312" s="44"/>
      <c r="AE312" s="44"/>
      <c r="AF312" s="44"/>
      <c r="AG312" s="45"/>
      <c r="AH312" s="44"/>
      <c r="AI312" s="81"/>
      <c r="AJ312" s="43"/>
      <c r="AK312" s="43"/>
      <c r="AL312" s="43"/>
      <c r="AM312" s="43"/>
    </row>
    <row r="313" spans="2:39" x14ac:dyDescent="0.25">
      <c r="B313" s="48"/>
      <c r="C313" s="47"/>
      <c r="D313" s="47"/>
      <c r="E313" s="47"/>
      <c r="F313" s="44"/>
      <c r="G313" s="44"/>
      <c r="H313" s="46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5"/>
      <c r="T313" s="44"/>
      <c r="U313" s="44"/>
      <c r="V313" s="44"/>
      <c r="W313" s="44"/>
      <c r="X313" s="44"/>
      <c r="Y313" s="44"/>
      <c r="Z313" s="44"/>
      <c r="AA313" s="44"/>
      <c r="AB313" s="44"/>
      <c r="AC313" s="45"/>
      <c r="AD313" s="44"/>
      <c r="AE313" s="44"/>
      <c r="AF313" s="44"/>
      <c r="AG313" s="45"/>
      <c r="AH313" s="44"/>
      <c r="AI313" s="81"/>
      <c r="AJ313" s="43"/>
      <c r="AK313" s="43"/>
      <c r="AL313" s="43"/>
      <c r="AM313" s="43"/>
    </row>
    <row r="314" spans="2:39" x14ac:dyDescent="0.25">
      <c r="B314" s="48"/>
      <c r="C314" s="47"/>
      <c r="D314" s="47"/>
      <c r="E314" s="47"/>
      <c r="F314" s="44"/>
      <c r="G314" s="44"/>
      <c r="H314" s="46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5"/>
      <c r="T314" s="44"/>
      <c r="U314" s="44"/>
      <c r="V314" s="44"/>
      <c r="W314" s="44"/>
      <c r="X314" s="44"/>
      <c r="Y314" s="44"/>
      <c r="Z314" s="44"/>
      <c r="AA314" s="44"/>
      <c r="AB314" s="44"/>
      <c r="AC314" s="45"/>
      <c r="AD314" s="44"/>
      <c r="AE314" s="44"/>
      <c r="AF314" s="44"/>
      <c r="AG314" s="45"/>
      <c r="AH314" s="44"/>
      <c r="AI314" s="81"/>
      <c r="AJ314" s="43"/>
      <c r="AK314" s="43"/>
      <c r="AL314" s="43"/>
      <c r="AM314" s="43"/>
    </row>
    <row r="315" spans="2:39" x14ac:dyDescent="0.25">
      <c r="B315" s="48"/>
      <c r="C315" s="47"/>
      <c r="D315" s="47"/>
      <c r="E315" s="47"/>
      <c r="F315" s="44"/>
      <c r="G315" s="44"/>
      <c r="H315" s="46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5"/>
      <c r="T315" s="44"/>
      <c r="U315" s="44"/>
      <c r="V315" s="44"/>
      <c r="W315" s="44"/>
      <c r="X315" s="44"/>
      <c r="Y315" s="44"/>
      <c r="Z315" s="44"/>
      <c r="AA315" s="44"/>
      <c r="AB315" s="44"/>
      <c r="AC315" s="45"/>
      <c r="AD315" s="44"/>
      <c r="AE315" s="44"/>
      <c r="AF315" s="44"/>
      <c r="AG315" s="45"/>
      <c r="AH315" s="44"/>
      <c r="AI315" s="81"/>
      <c r="AJ315" s="43"/>
      <c r="AK315" s="43"/>
      <c r="AL315" s="43"/>
      <c r="AM315" s="43"/>
    </row>
    <row r="316" spans="2:39" x14ac:dyDescent="0.25">
      <c r="B316" s="48"/>
      <c r="C316" s="47"/>
      <c r="D316" s="47"/>
      <c r="E316" s="47"/>
      <c r="F316" s="44"/>
      <c r="G316" s="44"/>
      <c r="H316" s="46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5"/>
      <c r="T316" s="44"/>
      <c r="U316" s="44"/>
      <c r="V316" s="44"/>
      <c r="W316" s="44"/>
      <c r="X316" s="44"/>
      <c r="Y316" s="44"/>
      <c r="Z316" s="44"/>
      <c r="AA316" s="44"/>
      <c r="AB316" s="44"/>
      <c r="AC316" s="45"/>
      <c r="AD316" s="44"/>
      <c r="AE316" s="44"/>
      <c r="AF316" s="44"/>
      <c r="AG316" s="45"/>
      <c r="AH316" s="44"/>
      <c r="AI316" s="81"/>
      <c r="AJ316" s="43"/>
      <c r="AK316" s="43"/>
      <c r="AL316" s="43"/>
      <c r="AM316" s="43"/>
    </row>
    <row r="317" spans="2:39" x14ac:dyDescent="0.25">
      <c r="B317" s="48"/>
      <c r="C317" s="47"/>
      <c r="D317" s="47"/>
      <c r="E317" s="47"/>
      <c r="F317" s="44"/>
      <c r="G317" s="44"/>
      <c r="H317" s="46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5"/>
      <c r="T317" s="44"/>
      <c r="U317" s="44"/>
      <c r="V317" s="44"/>
      <c r="W317" s="44"/>
      <c r="X317" s="44"/>
      <c r="Y317" s="44"/>
      <c r="Z317" s="44"/>
      <c r="AA317" s="44"/>
      <c r="AB317" s="44"/>
      <c r="AC317" s="45"/>
      <c r="AD317" s="44"/>
      <c r="AE317" s="44"/>
      <c r="AF317" s="44"/>
      <c r="AG317" s="45"/>
      <c r="AH317" s="44"/>
      <c r="AI317" s="81"/>
      <c r="AJ317" s="43"/>
      <c r="AK317" s="43"/>
      <c r="AL317" s="43"/>
      <c r="AM317" s="43"/>
    </row>
    <row r="318" spans="2:39" x14ac:dyDescent="0.25">
      <c r="B318" s="48"/>
      <c r="C318" s="47"/>
      <c r="D318" s="47"/>
      <c r="E318" s="47"/>
      <c r="F318" s="44"/>
      <c r="G318" s="44"/>
      <c r="H318" s="46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5"/>
      <c r="T318" s="44"/>
      <c r="U318" s="44"/>
      <c r="V318" s="44"/>
      <c r="W318" s="44"/>
      <c r="X318" s="44"/>
      <c r="Y318" s="44"/>
      <c r="Z318" s="44"/>
      <c r="AA318" s="44"/>
      <c r="AB318" s="44"/>
      <c r="AC318" s="45"/>
      <c r="AD318" s="44"/>
      <c r="AE318" s="44"/>
      <c r="AF318" s="44"/>
      <c r="AG318" s="45"/>
      <c r="AH318" s="44"/>
      <c r="AI318" s="81"/>
      <c r="AJ318" s="43"/>
      <c r="AK318" s="43"/>
      <c r="AL318" s="43"/>
      <c r="AM318" s="43"/>
    </row>
    <row r="319" spans="2:39" x14ac:dyDescent="0.25">
      <c r="B319" s="48"/>
      <c r="C319" s="47"/>
      <c r="D319" s="47"/>
      <c r="E319" s="47"/>
      <c r="F319" s="44"/>
      <c r="G319" s="44"/>
      <c r="H319" s="46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5"/>
      <c r="T319" s="44"/>
      <c r="U319" s="44"/>
      <c r="V319" s="44"/>
      <c r="W319" s="44"/>
      <c r="X319" s="44"/>
      <c r="Y319" s="44"/>
      <c r="Z319" s="44"/>
      <c r="AA319" s="44"/>
      <c r="AB319" s="44"/>
      <c r="AC319" s="45"/>
      <c r="AD319" s="44"/>
      <c r="AE319" s="44"/>
      <c r="AF319" s="44"/>
      <c r="AG319" s="45"/>
      <c r="AH319" s="44"/>
      <c r="AI319" s="81"/>
      <c r="AJ319" s="43"/>
      <c r="AK319" s="43"/>
      <c r="AL319" s="43"/>
      <c r="AM319" s="43"/>
    </row>
    <row r="320" spans="2:39" x14ac:dyDescent="0.25">
      <c r="B320" s="48"/>
      <c r="C320" s="47"/>
      <c r="D320" s="47"/>
      <c r="E320" s="47"/>
      <c r="F320" s="44"/>
      <c r="G320" s="44"/>
      <c r="H320" s="46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5"/>
      <c r="T320" s="44"/>
      <c r="U320" s="44"/>
      <c r="V320" s="44"/>
      <c r="W320" s="44"/>
      <c r="X320" s="44"/>
      <c r="Y320" s="44"/>
      <c r="Z320" s="44"/>
      <c r="AA320" s="44"/>
      <c r="AB320" s="44"/>
      <c r="AC320" s="45"/>
      <c r="AD320" s="44"/>
      <c r="AE320" s="44"/>
      <c r="AF320" s="44"/>
      <c r="AG320" s="45"/>
      <c r="AH320" s="44"/>
      <c r="AI320" s="81"/>
      <c r="AJ320" s="43"/>
      <c r="AK320" s="43"/>
      <c r="AL320" s="43"/>
      <c r="AM320" s="43"/>
    </row>
    <row r="321" spans="2:39" x14ac:dyDescent="0.25">
      <c r="B321" s="48"/>
      <c r="C321" s="47"/>
      <c r="D321" s="47"/>
      <c r="E321" s="47"/>
      <c r="F321" s="44"/>
      <c r="G321" s="44"/>
      <c r="H321" s="46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5"/>
      <c r="T321" s="44"/>
      <c r="U321" s="44"/>
      <c r="V321" s="44"/>
      <c r="W321" s="44"/>
      <c r="X321" s="44"/>
      <c r="Y321" s="44"/>
      <c r="Z321" s="44"/>
      <c r="AA321" s="44"/>
      <c r="AB321" s="44"/>
      <c r="AC321" s="45"/>
      <c r="AD321" s="44"/>
      <c r="AE321" s="44"/>
      <c r="AF321" s="44"/>
      <c r="AG321" s="45"/>
      <c r="AH321" s="44"/>
      <c r="AI321" s="81"/>
      <c r="AJ321" s="43"/>
      <c r="AK321" s="43"/>
      <c r="AL321" s="43"/>
      <c r="AM321" s="43"/>
    </row>
    <row r="322" spans="2:39" x14ac:dyDescent="0.25">
      <c r="B322" s="48"/>
      <c r="C322" s="47"/>
      <c r="D322" s="47"/>
      <c r="E322" s="47"/>
      <c r="F322" s="44"/>
      <c r="G322" s="44"/>
      <c r="H322" s="46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5"/>
      <c r="T322" s="44"/>
      <c r="U322" s="44"/>
      <c r="V322" s="44"/>
      <c r="W322" s="44"/>
      <c r="X322" s="44"/>
      <c r="Y322" s="44"/>
      <c r="Z322" s="44"/>
      <c r="AA322" s="44"/>
      <c r="AB322" s="44"/>
      <c r="AC322" s="45"/>
      <c r="AD322" s="44"/>
      <c r="AE322" s="44"/>
      <c r="AF322" s="44"/>
      <c r="AG322" s="45"/>
      <c r="AH322" s="44"/>
      <c r="AI322" s="81"/>
      <c r="AJ322" s="43"/>
      <c r="AK322" s="43"/>
      <c r="AL322" s="43"/>
      <c r="AM322" s="43"/>
    </row>
    <row r="323" spans="2:39" x14ac:dyDescent="0.25">
      <c r="B323" s="48"/>
      <c r="C323" s="47"/>
      <c r="D323" s="47"/>
      <c r="E323" s="47"/>
      <c r="F323" s="44"/>
      <c r="G323" s="44"/>
      <c r="H323" s="46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5"/>
      <c r="T323" s="44"/>
      <c r="U323" s="44"/>
      <c r="V323" s="44"/>
      <c r="W323" s="44"/>
      <c r="X323" s="44"/>
      <c r="Y323" s="44"/>
      <c r="Z323" s="44"/>
      <c r="AA323" s="44"/>
      <c r="AB323" s="44"/>
      <c r="AC323" s="45"/>
      <c r="AD323" s="44"/>
      <c r="AE323" s="44"/>
      <c r="AF323" s="44"/>
      <c r="AG323" s="45"/>
      <c r="AH323" s="44"/>
      <c r="AI323" s="81"/>
      <c r="AJ323" s="43"/>
      <c r="AK323" s="43"/>
      <c r="AL323" s="43"/>
      <c r="AM323" s="43"/>
    </row>
    <row r="324" spans="2:39" x14ac:dyDescent="0.25">
      <c r="B324" s="48"/>
      <c r="C324" s="47"/>
      <c r="D324" s="47"/>
      <c r="E324" s="47"/>
      <c r="F324" s="44"/>
      <c r="G324" s="44"/>
      <c r="H324" s="46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5"/>
      <c r="T324" s="44"/>
      <c r="U324" s="44"/>
      <c r="V324" s="44"/>
      <c r="W324" s="44"/>
      <c r="X324" s="44"/>
      <c r="Y324" s="44"/>
      <c r="Z324" s="44"/>
      <c r="AA324" s="44"/>
      <c r="AB324" s="44"/>
      <c r="AC324" s="45"/>
      <c r="AD324" s="44"/>
      <c r="AE324" s="44"/>
      <c r="AF324" s="44"/>
      <c r="AG324" s="45"/>
      <c r="AH324" s="44"/>
      <c r="AI324" s="81"/>
      <c r="AJ324" s="43"/>
      <c r="AK324" s="43"/>
      <c r="AL324" s="43"/>
      <c r="AM324" s="43"/>
    </row>
    <row r="325" spans="2:39" x14ac:dyDescent="0.25">
      <c r="B325" s="48"/>
      <c r="C325" s="47"/>
      <c r="D325" s="47"/>
      <c r="E325" s="47"/>
      <c r="F325" s="44"/>
      <c r="G325" s="44"/>
      <c r="H325" s="46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5"/>
      <c r="T325" s="44"/>
      <c r="U325" s="44"/>
      <c r="V325" s="44"/>
      <c r="W325" s="44"/>
      <c r="X325" s="44"/>
      <c r="Y325" s="44"/>
      <c r="Z325" s="44"/>
      <c r="AA325" s="44"/>
      <c r="AB325" s="44"/>
      <c r="AC325" s="45"/>
      <c r="AD325" s="44"/>
      <c r="AE325" s="44"/>
      <c r="AF325" s="44"/>
      <c r="AG325" s="45"/>
      <c r="AH325" s="44"/>
      <c r="AI325" s="81"/>
      <c r="AJ325" s="43"/>
      <c r="AK325" s="43"/>
      <c r="AL325" s="43"/>
      <c r="AM325" s="43"/>
    </row>
    <row r="326" spans="2:39" x14ac:dyDescent="0.25">
      <c r="B326" s="48"/>
      <c r="C326" s="47"/>
      <c r="D326" s="47"/>
      <c r="E326" s="47"/>
      <c r="F326" s="44"/>
      <c r="G326" s="44"/>
      <c r="H326" s="46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5"/>
      <c r="T326" s="44"/>
      <c r="U326" s="44"/>
      <c r="V326" s="44"/>
      <c r="W326" s="44"/>
      <c r="X326" s="44"/>
      <c r="Y326" s="44"/>
      <c r="Z326" s="44"/>
      <c r="AA326" s="44"/>
      <c r="AB326" s="44"/>
      <c r="AC326" s="45"/>
      <c r="AD326" s="44"/>
      <c r="AE326" s="44"/>
      <c r="AF326" s="44"/>
      <c r="AG326" s="45"/>
      <c r="AH326" s="44"/>
      <c r="AI326" s="81"/>
      <c r="AJ326" s="43"/>
      <c r="AK326" s="43"/>
      <c r="AL326" s="43"/>
      <c r="AM326" s="43"/>
    </row>
    <row r="327" spans="2:39" x14ac:dyDescent="0.25">
      <c r="B327" s="48"/>
      <c r="C327" s="47"/>
      <c r="D327" s="47"/>
      <c r="E327" s="47"/>
      <c r="F327" s="44"/>
      <c r="G327" s="44"/>
      <c r="H327" s="46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5"/>
      <c r="T327" s="44"/>
      <c r="U327" s="44"/>
      <c r="V327" s="44"/>
      <c r="W327" s="44"/>
      <c r="X327" s="44"/>
      <c r="Y327" s="44"/>
      <c r="Z327" s="44"/>
      <c r="AA327" s="44"/>
      <c r="AB327" s="44"/>
      <c r="AC327" s="45"/>
      <c r="AD327" s="44"/>
      <c r="AE327" s="44"/>
      <c r="AF327" s="44"/>
      <c r="AG327" s="45"/>
      <c r="AH327" s="44"/>
      <c r="AI327" s="81"/>
      <c r="AJ327" s="43"/>
      <c r="AK327" s="43"/>
      <c r="AL327" s="43"/>
      <c r="AM327" s="43"/>
    </row>
    <row r="328" spans="2:39" x14ac:dyDescent="0.25">
      <c r="B328" s="48"/>
      <c r="C328" s="47"/>
      <c r="D328" s="47"/>
      <c r="E328" s="47"/>
      <c r="F328" s="44"/>
      <c r="G328" s="44"/>
      <c r="H328" s="46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5"/>
      <c r="T328" s="44"/>
      <c r="U328" s="44"/>
      <c r="V328" s="44"/>
      <c r="W328" s="44"/>
      <c r="X328" s="44"/>
      <c r="Y328" s="44"/>
      <c r="Z328" s="44"/>
      <c r="AA328" s="44"/>
      <c r="AB328" s="44"/>
      <c r="AC328" s="45"/>
      <c r="AD328" s="44"/>
      <c r="AE328" s="44"/>
      <c r="AF328" s="44"/>
      <c r="AG328" s="45"/>
      <c r="AH328" s="44"/>
      <c r="AI328" s="81"/>
      <c r="AJ328" s="43"/>
      <c r="AK328" s="43"/>
      <c r="AL328" s="43"/>
      <c r="AM328" s="43"/>
    </row>
    <row r="329" spans="2:39" x14ac:dyDescent="0.25">
      <c r="B329" s="48"/>
      <c r="C329" s="47"/>
      <c r="D329" s="47"/>
      <c r="E329" s="47"/>
      <c r="F329" s="44"/>
      <c r="G329" s="44"/>
      <c r="H329" s="46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5"/>
      <c r="T329" s="44"/>
      <c r="U329" s="44"/>
      <c r="V329" s="44"/>
      <c r="W329" s="44"/>
      <c r="X329" s="44"/>
      <c r="Y329" s="44"/>
      <c r="Z329" s="44"/>
      <c r="AA329" s="44"/>
      <c r="AB329" s="44"/>
      <c r="AC329" s="45"/>
      <c r="AD329" s="44"/>
      <c r="AE329" s="44"/>
      <c r="AF329" s="44"/>
      <c r="AG329" s="45"/>
      <c r="AH329" s="44"/>
      <c r="AI329" s="81"/>
      <c r="AJ329" s="43"/>
      <c r="AK329" s="43"/>
      <c r="AL329" s="43"/>
      <c r="AM329" s="43"/>
    </row>
    <row r="330" spans="2:39" x14ac:dyDescent="0.25">
      <c r="B330" s="48"/>
      <c r="C330" s="47"/>
      <c r="D330" s="47"/>
      <c r="E330" s="47"/>
      <c r="F330" s="44"/>
      <c r="G330" s="44"/>
      <c r="H330" s="46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5"/>
      <c r="T330" s="44"/>
      <c r="U330" s="44"/>
      <c r="V330" s="44"/>
      <c r="W330" s="44"/>
      <c r="X330" s="44"/>
      <c r="Y330" s="44"/>
      <c r="Z330" s="44"/>
      <c r="AA330" s="44"/>
      <c r="AB330" s="44"/>
      <c r="AC330" s="45"/>
      <c r="AD330" s="44"/>
      <c r="AE330" s="44"/>
      <c r="AF330" s="44"/>
      <c r="AG330" s="45"/>
      <c r="AH330" s="44"/>
      <c r="AI330" s="81"/>
      <c r="AJ330" s="43"/>
      <c r="AK330" s="43"/>
      <c r="AL330" s="43"/>
      <c r="AM330" s="43"/>
    </row>
    <row r="331" spans="2:39" x14ac:dyDescent="0.25">
      <c r="B331" s="48"/>
      <c r="C331" s="47"/>
      <c r="D331" s="47"/>
      <c r="E331" s="47"/>
      <c r="F331" s="44"/>
      <c r="G331" s="44"/>
      <c r="H331" s="46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5"/>
      <c r="T331" s="44"/>
      <c r="U331" s="44"/>
      <c r="V331" s="44"/>
      <c r="W331" s="44"/>
      <c r="X331" s="44"/>
      <c r="Y331" s="44"/>
      <c r="Z331" s="44"/>
      <c r="AA331" s="44"/>
      <c r="AB331" s="44"/>
      <c r="AC331" s="45"/>
      <c r="AD331" s="44"/>
      <c r="AE331" s="44"/>
      <c r="AF331" s="44"/>
      <c r="AG331" s="45"/>
      <c r="AH331" s="44"/>
      <c r="AI331" s="81"/>
      <c r="AJ331" s="43"/>
      <c r="AK331" s="43"/>
      <c r="AL331" s="43"/>
      <c r="AM331" s="43"/>
    </row>
    <row r="332" spans="2:39" x14ac:dyDescent="0.25">
      <c r="B332" s="48"/>
      <c r="C332" s="47"/>
      <c r="D332" s="47"/>
      <c r="E332" s="47"/>
      <c r="F332" s="44"/>
      <c r="G332" s="44"/>
      <c r="H332" s="46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5"/>
      <c r="T332" s="44"/>
      <c r="U332" s="44"/>
      <c r="V332" s="44"/>
      <c r="W332" s="44"/>
      <c r="X332" s="44"/>
      <c r="Y332" s="44"/>
      <c r="Z332" s="44"/>
      <c r="AA332" s="44"/>
      <c r="AB332" s="44"/>
      <c r="AC332" s="45"/>
      <c r="AD332" s="44"/>
      <c r="AE332" s="44"/>
      <c r="AF332" s="44"/>
      <c r="AG332" s="45"/>
      <c r="AH332" s="44"/>
      <c r="AI332" s="81"/>
      <c r="AJ332" s="43"/>
      <c r="AK332" s="43"/>
      <c r="AL332" s="43"/>
      <c r="AM332" s="43"/>
    </row>
    <row r="333" spans="2:39" x14ac:dyDescent="0.25">
      <c r="B333" s="48"/>
      <c r="C333" s="47"/>
      <c r="D333" s="47"/>
      <c r="E333" s="47"/>
      <c r="F333" s="44"/>
      <c r="G333" s="44"/>
      <c r="H333" s="46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5"/>
      <c r="T333" s="44"/>
      <c r="U333" s="44"/>
      <c r="V333" s="44"/>
      <c r="W333" s="44"/>
      <c r="X333" s="44"/>
      <c r="Y333" s="44"/>
      <c r="Z333" s="44"/>
      <c r="AA333" s="44"/>
      <c r="AB333" s="44"/>
      <c r="AC333" s="45"/>
      <c r="AD333" s="44"/>
      <c r="AE333" s="44"/>
      <c r="AF333" s="44"/>
      <c r="AG333" s="45"/>
      <c r="AH333" s="44"/>
      <c r="AI333" s="81"/>
      <c r="AJ333" s="43"/>
      <c r="AK333" s="43"/>
      <c r="AL333" s="43"/>
      <c r="AM333" s="43"/>
    </row>
    <row r="334" spans="2:39" x14ac:dyDescent="0.25">
      <c r="B334" s="48"/>
      <c r="C334" s="47"/>
      <c r="D334" s="47"/>
      <c r="E334" s="47"/>
      <c r="F334" s="44"/>
      <c r="G334" s="44"/>
      <c r="H334" s="46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5"/>
      <c r="T334" s="44"/>
      <c r="U334" s="44"/>
      <c r="V334" s="44"/>
      <c r="W334" s="44"/>
      <c r="X334" s="44"/>
      <c r="Y334" s="44"/>
      <c r="Z334" s="44"/>
      <c r="AA334" s="44"/>
      <c r="AB334" s="44"/>
      <c r="AC334" s="45"/>
      <c r="AD334" s="44"/>
      <c r="AE334" s="44"/>
      <c r="AF334" s="44"/>
      <c r="AG334" s="45"/>
      <c r="AH334" s="44"/>
      <c r="AI334" s="81"/>
      <c r="AJ334" s="43"/>
      <c r="AK334" s="43"/>
      <c r="AL334" s="43"/>
      <c r="AM334" s="43"/>
    </row>
    <row r="335" spans="2:39" x14ac:dyDescent="0.25">
      <c r="B335" s="48"/>
      <c r="C335" s="47"/>
      <c r="D335" s="47"/>
      <c r="E335" s="47"/>
      <c r="F335" s="44"/>
      <c r="G335" s="44"/>
      <c r="H335" s="46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5"/>
      <c r="T335" s="44"/>
      <c r="U335" s="44"/>
      <c r="V335" s="44"/>
      <c r="W335" s="44"/>
      <c r="X335" s="44"/>
      <c r="Y335" s="44"/>
      <c r="Z335" s="44"/>
      <c r="AA335" s="44"/>
      <c r="AB335" s="44"/>
      <c r="AC335" s="45"/>
      <c r="AD335" s="44"/>
      <c r="AE335" s="44"/>
      <c r="AF335" s="44"/>
      <c r="AG335" s="45"/>
      <c r="AH335" s="44"/>
      <c r="AI335" s="81"/>
      <c r="AJ335" s="43"/>
      <c r="AK335" s="43"/>
      <c r="AL335" s="43"/>
      <c r="AM335" s="43"/>
    </row>
    <row r="336" spans="2:39" x14ac:dyDescent="0.25">
      <c r="B336" s="48"/>
      <c r="C336" s="47"/>
      <c r="D336" s="47"/>
      <c r="E336" s="47"/>
      <c r="F336" s="44"/>
      <c r="G336" s="44"/>
      <c r="H336" s="46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5"/>
      <c r="T336" s="44"/>
      <c r="U336" s="44"/>
      <c r="V336" s="44"/>
      <c r="W336" s="44"/>
      <c r="X336" s="44"/>
      <c r="Y336" s="44"/>
      <c r="Z336" s="44"/>
      <c r="AA336" s="44"/>
      <c r="AB336" s="44"/>
      <c r="AC336" s="45"/>
      <c r="AD336" s="44"/>
      <c r="AE336" s="44"/>
      <c r="AF336" s="44"/>
      <c r="AG336" s="45"/>
      <c r="AH336" s="44"/>
      <c r="AI336" s="81"/>
      <c r="AJ336" s="43"/>
      <c r="AK336" s="43"/>
      <c r="AL336" s="43"/>
      <c r="AM336" s="43"/>
    </row>
    <row r="337" spans="2:39" x14ac:dyDescent="0.25">
      <c r="B337" s="48"/>
      <c r="C337" s="47"/>
      <c r="D337" s="47"/>
      <c r="E337" s="47"/>
      <c r="F337" s="44"/>
      <c r="G337" s="44"/>
      <c r="H337" s="46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5"/>
      <c r="T337" s="44"/>
      <c r="U337" s="44"/>
      <c r="V337" s="44"/>
      <c r="W337" s="44"/>
      <c r="X337" s="44"/>
      <c r="Y337" s="44"/>
      <c r="Z337" s="44"/>
      <c r="AA337" s="44"/>
      <c r="AB337" s="44"/>
      <c r="AC337" s="45"/>
      <c r="AD337" s="44"/>
      <c r="AE337" s="44"/>
      <c r="AF337" s="44"/>
      <c r="AG337" s="45"/>
      <c r="AH337" s="44"/>
      <c r="AI337" s="81"/>
      <c r="AJ337" s="43"/>
      <c r="AK337" s="43"/>
      <c r="AL337" s="43"/>
      <c r="AM337" s="43"/>
    </row>
    <row r="338" spans="2:39" x14ac:dyDescent="0.25">
      <c r="B338" s="48"/>
      <c r="C338" s="47"/>
      <c r="D338" s="47"/>
      <c r="E338" s="47"/>
      <c r="F338" s="44"/>
      <c r="G338" s="44"/>
      <c r="H338" s="46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5"/>
      <c r="T338" s="44"/>
      <c r="U338" s="44"/>
      <c r="V338" s="44"/>
      <c r="W338" s="44"/>
      <c r="X338" s="44"/>
      <c r="Y338" s="44"/>
      <c r="Z338" s="44"/>
      <c r="AA338" s="44"/>
      <c r="AB338" s="44"/>
      <c r="AC338" s="45"/>
      <c r="AD338" s="44"/>
      <c r="AE338" s="44"/>
      <c r="AF338" s="44"/>
      <c r="AG338" s="45"/>
      <c r="AH338" s="44"/>
      <c r="AI338" s="81"/>
      <c r="AJ338" s="43"/>
      <c r="AK338" s="43"/>
      <c r="AL338" s="43"/>
      <c r="AM338" s="43"/>
    </row>
    <row r="339" spans="2:39" x14ac:dyDescent="0.25">
      <c r="B339" s="48"/>
      <c r="C339" s="47"/>
      <c r="D339" s="47"/>
      <c r="E339" s="47"/>
      <c r="F339" s="44"/>
      <c r="G339" s="44"/>
      <c r="H339" s="46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5"/>
      <c r="T339" s="44"/>
      <c r="U339" s="44"/>
      <c r="V339" s="44"/>
      <c r="W339" s="44"/>
      <c r="X339" s="44"/>
      <c r="Y339" s="44"/>
      <c r="Z339" s="44"/>
      <c r="AA339" s="44"/>
      <c r="AB339" s="44"/>
      <c r="AC339" s="45"/>
      <c r="AD339" s="44"/>
      <c r="AE339" s="44"/>
      <c r="AF339" s="44"/>
      <c r="AG339" s="45"/>
      <c r="AH339" s="44"/>
      <c r="AI339" s="81"/>
      <c r="AJ339" s="43"/>
      <c r="AK339" s="43"/>
      <c r="AL339" s="43"/>
      <c r="AM339" s="43"/>
    </row>
    <row r="340" spans="2:39" x14ac:dyDescent="0.25">
      <c r="B340" s="48"/>
      <c r="C340" s="47"/>
      <c r="D340" s="47"/>
      <c r="E340" s="47"/>
      <c r="F340" s="44"/>
      <c r="G340" s="44"/>
      <c r="H340" s="46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5"/>
      <c r="T340" s="44"/>
      <c r="U340" s="44"/>
      <c r="V340" s="44"/>
      <c r="W340" s="44"/>
      <c r="X340" s="44"/>
      <c r="Y340" s="44"/>
      <c r="Z340" s="44"/>
      <c r="AA340" s="44"/>
      <c r="AB340" s="44"/>
      <c r="AC340" s="45"/>
      <c r="AD340" s="44"/>
      <c r="AE340" s="44"/>
      <c r="AF340" s="44"/>
      <c r="AG340" s="45"/>
      <c r="AH340" s="44"/>
      <c r="AI340" s="81"/>
      <c r="AJ340" s="43"/>
      <c r="AK340" s="43"/>
      <c r="AL340" s="43"/>
      <c r="AM340" s="43"/>
    </row>
    <row r="341" spans="2:39" x14ac:dyDescent="0.25">
      <c r="B341" s="48"/>
      <c r="C341" s="47"/>
      <c r="D341" s="47"/>
      <c r="E341" s="47"/>
      <c r="F341" s="44"/>
      <c r="G341" s="44"/>
      <c r="H341" s="46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5"/>
      <c r="T341" s="44"/>
      <c r="U341" s="44"/>
      <c r="V341" s="44"/>
      <c r="W341" s="44"/>
      <c r="X341" s="44"/>
      <c r="Y341" s="44"/>
      <c r="Z341" s="44"/>
      <c r="AA341" s="44"/>
      <c r="AB341" s="44"/>
      <c r="AC341" s="45"/>
      <c r="AD341" s="44"/>
      <c r="AE341" s="44"/>
      <c r="AF341" s="44"/>
      <c r="AG341" s="45"/>
      <c r="AH341" s="44"/>
      <c r="AI341" s="81"/>
      <c r="AJ341" s="43"/>
      <c r="AK341" s="43"/>
      <c r="AL341" s="43"/>
      <c r="AM341" s="43"/>
    </row>
    <row r="342" spans="2:39" x14ac:dyDescent="0.25">
      <c r="B342" s="48"/>
      <c r="C342" s="47"/>
      <c r="D342" s="47"/>
      <c r="E342" s="47"/>
      <c r="F342" s="44"/>
      <c r="G342" s="44"/>
      <c r="H342" s="46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5"/>
      <c r="T342" s="44"/>
      <c r="U342" s="44"/>
      <c r="V342" s="44"/>
      <c r="W342" s="44"/>
      <c r="X342" s="44"/>
      <c r="Y342" s="44"/>
      <c r="Z342" s="44"/>
      <c r="AA342" s="44"/>
      <c r="AB342" s="44"/>
      <c r="AC342" s="45"/>
      <c r="AD342" s="44"/>
      <c r="AE342" s="44"/>
      <c r="AF342" s="44"/>
      <c r="AG342" s="45"/>
      <c r="AH342" s="44"/>
      <c r="AI342" s="81"/>
      <c r="AJ342" s="43"/>
      <c r="AK342" s="43"/>
      <c r="AL342" s="43"/>
      <c r="AM342" s="43"/>
    </row>
    <row r="343" spans="2:39" x14ac:dyDescent="0.25">
      <c r="B343" s="48"/>
      <c r="C343" s="47"/>
      <c r="D343" s="47"/>
      <c r="E343" s="47"/>
      <c r="F343" s="44"/>
      <c r="G343" s="44"/>
      <c r="H343" s="46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5"/>
      <c r="T343" s="44"/>
      <c r="U343" s="44"/>
      <c r="V343" s="44"/>
      <c r="W343" s="44"/>
      <c r="X343" s="44"/>
      <c r="Y343" s="44"/>
      <c r="Z343" s="44"/>
      <c r="AA343" s="44"/>
      <c r="AB343" s="44"/>
      <c r="AC343" s="45"/>
      <c r="AD343" s="44"/>
      <c r="AE343" s="44"/>
      <c r="AF343" s="44"/>
      <c r="AG343" s="45"/>
      <c r="AH343" s="44"/>
      <c r="AI343" s="81"/>
      <c r="AJ343" s="43"/>
      <c r="AK343" s="43"/>
      <c r="AL343" s="43"/>
      <c r="AM343" s="43"/>
    </row>
    <row r="344" spans="2:39" x14ac:dyDescent="0.25">
      <c r="B344" s="48"/>
      <c r="C344" s="47"/>
      <c r="D344" s="47"/>
      <c r="E344" s="47"/>
      <c r="F344" s="44"/>
      <c r="G344" s="44"/>
      <c r="H344" s="46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5"/>
      <c r="T344" s="44"/>
      <c r="U344" s="44"/>
      <c r="V344" s="44"/>
      <c r="W344" s="44"/>
      <c r="X344" s="44"/>
      <c r="Y344" s="44"/>
      <c r="Z344" s="44"/>
      <c r="AA344" s="44"/>
      <c r="AB344" s="44"/>
      <c r="AC344" s="45"/>
      <c r="AD344" s="44"/>
      <c r="AE344" s="44"/>
      <c r="AF344" s="44"/>
      <c r="AG344" s="45"/>
      <c r="AH344" s="44"/>
      <c r="AI344" s="81"/>
      <c r="AJ344" s="43"/>
      <c r="AK344" s="43"/>
      <c r="AL344" s="43"/>
      <c r="AM344" s="43"/>
    </row>
    <row r="345" spans="2:39" x14ac:dyDescent="0.25">
      <c r="B345" s="48"/>
      <c r="C345" s="47"/>
      <c r="D345" s="47"/>
      <c r="E345" s="47"/>
      <c r="F345" s="44"/>
      <c r="G345" s="44"/>
      <c r="H345" s="46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5"/>
      <c r="T345" s="44"/>
      <c r="U345" s="44"/>
      <c r="V345" s="44"/>
      <c r="W345" s="44"/>
      <c r="X345" s="44"/>
      <c r="Y345" s="44"/>
      <c r="Z345" s="44"/>
      <c r="AA345" s="44"/>
      <c r="AB345" s="44"/>
      <c r="AC345" s="45"/>
      <c r="AD345" s="44"/>
      <c r="AE345" s="44"/>
      <c r="AF345" s="44"/>
      <c r="AG345" s="45"/>
      <c r="AH345" s="44"/>
      <c r="AI345" s="81"/>
      <c r="AJ345" s="43"/>
      <c r="AK345" s="43"/>
      <c r="AL345" s="43"/>
      <c r="AM345" s="43"/>
    </row>
    <row r="346" spans="2:39" x14ac:dyDescent="0.25">
      <c r="B346" s="48"/>
      <c r="C346" s="47"/>
      <c r="D346" s="47"/>
      <c r="E346" s="47"/>
      <c r="F346" s="44"/>
      <c r="G346" s="44"/>
      <c r="H346" s="46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5"/>
      <c r="T346" s="44"/>
      <c r="U346" s="44"/>
      <c r="V346" s="44"/>
      <c r="W346" s="44"/>
      <c r="X346" s="44"/>
      <c r="Y346" s="44"/>
      <c r="Z346" s="44"/>
      <c r="AA346" s="44"/>
      <c r="AB346" s="44"/>
      <c r="AC346" s="45"/>
      <c r="AD346" s="44"/>
      <c r="AE346" s="44"/>
      <c r="AF346" s="44"/>
      <c r="AG346" s="45"/>
      <c r="AH346" s="44"/>
      <c r="AI346" s="81"/>
      <c r="AJ346" s="43"/>
      <c r="AK346" s="43"/>
      <c r="AL346" s="43"/>
      <c r="AM346" s="43"/>
    </row>
    <row r="347" spans="2:39" x14ac:dyDescent="0.25">
      <c r="B347" s="48"/>
      <c r="C347" s="47"/>
      <c r="D347" s="47"/>
      <c r="E347" s="47"/>
      <c r="F347" s="44"/>
      <c r="G347" s="44"/>
      <c r="H347" s="46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5"/>
      <c r="T347" s="44"/>
      <c r="U347" s="44"/>
      <c r="V347" s="44"/>
      <c r="W347" s="44"/>
      <c r="X347" s="44"/>
      <c r="Y347" s="44"/>
      <c r="Z347" s="44"/>
      <c r="AA347" s="44"/>
      <c r="AB347" s="44"/>
      <c r="AC347" s="45"/>
      <c r="AD347" s="44"/>
      <c r="AE347" s="44"/>
      <c r="AF347" s="44"/>
      <c r="AG347" s="45"/>
      <c r="AH347" s="44"/>
      <c r="AI347" s="81"/>
      <c r="AJ347" s="43"/>
      <c r="AK347" s="43"/>
      <c r="AL347" s="43"/>
      <c r="AM347" s="43"/>
    </row>
    <row r="348" spans="2:39" x14ac:dyDescent="0.25">
      <c r="B348" s="48"/>
      <c r="C348" s="47"/>
      <c r="D348" s="47"/>
      <c r="E348" s="47"/>
      <c r="F348" s="44"/>
      <c r="G348" s="44"/>
      <c r="H348" s="46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5"/>
      <c r="T348" s="44"/>
      <c r="U348" s="44"/>
      <c r="V348" s="44"/>
      <c r="W348" s="44"/>
      <c r="X348" s="44"/>
      <c r="Y348" s="44"/>
      <c r="Z348" s="44"/>
      <c r="AA348" s="44"/>
      <c r="AB348" s="44"/>
      <c r="AC348" s="45"/>
      <c r="AD348" s="44"/>
      <c r="AE348" s="44"/>
      <c r="AF348" s="44"/>
      <c r="AG348" s="45"/>
      <c r="AH348" s="44"/>
      <c r="AI348" s="81"/>
      <c r="AJ348" s="43"/>
      <c r="AK348" s="43"/>
      <c r="AL348" s="43"/>
      <c r="AM348" s="43"/>
    </row>
    <row r="349" spans="2:39" x14ac:dyDescent="0.25">
      <c r="B349" s="48"/>
      <c r="C349" s="47"/>
      <c r="D349" s="47"/>
      <c r="E349" s="47"/>
      <c r="F349" s="44"/>
      <c r="G349" s="44"/>
      <c r="H349" s="46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5"/>
      <c r="T349" s="44"/>
      <c r="U349" s="44"/>
      <c r="V349" s="44"/>
      <c r="W349" s="44"/>
      <c r="X349" s="44"/>
      <c r="Y349" s="44"/>
      <c r="Z349" s="44"/>
      <c r="AA349" s="44"/>
      <c r="AB349" s="44"/>
      <c r="AC349" s="45"/>
      <c r="AD349" s="44"/>
      <c r="AE349" s="44"/>
      <c r="AF349" s="44"/>
      <c r="AG349" s="45"/>
      <c r="AH349" s="44"/>
      <c r="AI349" s="81"/>
      <c r="AJ349" s="43"/>
      <c r="AK349" s="43"/>
      <c r="AL349" s="43"/>
      <c r="AM349" s="43"/>
    </row>
    <row r="350" spans="2:39" x14ac:dyDescent="0.25">
      <c r="B350" s="48"/>
      <c r="C350" s="47"/>
      <c r="D350" s="47"/>
      <c r="E350" s="47"/>
      <c r="F350" s="44"/>
      <c r="G350" s="44"/>
      <c r="H350" s="46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5"/>
      <c r="T350" s="44"/>
      <c r="U350" s="44"/>
      <c r="V350" s="44"/>
      <c r="W350" s="44"/>
      <c r="X350" s="44"/>
      <c r="Y350" s="44"/>
      <c r="Z350" s="44"/>
      <c r="AA350" s="44"/>
      <c r="AB350" s="44"/>
      <c r="AC350" s="45"/>
      <c r="AD350" s="44"/>
      <c r="AE350" s="44"/>
      <c r="AF350" s="44"/>
      <c r="AG350" s="45"/>
      <c r="AH350" s="44"/>
      <c r="AI350" s="81"/>
      <c r="AJ350" s="43"/>
      <c r="AK350" s="43"/>
      <c r="AL350" s="43"/>
      <c r="AM350" s="43"/>
    </row>
    <row r="351" spans="2:39" x14ac:dyDescent="0.25">
      <c r="B351" s="48"/>
      <c r="C351" s="47"/>
      <c r="D351" s="47"/>
      <c r="E351" s="47"/>
      <c r="F351" s="44"/>
      <c r="G351" s="44"/>
      <c r="H351" s="46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5"/>
      <c r="T351" s="44"/>
      <c r="U351" s="44"/>
      <c r="V351" s="44"/>
      <c r="W351" s="44"/>
      <c r="X351" s="44"/>
      <c r="Y351" s="44"/>
      <c r="Z351" s="44"/>
      <c r="AA351" s="44"/>
      <c r="AB351" s="44"/>
      <c r="AC351" s="45"/>
      <c r="AD351" s="44"/>
      <c r="AE351" s="44"/>
      <c r="AF351" s="44"/>
      <c r="AG351" s="45"/>
      <c r="AH351" s="44"/>
      <c r="AI351" s="81"/>
      <c r="AJ351" s="43"/>
      <c r="AK351" s="43"/>
      <c r="AL351" s="43"/>
      <c r="AM351" s="43"/>
    </row>
    <row r="352" spans="2:39" x14ac:dyDescent="0.25">
      <c r="B352" s="48"/>
      <c r="C352" s="47"/>
      <c r="D352" s="47"/>
      <c r="E352" s="47"/>
      <c r="F352" s="44"/>
      <c r="G352" s="44"/>
      <c r="H352" s="46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5"/>
      <c r="T352" s="44"/>
      <c r="U352" s="44"/>
      <c r="V352" s="44"/>
      <c r="W352" s="44"/>
      <c r="X352" s="44"/>
      <c r="Y352" s="44"/>
      <c r="Z352" s="44"/>
      <c r="AA352" s="44"/>
      <c r="AB352" s="44"/>
      <c r="AC352" s="45"/>
      <c r="AD352" s="44"/>
      <c r="AE352" s="44"/>
      <c r="AF352" s="44"/>
      <c r="AG352" s="45"/>
      <c r="AH352" s="44"/>
      <c r="AI352" s="81"/>
      <c r="AJ352" s="43"/>
      <c r="AK352" s="43"/>
      <c r="AL352" s="43"/>
      <c r="AM352" s="43"/>
    </row>
    <row r="353" spans="2:39" x14ac:dyDescent="0.25">
      <c r="B353" s="48"/>
      <c r="C353" s="47"/>
      <c r="D353" s="47"/>
      <c r="E353" s="47"/>
      <c r="F353" s="44"/>
      <c r="G353" s="44"/>
      <c r="H353" s="46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5"/>
      <c r="T353" s="44"/>
      <c r="U353" s="44"/>
      <c r="V353" s="44"/>
      <c r="W353" s="44"/>
      <c r="X353" s="44"/>
      <c r="Y353" s="44"/>
      <c r="Z353" s="44"/>
      <c r="AA353" s="44"/>
      <c r="AB353" s="44"/>
      <c r="AC353" s="45"/>
      <c r="AD353" s="44"/>
      <c r="AE353" s="44"/>
      <c r="AF353" s="44"/>
      <c r="AG353" s="45"/>
      <c r="AH353" s="44"/>
      <c r="AI353" s="81"/>
      <c r="AJ353" s="43"/>
      <c r="AK353" s="43"/>
      <c r="AL353" s="43"/>
      <c r="AM353" s="43"/>
    </row>
    <row r="354" spans="2:39" x14ac:dyDescent="0.25">
      <c r="B354" s="48"/>
      <c r="C354" s="47"/>
      <c r="D354" s="47"/>
      <c r="E354" s="47"/>
      <c r="F354" s="44"/>
      <c r="G354" s="44"/>
      <c r="H354" s="46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5"/>
      <c r="T354" s="44"/>
      <c r="U354" s="44"/>
      <c r="V354" s="44"/>
      <c r="W354" s="44"/>
      <c r="X354" s="44"/>
      <c r="Y354" s="44"/>
      <c r="Z354" s="44"/>
      <c r="AA354" s="44"/>
      <c r="AB354" s="44"/>
      <c r="AC354" s="45"/>
      <c r="AD354" s="44"/>
      <c r="AE354" s="44"/>
      <c r="AF354" s="44"/>
      <c r="AG354" s="45"/>
      <c r="AH354" s="44"/>
      <c r="AI354" s="81"/>
      <c r="AJ354" s="43"/>
      <c r="AK354" s="43"/>
      <c r="AL354" s="43"/>
      <c r="AM354" s="43"/>
    </row>
    <row r="355" spans="2:39" x14ac:dyDescent="0.25">
      <c r="B355" s="48"/>
      <c r="C355" s="47"/>
      <c r="D355" s="47"/>
      <c r="E355" s="47"/>
      <c r="F355" s="44"/>
      <c r="G355" s="44"/>
      <c r="H355" s="46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5"/>
      <c r="T355" s="44"/>
      <c r="U355" s="44"/>
      <c r="V355" s="44"/>
      <c r="W355" s="44"/>
      <c r="X355" s="44"/>
      <c r="Y355" s="44"/>
      <c r="Z355" s="44"/>
      <c r="AA355" s="44"/>
      <c r="AB355" s="44"/>
      <c r="AC355" s="45"/>
      <c r="AD355" s="44"/>
      <c r="AE355" s="44"/>
      <c r="AF355" s="44"/>
      <c r="AG355" s="45"/>
      <c r="AH355" s="44"/>
      <c r="AI355" s="81"/>
      <c r="AJ355" s="43"/>
      <c r="AK355" s="43"/>
      <c r="AL355" s="43"/>
      <c r="AM355" s="43"/>
    </row>
    <row r="356" spans="2:39" x14ac:dyDescent="0.25">
      <c r="B356" s="48"/>
      <c r="C356" s="47"/>
      <c r="D356" s="47"/>
      <c r="E356" s="47"/>
      <c r="F356" s="44"/>
      <c r="G356" s="44"/>
      <c r="H356" s="46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5"/>
      <c r="T356" s="44"/>
      <c r="U356" s="44"/>
      <c r="V356" s="44"/>
      <c r="W356" s="44"/>
      <c r="X356" s="44"/>
      <c r="Y356" s="44"/>
      <c r="Z356" s="44"/>
      <c r="AA356" s="44"/>
      <c r="AB356" s="44"/>
      <c r="AC356" s="45"/>
      <c r="AD356" s="44"/>
      <c r="AE356" s="44"/>
      <c r="AF356" s="44"/>
      <c r="AG356" s="45"/>
      <c r="AH356" s="44"/>
      <c r="AI356" s="81"/>
      <c r="AJ356" s="43"/>
      <c r="AK356" s="43"/>
      <c r="AL356" s="43"/>
      <c r="AM356" s="43"/>
    </row>
    <row r="357" spans="2:39" x14ac:dyDescent="0.25">
      <c r="B357" s="48"/>
      <c r="C357" s="47"/>
      <c r="D357" s="47"/>
      <c r="E357" s="47"/>
      <c r="F357" s="44"/>
      <c r="G357" s="44"/>
      <c r="H357" s="46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5"/>
      <c r="T357" s="44"/>
      <c r="U357" s="44"/>
      <c r="V357" s="44"/>
      <c r="W357" s="44"/>
      <c r="X357" s="44"/>
      <c r="Y357" s="44"/>
      <c r="Z357" s="44"/>
      <c r="AA357" s="44"/>
      <c r="AB357" s="44"/>
      <c r="AC357" s="45"/>
      <c r="AD357" s="44"/>
      <c r="AE357" s="44"/>
      <c r="AF357" s="44"/>
      <c r="AG357" s="45"/>
      <c r="AH357" s="44"/>
      <c r="AI357" s="81"/>
      <c r="AJ357" s="43"/>
      <c r="AK357" s="43"/>
      <c r="AL357" s="43"/>
      <c r="AM357" s="43"/>
    </row>
    <row r="358" spans="2:39" x14ac:dyDescent="0.25">
      <c r="B358" s="48"/>
      <c r="C358" s="47"/>
      <c r="D358" s="47"/>
      <c r="E358" s="47"/>
      <c r="F358" s="44"/>
      <c r="G358" s="44"/>
      <c r="H358" s="46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5"/>
      <c r="T358" s="44"/>
      <c r="U358" s="44"/>
      <c r="V358" s="44"/>
      <c r="W358" s="44"/>
      <c r="X358" s="44"/>
      <c r="Y358" s="44"/>
      <c r="Z358" s="44"/>
      <c r="AA358" s="44"/>
      <c r="AB358" s="44"/>
      <c r="AC358" s="45"/>
      <c r="AD358" s="44"/>
      <c r="AE358" s="44"/>
      <c r="AF358" s="44"/>
      <c r="AG358" s="45"/>
      <c r="AH358" s="44"/>
      <c r="AI358" s="81"/>
      <c r="AJ358" s="43"/>
      <c r="AK358" s="43"/>
      <c r="AL358" s="43"/>
      <c r="AM358" s="43"/>
    </row>
    <row r="359" spans="2:39" x14ac:dyDescent="0.25">
      <c r="B359" s="48"/>
      <c r="C359" s="47"/>
      <c r="D359" s="47"/>
      <c r="E359" s="47"/>
      <c r="F359" s="44"/>
      <c r="G359" s="44"/>
      <c r="H359" s="46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5"/>
      <c r="T359" s="44"/>
      <c r="U359" s="44"/>
      <c r="V359" s="44"/>
      <c r="W359" s="44"/>
      <c r="X359" s="44"/>
      <c r="Y359" s="44"/>
      <c r="Z359" s="44"/>
      <c r="AA359" s="44"/>
      <c r="AB359" s="44"/>
      <c r="AC359" s="45"/>
      <c r="AD359" s="44"/>
      <c r="AE359" s="44"/>
      <c r="AF359" s="44"/>
      <c r="AG359" s="45"/>
      <c r="AH359" s="44"/>
      <c r="AI359" s="81"/>
      <c r="AJ359" s="43"/>
      <c r="AK359" s="43"/>
      <c r="AL359" s="43"/>
      <c r="AM359" s="43"/>
    </row>
    <row r="360" spans="2:39" x14ac:dyDescent="0.25">
      <c r="B360" s="48"/>
      <c r="C360" s="47"/>
      <c r="D360" s="47"/>
      <c r="E360" s="47"/>
      <c r="F360" s="44"/>
      <c r="G360" s="44"/>
      <c r="H360" s="46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5"/>
      <c r="T360" s="44"/>
      <c r="U360" s="44"/>
      <c r="V360" s="44"/>
      <c r="W360" s="44"/>
      <c r="X360" s="44"/>
      <c r="Y360" s="44"/>
      <c r="Z360" s="44"/>
      <c r="AA360" s="44"/>
      <c r="AB360" s="44"/>
      <c r="AC360" s="45"/>
      <c r="AD360" s="44"/>
      <c r="AE360" s="44"/>
      <c r="AF360" s="44"/>
      <c r="AG360" s="45"/>
      <c r="AH360" s="44"/>
      <c r="AI360" s="81"/>
      <c r="AJ360" s="43"/>
      <c r="AK360" s="43"/>
      <c r="AL360" s="43"/>
      <c r="AM360" s="43"/>
    </row>
    <row r="361" spans="2:39" x14ac:dyDescent="0.25">
      <c r="B361" s="48"/>
      <c r="C361" s="47"/>
      <c r="D361" s="47"/>
      <c r="E361" s="47"/>
      <c r="F361" s="44"/>
      <c r="G361" s="44"/>
      <c r="H361" s="46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5"/>
      <c r="T361" s="44"/>
      <c r="U361" s="44"/>
      <c r="V361" s="44"/>
      <c r="W361" s="44"/>
      <c r="X361" s="44"/>
      <c r="Y361" s="44"/>
      <c r="Z361" s="44"/>
      <c r="AA361" s="44"/>
      <c r="AB361" s="44"/>
      <c r="AC361" s="45"/>
      <c r="AD361" s="44"/>
      <c r="AE361" s="44"/>
      <c r="AF361" s="44"/>
      <c r="AG361" s="45"/>
      <c r="AH361" s="44"/>
      <c r="AI361" s="81"/>
      <c r="AJ361" s="43"/>
      <c r="AK361" s="43"/>
      <c r="AL361" s="43"/>
      <c r="AM361" s="43"/>
    </row>
    <row r="362" spans="2:39" x14ac:dyDescent="0.25">
      <c r="B362" s="48"/>
      <c r="C362" s="47"/>
      <c r="D362" s="47"/>
      <c r="E362" s="47"/>
      <c r="F362" s="44"/>
      <c r="G362" s="44"/>
      <c r="H362" s="46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5"/>
      <c r="T362" s="44"/>
      <c r="U362" s="44"/>
      <c r="V362" s="44"/>
      <c r="W362" s="44"/>
      <c r="X362" s="44"/>
      <c r="Y362" s="44"/>
      <c r="Z362" s="44"/>
      <c r="AA362" s="44"/>
      <c r="AB362" s="44"/>
      <c r="AC362" s="45"/>
      <c r="AD362" s="44"/>
      <c r="AE362" s="44"/>
      <c r="AF362" s="44"/>
      <c r="AG362" s="45"/>
      <c r="AH362" s="44"/>
      <c r="AI362" s="81"/>
      <c r="AJ362" s="43"/>
      <c r="AK362" s="43"/>
      <c r="AL362" s="43"/>
      <c r="AM362" s="43"/>
    </row>
    <row r="363" spans="2:39" x14ac:dyDescent="0.25">
      <c r="B363" s="48"/>
      <c r="C363" s="47"/>
      <c r="D363" s="47"/>
      <c r="E363" s="47"/>
      <c r="F363" s="44"/>
      <c r="G363" s="44"/>
      <c r="H363" s="46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5"/>
      <c r="T363" s="44"/>
      <c r="U363" s="44"/>
      <c r="V363" s="44"/>
      <c r="W363" s="44"/>
      <c r="X363" s="44"/>
      <c r="Y363" s="44"/>
      <c r="Z363" s="44"/>
      <c r="AA363" s="44"/>
      <c r="AB363" s="44"/>
      <c r="AC363" s="45"/>
      <c r="AD363" s="44"/>
      <c r="AE363" s="44"/>
      <c r="AF363" s="44"/>
      <c r="AG363" s="45"/>
      <c r="AH363" s="44"/>
      <c r="AI363" s="81"/>
      <c r="AJ363" s="43"/>
      <c r="AK363" s="43"/>
      <c r="AL363" s="43"/>
      <c r="AM363" s="43"/>
    </row>
    <row r="364" spans="2:39" x14ac:dyDescent="0.25">
      <c r="B364" s="48"/>
      <c r="C364" s="47"/>
      <c r="D364" s="47"/>
      <c r="E364" s="47"/>
      <c r="F364" s="44"/>
      <c r="G364" s="44"/>
      <c r="H364" s="46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5"/>
      <c r="T364" s="44"/>
      <c r="U364" s="44"/>
      <c r="V364" s="44"/>
      <c r="W364" s="44"/>
      <c r="X364" s="44"/>
      <c r="Y364" s="44"/>
      <c r="Z364" s="44"/>
      <c r="AA364" s="44"/>
      <c r="AB364" s="44"/>
      <c r="AC364" s="45"/>
      <c r="AD364" s="44"/>
      <c r="AE364" s="44"/>
      <c r="AF364" s="44"/>
      <c r="AG364" s="45"/>
      <c r="AH364" s="44"/>
      <c r="AI364" s="81"/>
      <c r="AJ364" s="43"/>
      <c r="AK364" s="43"/>
      <c r="AL364" s="43"/>
      <c r="AM364" s="43"/>
    </row>
    <row r="365" spans="2:39" x14ac:dyDescent="0.25">
      <c r="B365" s="48"/>
      <c r="C365" s="47"/>
      <c r="D365" s="47"/>
      <c r="E365" s="47"/>
      <c r="F365" s="44"/>
      <c r="G365" s="44"/>
      <c r="H365" s="46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5"/>
      <c r="T365" s="44"/>
      <c r="U365" s="44"/>
      <c r="V365" s="44"/>
      <c r="W365" s="44"/>
      <c r="X365" s="44"/>
      <c r="Y365" s="44"/>
      <c r="Z365" s="44"/>
      <c r="AA365" s="44"/>
      <c r="AB365" s="44"/>
      <c r="AC365" s="45"/>
      <c r="AD365" s="44"/>
      <c r="AE365" s="44"/>
      <c r="AF365" s="44"/>
      <c r="AG365" s="45"/>
      <c r="AH365" s="44"/>
      <c r="AI365" s="81"/>
      <c r="AJ365" s="43"/>
      <c r="AK365" s="43"/>
      <c r="AL365" s="43"/>
      <c r="AM365" s="43"/>
    </row>
    <row r="366" spans="2:39" x14ac:dyDescent="0.25">
      <c r="B366" s="48"/>
      <c r="C366" s="47"/>
      <c r="D366" s="47"/>
      <c r="E366" s="47"/>
      <c r="F366" s="44"/>
      <c r="G366" s="44"/>
      <c r="H366" s="46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5"/>
      <c r="T366" s="44"/>
      <c r="U366" s="44"/>
      <c r="V366" s="44"/>
      <c r="W366" s="44"/>
      <c r="X366" s="44"/>
      <c r="Y366" s="44"/>
      <c r="Z366" s="44"/>
      <c r="AA366" s="44"/>
      <c r="AB366" s="44"/>
      <c r="AC366" s="45"/>
      <c r="AD366" s="44"/>
      <c r="AE366" s="44"/>
      <c r="AF366" s="44"/>
      <c r="AG366" s="45"/>
      <c r="AH366" s="44"/>
      <c r="AI366" s="81"/>
      <c r="AJ366" s="43"/>
      <c r="AK366" s="43"/>
      <c r="AL366" s="43"/>
      <c r="AM366" s="43"/>
    </row>
    <row r="367" spans="2:39" x14ac:dyDescent="0.25">
      <c r="B367" s="48"/>
      <c r="C367" s="47"/>
      <c r="D367" s="47"/>
      <c r="E367" s="47"/>
      <c r="F367" s="44"/>
      <c r="G367" s="44"/>
      <c r="H367" s="46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5"/>
      <c r="T367" s="44"/>
      <c r="U367" s="44"/>
      <c r="V367" s="44"/>
      <c r="W367" s="44"/>
      <c r="X367" s="44"/>
      <c r="Y367" s="44"/>
      <c r="Z367" s="44"/>
      <c r="AA367" s="44"/>
      <c r="AB367" s="44"/>
      <c r="AC367" s="45"/>
      <c r="AD367" s="44"/>
      <c r="AE367" s="44"/>
      <c r="AF367" s="44"/>
      <c r="AG367" s="45"/>
      <c r="AH367" s="44"/>
      <c r="AI367" s="81"/>
      <c r="AJ367" s="43"/>
      <c r="AK367" s="43"/>
      <c r="AL367" s="43"/>
      <c r="AM367" s="43"/>
    </row>
    <row r="368" spans="2:39" x14ac:dyDescent="0.25">
      <c r="B368" s="48"/>
      <c r="C368" s="47"/>
      <c r="D368" s="47"/>
      <c r="E368" s="47"/>
      <c r="F368" s="44"/>
      <c r="G368" s="44"/>
      <c r="H368" s="46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5"/>
      <c r="T368" s="44"/>
      <c r="U368" s="44"/>
      <c r="V368" s="44"/>
      <c r="W368" s="44"/>
      <c r="X368" s="44"/>
      <c r="Y368" s="44"/>
      <c r="Z368" s="44"/>
      <c r="AA368" s="44"/>
      <c r="AB368" s="44"/>
      <c r="AC368" s="45"/>
      <c r="AD368" s="44"/>
      <c r="AE368" s="44"/>
      <c r="AF368" s="44"/>
      <c r="AG368" s="45"/>
      <c r="AH368" s="44"/>
      <c r="AI368" s="81"/>
      <c r="AJ368" s="43"/>
      <c r="AK368" s="43"/>
      <c r="AL368" s="43"/>
      <c r="AM368" s="43"/>
    </row>
    <row r="369" spans="2:39" x14ac:dyDescent="0.25">
      <c r="B369" s="48"/>
      <c r="C369" s="47"/>
      <c r="D369" s="47"/>
      <c r="E369" s="47"/>
      <c r="F369" s="44"/>
      <c r="G369" s="44"/>
      <c r="H369" s="46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5"/>
      <c r="T369" s="44"/>
      <c r="U369" s="44"/>
      <c r="V369" s="44"/>
      <c r="W369" s="44"/>
      <c r="X369" s="44"/>
      <c r="Y369" s="44"/>
      <c r="Z369" s="44"/>
      <c r="AA369" s="44"/>
      <c r="AB369" s="44"/>
      <c r="AC369" s="45"/>
      <c r="AD369" s="44"/>
      <c r="AE369" s="44"/>
      <c r="AF369" s="44"/>
      <c r="AG369" s="45"/>
      <c r="AH369" s="44"/>
      <c r="AI369" s="81"/>
      <c r="AJ369" s="43"/>
      <c r="AK369" s="43"/>
      <c r="AL369" s="43"/>
      <c r="AM369" s="43"/>
    </row>
    <row r="370" spans="2:39" x14ac:dyDescent="0.25">
      <c r="B370" s="48"/>
      <c r="C370" s="47"/>
      <c r="D370" s="47"/>
      <c r="E370" s="47"/>
      <c r="F370" s="44"/>
      <c r="G370" s="44"/>
      <c r="H370" s="46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5"/>
      <c r="T370" s="44"/>
      <c r="U370" s="44"/>
      <c r="V370" s="44"/>
      <c r="W370" s="44"/>
      <c r="X370" s="44"/>
      <c r="Y370" s="44"/>
      <c r="Z370" s="44"/>
      <c r="AA370" s="44"/>
      <c r="AB370" s="44"/>
      <c r="AC370" s="45"/>
      <c r="AD370" s="44"/>
      <c r="AE370" s="44"/>
      <c r="AF370" s="44"/>
      <c r="AG370" s="45"/>
      <c r="AH370" s="44"/>
      <c r="AI370" s="81"/>
      <c r="AJ370" s="43"/>
      <c r="AK370" s="43"/>
      <c r="AL370" s="43"/>
      <c r="AM370" s="43"/>
    </row>
    <row r="371" spans="2:39" x14ac:dyDescent="0.25">
      <c r="B371" s="48"/>
      <c r="C371" s="47"/>
      <c r="D371" s="47"/>
      <c r="E371" s="47"/>
      <c r="F371" s="44"/>
      <c r="G371" s="44"/>
      <c r="H371" s="46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5"/>
      <c r="T371" s="44"/>
      <c r="U371" s="44"/>
      <c r="V371" s="44"/>
      <c r="W371" s="44"/>
      <c r="X371" s="44"/>
      <c r="Y371" s="44"/>
      <c r="Z371" s="44"/>
      <c r="AA371" s="44"/>
      <c r="AB371" s="44"/>
      <c r="AC371" s="45"/>
      <c r="AD371" s="44"/>
      <c r="AE371" s="44"/>
      <c r="AF371" s="44"/>
      <c r="AG371" s="45"/>
      <c r="AH371" s="44"/>
      <c r="AI371" s="81"/>
      <c r="AJ371" s="43"/>
      <c r="AK371" s="43"/>
      <c r="AL371" s="43"/>
      <c r="AM371" s="43"/>
    </row>
    <row r="372" spans="2:39" x14ac:dyDescent="0.25">
      <c r="B372" s="48"/>
      <c r="C372" s="47"/>
      <c r="D372" s="47"/>
      <c r="E372" s="47"/>
      <c r="F372" s="44"/>
      <c r="G372" s="44"/>
      <c r="H372" s="46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5"/>
      <c r="T372" s="44"/>
      <c r="U372" s="44"/>
      <c r="V372" s="44"/>
      <c r="W372" s="44"/>
      <c r="X372" s="44"/>
      <c r="Y372" s="44"/>
      <c r="Z372" s="44"/>
      <c r="AA372" s="44"/>
      <c r="AB372" s="44"/>
      <c r="AC372" s="45"/>
      <c r="AD372" s="44"/>
      <c r="AE372" s="44"/>
      <c r="AF372" s="44"/>
      <c r="AG372" s="45"/>
      <c r="AH372" s="44"/>
      <c r="AI372" s="81"/>
      <c r="AJ372" s="43"/>
      <c r="AK372" s="43"/>
      <c r="AL372" s="43"/>
      <c r="AM372" s="43"/>
    </row>
    <row r="373" spans="2:39" x14ac:dyDescent="0.25">
      <c r="B373" s="48"/>
      <c r="C373" s="47"/>
      <c r="D373" s="47"/>
      <c r="E373" s="47"/>
      <c r="F373" s="44"/>
      <c r="G373" s="44"/>
      <c r="H373" s="46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5"/>
      <c r="T373" s="44"/>
      <c r="U373" s="44"/>
      <c r="V373" s="44"/>
      <c r="W373" s="44"/>
      <c r="X373" s="44"/>
      <c r="Y373" s="44"/>
      <c r="Z373" s="44"/>
      <c r="AA373" s="44"/>
      <c r="AB373" s="44"/>
      <c r="AC373" s="45"/>
      <c r="AD373" s="44"/>
      <c r="AE373" s="44"/>
      <c r="AF373" s="44"/>
      <c r="AG373" s="45"/>
      <c r="AH373" s="44"/>
      <c r="AI373" s="81"/>
      <c r="AJ373" s="43"/>
      <c r="AK373" s="43"/>
      <c r="AL373" s="43"/>
      <c r="AM373" s="43"/>
    </row>
    <row r="374" spans="2:39" x14ac:dyDescent="0.25">
      <c r="B374" s="48"/>
      <c r="C374" s="47"/>
      <c r="D374" s="47"/>
      <c r="E374" s="47"/>
      <c r="F374" s="44"/>
      <c r="G374" s="44"/>
      <c r="H374" s="46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5"/>
      <c r="T374" s="44"/>
      <c r="U374" s="44"/>
      <c r="V374" s="44"/>
      <c r="W374" s="44"/>
      <c r="X374" s="44"/>
      <c r="Y374" s="44"/>
      <c r="Z374" s="44"/>
      <c r="AA374" s="44"/>
      <c r="AB374" s="44"/>
      <c r="AC374" s="45"/>
      <c r="AD374" s="44"/>
      <c r="AE374" s="44"/>
      <c r="AF374" s="44"/>
      <c r="AG374" s="45"/>
      <c r="AH374" s="44"/>
      <c r="AI374" s="81"/>
      <c r="AJ374" s="43"/>
      <c r="AK374" s="43"/>
      <c r="AL374" s="43"/>
      <c r="AM374" s="43"/>
    </row>
    <row r="375" spans="2:39" x14ac:dyDescent="0.25">
      <c r="B375" s="48"/>
      <c r="C375" s="47"/>
      <c r="D375" s="47"/>
      <c r="E375" s="47"/>
      <c r="F375" s="44"/>
      <c r="G375" s="44"/>
      <c r="H375" s="46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5"/>
      <c r="T375" s="44"/>
      <c r="U375" s="44"/>
      <c r="V375" s="44"/>
      <c r="W375" s="44"/>
      <c r="X375" s="44"/>
      <c r="Y375" s="44"/>
      <c r="Z375" s="44"/>
      <c r="AA375" s="44"/>
      <c r="AB375" s="44"/>
      <c r="AC375" s="45"/>
      <c r="AD375" s="44"/>
      <c r="AE375" s="44"/>
      <c r="AF375" s="44"/>
      <c r="AG375" s="45"/>
      <c r="AH375" s="44"/>
      <c r="AI375" s="81"/>
      <c r="AJ375" s="43"/>
      <c r="AK375" s="43"/>
      <c r="AL375" s="43"/>
      <c r="AM375" s="43"/>
    </row>
    <row r="376" spans="2:39" x14ac:dyDescent="0.25">
      <c r="B376" s="48"/>
      <c r="C376" s="47"/>
      <c r="D376" s="47"/>
      <c r="E376" s="47"/>
      <c r="F376" s="44"/>
      <c r="G376" s="44"/>
      <c r="H376" s="46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5"/>
      <c r="T376" s="44"/>
      <c r="U376" s="44"/>
      <c r="V376" s="44"/>
      <c r="W376" s="44"/>
      <c r="X376" s="44"/>
      <c r="Y376" s="44"/>
      <c r="Z376" s="44"/>
      <c r="AA376" s="44"/>
      <c r="AB376" s="44"/>
      <c r="AC376" s="45"/>
      <c r="AD376" s="44"/>
      <c r="AE376" s="44"/>
      <c r="AF376" s="44"/>
      <c r="AG376" s="45"/>
      <c r="AH376" s="44"/>
      <c r="AI376" s="81"/>
      <c r="AJ376" s="43"/>
      <c r="AK376" s="43"/>
      <c r="AL376" s="43"/>
      <c r="AM376" s="43"/>
    </row>
    <row r="377" spans="2:39" x14ac:dyDescent="0.25">
      <c r="B377" s="48"/>
      <c r="C377" s="47"/>
      <c r="D377" s="47"/>
      <c r="E377" s="47"/>
      <c r="F377" s="44"/>
      <c r="G377" s="44"/>
      <c r="H377" s="46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5"/>
      <c r="T377" s="44"/>
      <c r="U377" s="44"/>
      <c r="V377" s="44"/>
      <c r="W377" s="44"/>
      <c r="X377" s="44"/>
      <c r="Y377" s="44"/>
      <c r="Z377" s="44"/>
      <c r="AA377" s="44"/>
      <c r="AB377" s="44"/>
      <c r="AC377" s="45"/>
      <c r="AD377" s="44"/>
      <c r="AE377" s="44"/>
      <c r="AF377" s="44"/>
      <c r="AG377" s="45"/>
      <c r="AH377" s="44"/>
      <c r="AI377" s="81"/>
      <c r="AJ377" s="43"/>
      <c r="AK377" s="43"/>
      <c r="AL377" s="43"/>
      <c r="AM377" s="43"/>
    </row>
    <row r="378" spans="2:39" x14ac:dyDescent="0.25">
      <c r="B378" s="48"/>
      <c r="C378" s="47"/>
      <c r="D378" s="47"/>
      <c r="E378" s="47"/>
      <c r="F378" s="44"/>
      <c r="G378" s="44"/>
      <c r="H378" s="46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5"/>
      <c r="T378" s="44"/>
      <c r="U378" s="44"/>
      <c r="V378" s="44"/>
      <c r="W378" s="44"/>
      <c r="X378" s="44"/>
      <c r="Y378" s="44"/>
      <c r="Z378" s="44"/>
      <c r="AA378" s="44"/>
      <c r="AB378" s="44"/>
      <c r="AC378" s="45"/>
      <c r="AD378" s="44"/>
      <c r="AE378" s="44"/>
      <c r="AF378" s="44"/>
      <c r="AG378" s="45"/>
      <c r="AH378" s="44"/>
      <c r="AI378" s="81"/>
      <c r="AJ378" s="43"/>
      <c r="AK378" s="43"/>
      <c r="AL378" s="43"/>
      <c r="AM378" s="43"/>
    </row>
    <row r="379" spans="2:39" x14ac:dyDescent="0.25">
      <c r="B379" s="48"/>
      <c r="C379" s="47"/>
      <c r="D379" s="47"/>
      <c r="E379" s="47"/>
      <c r="F379" s="44"/>
      <c r="G379" s="44"/>
      <c r="H379" s="46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5"/>
      <c r="T379" s="44"/>
      <c r="U379" s="44"/>
      <c r="V379" s="44"/>
      <c r="W379" s="44"/>
      <c r="X379" s="44"/>
      <c r="Y379" s="44"/>
      <c r="Z379" s="44"/>
      <c r="AA379" s="44"/>
      <c r="AB379" s="44"/>
      <c r="AC379" s="45"/>
      <c r="AD379" s="44"/>
      <c r="AE379" s="44"/>
      <c r="AF379" s="44"/>
      <c r="AG379" s="45"/>
      <c r="AH379" s="44"/>
      <c r="AI379" s="81"/>
      <c r="AJ379" s="43"/>
      <c r="AK379" s="43"/>
      <c r="AL379" s="43"/>
      <c r="AM379" s="43"/>
    </row>
    <row r="380" spans="2:39" x14ac:dyDescent="0.25">
      <c r="B380" s="48"/>
      <c r="C380" s="47"/>
      <c r="D380" s="47"/>
      <c r="E380" s="47"/>
      <c r="F380" s="44"/>
      <c r="G380" s="44"/>
      <c r="H380" s="46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5"/>
      <c r="T380" s="44"/>
      <c r="U380" s="44"/>
      <c r="V380" s="44"/>
      <c r="W380" s="44"/>
      <c r="X380" s="44"/>
      <c r="Y380" s="44"/>
      <c r="Z380" s="44"/>
      <c r="AA380" s="44"/>
      <c r="AB380" s="44"/>
      <c r="AC380" s="45"/>
      <c r="AD380" s="44"/>
      <c r="AE380" s="44"/>
      <c r="AF380" s="44"/>
      <c r="AG380" s="45"/>
      <c r="AH380" s="44"/>
      <c r="AI380" s="81"/>
      <c r="AJ380" s="43"/>
      <c r="AK380" s="43"/>
      <c r="AL380" s="43"/>
      <c r="AM380" s="43"/>
    </row>
    <row r="381" spans="2:39" x14ac:dyDescent="0.25">
      <c r="B381" s="48"/>
      <c r="C381" s="47"/>
      <c r="D381" s="47"/>
      <c r="E381" s="47"/>
      <c r="F381" s="44"/>
      <c r="G381" s="44"/>
      <c r="H381" s="46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5"/>
      <c r="T381" s="44"/>
      <c r="U381" s="44"/>
      <c r="V381" s="44"/>
      <c r="W381" s="44"/>
      <c r="X381" s="44"/>
      <c r="Y381" s="44"/>
      <c r="Z381" s="44"/>
      <c r="AA381" s="44"/>
      <c r="AB381" s="44"/>
      <c r="AC381" s="45"/>
      <c r="AD381" s="44"/>
      <c r="AE381" s="44"/>
      <c r="AF381" s="44"/>
      <c r="AG381" s="45"/>
      <c r="AH381" s="44"/>
      <c r="AI381" s="81"/>
      <c r="AJ381" s="43"/>
      <c r="AK381" s="43"/>
      <c r="AL381" s="43"/>
      <c r="AM381" s="43"/>
    </row>
    <row r="382" spans="2:39" x14ac:dyDescent="0.25">
      <c r="B382" s="48"/>
      <c r="C382" s="47"/>
      <c r="D382" s="47"/>
      <c r="E382" s="47"/>
      <c r="F382" s="44"/>
      <c r="G382" s="44"/>
      <c r="H382" s="46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5"/>
      <c r="T382" s="44"/>
      <c r="U382" s="44"/>
      <c r="V382" s="44"/>
      <c r="W382" s="44"/>
      <c r="X382" s="44"/>
      <c r="Y382" s="44"/>
      <c r="Z382" s="44"/>
      <c r="AA382" s="44"/>
      <c r="AB382" s="44"/>
      <c r="AC382" s="45"/>
      <c r="AD382" s="44"/>
      <c r="AE382" s="44"/>
      <c r="AF382" s="44"/>
      <c r="AG382" s="45"/>
      <c r="AH382" s="44"/>
      <c r="AI382" s="81"/>
      <c r="AJ382" s="43"/>
      <c r="AK382" s="43"/>
      <c r="AL382" s="43"/>
      <c r="AM382" s="43"/>
    </row>
    <row r="383" spans="2:39" x14ac:dyDescent="0.25">
      <c r="B383" s="48"/>
      <c r="C383" s="47"/>
      <c r="D383" s="47"/>
      <c r="E383" s="47"/>
      <c r="F383" s="44"/>
      <c r="G383" s="44"/>
      <c r="H383" s="46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5"/>
      <c r="T383" s="44"/>
      <c r="U383" s="44"/>
      <c r="V383" s="44"/>
      <c r="W383" s="44"/>
      <c r="X383" s="44"/>
      <c r="Y383" s="44"/>
      <c r="Z383" s="44"/>
      <c r="AA383" s="44"/>
      <c r="AB383" s="44"/>
      <c r="AC383" s="45"/>
      <c r="AD383" s="44"/>
      <c r="AE383" s="44"/>
      <c r="AF383" s="44"/>
      <c r="AG383" s="45"/>
      <c r="AH383" s="44"/>
      <c r="AI383" s="81"/>
      <c r="AJ383" s="43"/>
      <c r="AK383" s="43"/>
      <c r="AL383" s="43"/>
      <c r="AM383" s="43"/>
    </row>
    <row r="384" spans="2:39" x14ac:dyDescent="0.25">
      <c r="B384" s="48"/>
      <c r="C384" s="47"/>
      <c r="D384" s="47"/>
      <c r="E384" s="47"/>
      <c r="F384" s="44"/>
      <c r="G384" s="44"/>
      <c r="H384" s="46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5"/>
      <c r="T384" s="44"/>
      <c r="U384" s="44"/>
      <c r="V384" s="44"/>
      <c r="W384" s="44"/>
      <c r="X384" s="44"/>
      <c r="Y384" s="44"/>
      <c r="Z384" s="44"/>
      <c r="AA384" s="44"/>
      <c r="AB384" s="44"/>
      <c r="AC384" s="45"/>
      <c r="AD384" s="44"/>
      <c r="AE384" s="44"/>
      <c r="AF384" s="44"/>
      <c r="AG384" s="45"/>
      <c r="AH384" s="44"/>
      <c r="AI384" s="81"/>
      <c r="AJ384" s="43"/>
      <c r="AK384" s="43"/>
      <c r="AL384" s="43"/>
      <c r="AM384" s="43"/>
    </row>
    <row r="385" spans="2:39" x14ac:dyDescent="0.25">
      <c r="B385" s="48"/>
      <c r="C385" s="47"/>
      <c r="D385" s="47"/>
      <c r="E385" s="47"/>
      <c r="F385" s="44"/>
      <c r="G385" s="44"/>
      <c r="H385" s="46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5"/>
      <c r="T385" s="44"/>
      <c r="U385" s="44"/>
      <c r="V385" s="44"/>
      <c r="W385" s="44"/>
      <c r="X385" s="44"/>
      <c r="Y385" s="44"/>
      <c r="Z385" s="44"/>
      <c r="AA385" s="44"/>
      <c r="AB385" s="44"/>
      <c r="AC385" s="45"/>
      <c r="AD385" s="44"/>
      <c r="AE385" s="44"/>
      <c r="AF385" s="44"/>
      <c r="AG385" s="45"/>
      <c r="AH385" s="44"/>
      <c r="AI385" s="81"/>
      <c r="AJ385" s="43"/>
      <c r="AK385" s="43"/>
      <c r="AL385" s="43"/>
      <c r="AM385" s="43"/>
    </row>
    <row r="386" spans="2:39" x14ac:dyDescent="0.25">
      <c r="B386" s="48"/>
      <c r="C386" s="47"/>
      <c r="D386" s="47"/>
      <c r="E386" s="47"/>
      <c r="F386" s="44"/>
      <c r="G386" s="44"/>
      <c r="H386" s="46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5"/>
      <c r="T386" s="44"/>
      <c r="U386" s="44"/>
      <c r="V386" s="44"/>
      <c r="W386" s="44"/>
      <c r="X386" s="44"/>
      <c r="Y386" s="44"/>
      <c r="Z386" s="44"/>
      <c r="AA386" s="44"/>
      <c r="AB386" s="44"/>
      <c r="AC386" s="45"/>
      <c r="AD386" s="44"/>
      <c r="AE386" s="44"/>
      <c r="AF386" s="44"/>
      <c r="AG386" s="45"/>
      <c r="AH386" s="44"/>
      <c r="AI386" s="81"/>
      <c r="AJ386" s="43"/>
      <c r="AK386" s="43"/>
      <c r="AL386" s="43"/>
      <c r="AM386" s="43"/>
    </row>
    <row r="387" spans="2:39" x14ac:dyDescent="0.25">
      <c r="B387" s="48"/>
      <c r="C387" s="47"/>
      <c r="D387" s="47"/>
      <c r="E387" s="47"/>
      <c r="F387" s="44"/>
      <c r="G387" s="44"/>
      <c r="H387" s="46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5"/>
      <c r="T387" s="44"/>
      <c r="U387" s="44"/>
      <c r="V387" s="44"/>
      <c r="W387" s="44"/>
      <c r="X387" s="44"/>
      <c r="Y387" s="44"/>
      <c r="Z387" s="44"/>
      <c r="AA387" s="44"/>
      <c r="AB387" s="44"/>
      <c r="AC387" s="45"/>
      <c r="AD387" s="44"/>
      <c r="AE387" s="44"/>
      <c r="AF387" s="44"/>
      <c r="AG387" s="45"/>
      <c r="AH387" s="44"/>
      <c r="AI387" s="81"/>
      <c r="AJ387" s="43"/>
      <c r="AK387" s="43"/>
      <c r="AL387" s="43"/>
      <c r="AM387" s="43"/>
    </row>
    <row r="388" spans="2:39" x14ac:dyDescent="0.25">
      <c r="B388" s="48"/>
      <c r="C388" s="47"/>
      <c r="D388" s="47"/>
      <c r="E388" s="47"/>
      <c r="F388" s="44"/>
      <c r="G388" s="44"/>
      <c r="H388" s="46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5"/>
      <c r="T388" s="44"/>
      <c r="U388" s="44"/>
      <c r="V388" s="44"/>
      <c r="W388" s="44"/>
      <c r="X388" s="44"/>
      <c r="Y388" s="44"/>
      <c r="Z388" s="44"/>
      <c r="AA388" s="44"/>
      <c r="AB388" s="44"/>
      <c r="AC388" s="45"/>
      <c r="AD388" s="44"/>
      <c r="AE388" s="44"/>
      <c r="AF388" s="44"/>
      <c r="AG388" s="45"/>
      <c r="AH388" s="44"/>
      <c r="AI388" s="81"/>
      <c r="AJ388" s="43"/>
      <c r="AK388" s="43"/>
      <c r="AL388" s="43"/>
      <c r="AM388" s="43"/>
    </row>
    <row r="389" spans="2:39" x14ac:dyDescent="0.25">
      <c r="B389" s="48"/>
      <c r="C389" s="47"/>
      <c r="D389" s="47"/>
      <c r="E389" s="47"/>
      <c r="F389" s="44"/>
      <c r="G389" s="44"/>
      <c r="H389" s="46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5"/>
      <c r="T389" s="44"/>
      <c r="U389" s="44"/>
      <c r="V389" s="44"/>
      <c r="W389" s="44"/>
      <c r="X389" s="44"/>
      <c r="Y389" s="44"/>
      <c r="Z389" s="44"/>
      <c r="AA389" s="44"/>
      <c r="AB389" s="44"/>
      <c r="AC389" s="45"/>
      <c r="AD389" s="44"/>
      <c r="AE389" s="44"/>
      <c r="AF389" s="44"/>
      <c r="AG389" s="45"/>
      <c r="AH389" s="44"/>
      <c r="AI389" s="81"/>
      <c r="AJ389" s="43"/>
      <c r="AK389" s="43"/>
      <c r="AL389" s="43"/>
      <c r="AM389" s="43"/>
    </row>
    <row r="390" spans="2:39" x14ac:dyDescent="0.25">
      <c r="B390" s="48"/>
      <c r="C390" s="47"/>
      <c r="D390" s="47"/>
      <c r="E390" s="47"/>
      <c r="F390" s="44"/>
      <c r="G390" s="44"/>
      <c r="H390" s="46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5"/>
      <c r="T390" s="44"/>
      <c r="U390" s="44"/>
      <c r="V390" s="44"/>
      <c r="W390" s="44"/>
      <c r="X390" s="44"/>
      <c r="Y390" s="44"/>
      <c r="Z390" s="44"/>
      <c r="AA390" s="44"/>
      <c r="AB390" s="44"/>
      <c r="AC390" s="45"/>
      <c r="AD390" s="44"/>
      <c r="AE390" s="44"/>
      <c r="AF390" s="44"/>
      <c r="AG390" s="45"/>
      <c r="AH390" s="44"/>
      <c r="AI390" s="81"/>
      <c r="AJ390" s="43"/>
      <c r="AK390" s="43"/>
      <c r="AL390" s="43"/>
      <c r="AM390" s="43"/>
    </row>
    <row r="391" spans="2:39" x14ac:dyDescent="0.25">
      <c r="B391" s="48"/>
      <c r="C391" s="47"/>
      <c r="D391" s="47"/>
      <c r="E391" s="47"/>
      <c r="F391" s="44"/>
      <c r="G391" s="44"/>
      <c r="H391" s="46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5"/>
      <c r="T391" s="44"/>
      <c r="U391" s="44"/>
      <c r="V391" s="44"/>
      <c r="W391" s="44"/>
      <c r="X391" s="44"/>
      <c r="Y391" s="44"/>
      <c r="Z391" s="44"/>
      <c r="AA391" s="44"/>
      <c r="AB391" s="44"/>
      <c r="AC391" s="45"/>
      <c r="AD391" s="44"/>
      <c r="AE391" s="44"/>
      <c r="AF391" s="44"/>
      <c r="AG391" s="45"/>
      <c r="AH391" s="44"/>
      <c r="AI391" s="81"/>
      <c r="AJ391" s="43"/>
      <c r="AK391" s="43"/>
      <c r="AL391" s="43"/>
      <c r="AM391" s="43"/>
    </row>
    <row r="392" spans="2:39" x14ac:dyDescent="0.25">
      <c r="B392" s="48"/>
      <c r="C392" s="47"/>
      <c r="D392" s="47"/>
      <c r="E392" s="47"/>
      <c r="F392" s="44"/>
      <c r="G392" s="44"/>
      <c r="H392" s="46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5"/>
      <c r="T392" s="44"/>
      <c r="U392" s="44"/>
      <c r="V392" s="44"/>
      <c r="W392" s="44"/>
      <c r="X392" s="44"/>
      <c r="Y392" s="44"/>
      <c r="Z392" s="44"/>
      <c r="AA392" s="44"/>
      <c r="AB392" s="44"/>
      <c r="AC392" s="45"/>
      <c r="AD392" s="44"/>
      <c r="AE392" s="44"/>
      <c r="AF392" s="44"/>
      <c r="AG392" s="45"/>
      <c r="AH392" s="44"/>
      <c r="AI392" s="81"/>
      <c r="AJ392" s="43"/>
      <c r="AK392" s="43"/>
      <c r="AL392" s="43"/>
      <c r="AM392" s="43"/>
    </row>
    <row r="393" spans="2:39" x14ac:dyDescent="0.25">
      <c r="B393" s="48"/>
      <c r="C393" s="47"/>
      <c r="D393" s="47"/>
      <c r="E393" s="47"/>
      <c r="F393" s="44"/>
      <c r="G393" s="44"/>
      <c r="H393" s="46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5"/>
      <c r="T393" s="44"/>
      <c r="U393" s="44"/>
      <c r="V393" s="44"/>
      <c r="W393" s="44"/>
      <c r="X393" s="44"/>
      <c r="Y393" s="44"/>
      <c r="Z393" s="44"/>
      <c r="AA393" s="44"/>
      <c r="AB393" s="44"/>
      <c r="AC393" s="45"/>
      <c r="AD393" s="44"/>
      <c r="AE393" s="44"/>
      <c r="AF393" s="44"/>
      <c r="AG393" s="45"/>
      <c r="AH393" s="44"/>
      <c r="AI393" s="81"/>
      <c r="AJ393" s="43"/>
      <c r="AK393" s="43"/>
      <c r="AL393" s="43"/>
      <c r="AM393" s="43"/>
    </row>
    <row r="394" spans="2:39" x14ac:dyDescent="0.25">
      <c r="B394" s="48"/>
      <c r="C394" s="47"/>
      <c r="D394" s="47"/>
      <c r="E394" s="47"/>
      <c r="F394" s="44"/>
      <c r="G394" s="44"/>
      <c r="H394" s="46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5"/>
      <c r="T394" s="44"/>
      <c r="U394" s="44"/>
      <c r="V394" s="44"/>
      <c r="W394" s="44"/>
      <c r="X394" s="44"/>
      <c r="Y394" s="44"/>
      <c r="Z394" s="44"/>
      <c r="AA394" s="44"/>
      <c r="AB394" s="44"/>
      <c r="AC394" s="45"/>
      <c r="AD394" s="44"/>
      <c r="AE394" s="44"/>
      <c r="AF394" s="44"/>
      <c r="AG394" s="45"/>
      <c r="AH394" s="44"/>
      <c r="AI394" s="81"/>
      <c r="AJ394" s="43"/>
      <c r="AK394" s="43"/>
      <c r="AL394" s="43"/>
      <c r="AM394" s="43"/>
    </row>
    <row r="395" spans="2:39" x14ac:dyDescent="0.25">
      <c r="B395" s="48"/>
      <c r="C395" s="47"/>
      <c r="D395" s="47"/>
      <c r="E395" s="47"/>
      <c r="F395" s="44"/>
      <c r="G395" s="44"/>
      <c r="H395" s="46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5"/>
      <c r="T395" s="44"/>
      <c r="U395" s="44"/>
      <c r="V395" s="44"/>
      <c r="W395" s="44"/>
      <c r="X395" s="44"/>
      <c r="Y395" s="44"/>
      <c r="Z395" s="44"/>
      <c r="AA395" s="44"/>
      <c r="AB395" s="44"/>
      <c r="AC395" s="45"/>
      <c r="AD395" s="44"/>
      <c r="AE395" s="44"/>
      <c r="AF395" s="44"/>
      <c r="AG395" s="45"/>
      <c r="AH395" s="44"/>
      <c r="AI395" s="81"/>
      <c r="AJ395" s="43"/>
      <c r="AK395" s="43"/>
      <c r="AL395" s="43"/>
      <c r="AM395" s="43"/>
    </row>
    <row r="396" spans="2:39" x14ac:dyDescent="0.25">
      <c r="B396" s="48"/>
      <c r="C396" s="47"/>
      <c r="D396" s="47"/>
      <c r="E396" s="47"/>
      <c r="F396" s="44"/>
      <c r="G396" s="44"/>
      <c r="H396" s="46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5"/>
      <c r="T396" s="44"/>
      <c r="U396" s="44"/>
      <c r="V396" s="44"/>
      <c r="W396" s="44"/>
      <c r="X396" s="44"/>
      <c r="Y396" s="44"/>
      <c r="Z396" s="44"/>
      <c r="AA396" s="44"/>
      <c r="AB396" s="44"/>
      <c r="AC396" s="45"/>
      <c r="AD396" s="44"/>
      <c r="AE396" s="44"/>
      <c r="AF396" s="44"/>
      <c r="AG396" s="45"/>
      <c r="AH396" s="44"/>
      <c r="AI396" s="81"/>
      <c r="AJ396" s="43"/>
      <c r="AK396" s="43"/>
      <c r="AL396" s="43"/>
      <c r="AM396" s="43"/>
    </row>
    <row r="397" spans="2:39" x14ac:dyDescent="0.25">
      <c r="B397" s="48"/>
      <c r="C397" s="47"/>
      <c r="D397" s="47"/>
      <c r="E397" s="47"/>
      <c r="F397" s="44"/>
      <c r="G397" s="44"/>
      <c r="H397" s="46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5"/>
      <c r="T397" s="44"/>
      <c r="U397" s="44"/>
      <c r="V397" s="44"/>
      <c r="W397" s="44"/>
      <c r="X397" s="44"/>
      <c r="Y397" s="44"/>
      <c r="Z397" s="44"/>
      <c r="AA397" s="44"/>
      <c r="AB397" s="44"/>
      <c r="AC397" s="45"/>
      <c r="AD397" s="44"/>
      <c r="AE397" s="44"/>
      <c r="AF397" s="44"/>
      <c r="AG397" s="45"/>
      <c r="AH397" s="44"/>
      <c r="AI397" s="81"/>
      <c r="AJ397" s="43"/>
      <c r="AK397" s="43"/>
      <c r="AL397" s="43"/>
      <c r="AM397" s="43"/>
    </row>
    <row r="398" spans="2:39" x14ac:dyDescent="0.25">
      <c r="B398" s="48"/>
      <c r="C398" s="47"/>
      <c r="D398" s="47"/>
      <c r="E398" s="47"/>
      <c r="F398" s="44"/>
      <c r="G398" s="44"/>
      <c r="H398" s="46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5"/>
      <c r="T398" s="44"/>
      <c r="U398" s="44"/>
      <c r="V398" s="44"/>
      <c r="W398" s="44"/>
      <c r="X398" s="44"/>
      <c r="Y398" s="44"/>
      <c r="Z398" s="44"/>
      <c r="AA398" s="44"/>
      <c r="AB398" s="44"/>
      <c r="AC398" s="45"/>
      <c r="AD398" s="44"/>
      <c r="AE398" s="44"/>
      <c r="AF398" s="44"/>
      <c r="AG398" s="45"/>
      <c r="AH398" s="44"/>
      <c r="AI398" s="81"/>
      <c r="AJ398" s="43"/>
      <c r="AK398" s="43"/>
      <c r="AL398" s="43"/>
      <c r="AM398" s="43"/>
    </row>
    <row r="399" spans="2:39" x14ac:dyDescent="0.25">
      <c r="B399" s="48"/>
      <c r="C399" s="47"/>
      <c r="D399" s="47"/>
      <c r="E399" s="47"/>
      <c r="F399" s="44"/>
      <c r="G399" s="44"/>
      <c r="H399" s="46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5"/>
      <c r="T399" s="44"/>
      <c r="U399" s="44"/>
      <c r="V399" s="44"/>
      <c r="W399" s="44"/>
      <c r="X399" s="44"/>
      <c r="Y399" s="44"/>
      <c r="Z399" s="44"/>
      <c r="AA399" s="44"/>
      <c r="AB399" s="44"/>
      <c r="AC399" s="45"/>
      <c r="AD399" s="44"/>
      <c r="AE399" s="44"/>
      <c r="AF399" s="44"/>
      <c r="AG399" s="45"/>
      <c r="AH399" s="44"/>
      <c r="AI399" s="81"/>
      <c r="AJ399" s="43"/>
      <c r="AK399" s="43"/>
      <c r="AL399" s="43"/>
      <c r="AM399" s="43"/>
    </row>
    <row r="400" spans="2:39" x14ac:dyDescent="0.25">
      <c r="B400" s="48"/>
      <c r="C400" s="47"/>
      <c r="D400" s="47"/>
      <c r="E400" s="47"/>
      <c r="F400" s="44"/>
      <c r="G400" s="44"/>
      <c r="H400" s="46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5"/>
      <c r="T400" s="44"/>
      <c r="U400" s="44"/>
      <c r="V400" s="44"/>
      <c r="W400" s="44"/>
      <c r="X400" s="44"/>
      <c r="Y400" s="44"/>
      <c r="Z400" s="44"/>
      <c r="AA400" s="44"/>
      <c r="AB400" s="44"/>
      <c r="AC400" s="45"/>
      <c r="AD400" s="44"/>
      <c r="AE400" s="44"/>
      <c r="AF400" s="44"/>
      <c r="AG400" s="45"/>
      <c r="AH400" s="44"/>
      <c r="AI400" s="81"/>
      <c r="AJ400" s="43"/>
      <c r="AK400" s="43"/>
      <c r="AL400" s="43"/>
      <c r="AM400" s="43"/>
    </row>
    <row r="401" spans="2:39" x14ac:dyDescent="0.25">
      <c r="B401" s="48"/>
      <c r="C401" s="47"/>
      <c r="D401" s="47"/>
      <c r="E401" s="47"/>
      <c r="F401" s="44"/>
      <c r="G401" s="44"/>
      <c r="H401" s="46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5"/>
      <c r="T401" s="44"/>
      <c r="U401" s="44"/>
      <c r="V401" s="44"/>
      <c r="W401" s="44"/>
      <c r="X401" s="44"/>
      <c r="Y401" s="44"/>
      <c r="Z401" s="44"/>
      <c r="AA401" s="44"/>
      <c r="AB401" s="44"/>
      <c r="AC401" s="45"/>
      <c r="AD401" s="44"/>
      <c r="AE401" s="44"/>
      <c r="AF401" s="44"/>
      <c r="AG401" s="45"/>
      <c r="AH401" s="44"/>
      <c r="AI401" s="81"/>
      <c r="AJ401" s="43"/>
      <c r="AK401" s="43"/>
      <c r="AL401" s="43"/>
      <c r="AM401" s="43"/>
    </row>
    <row r="402" spans="2:39" x14ac:dyDescent="0.25">
      <c r="B402" s="48"/>
      <c r="C402" s="47"/>
      <c r="D402" s="47"/>
      <c r="E402" s="47"/>
      <c r="F402" s="44"/>
      <c r="G402" s="44"/>
      <c r="H402" s="46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5"/>
      <c r="T402" s="44"/>
      <c r="U402" s="44"/>
      <c r="V402" s="44"/>
      <c r="W402" s="44"/>
      <c r="X402" s="44"/>
      <c r="Y402" s="44"/>
      <c r="Z402" s="44"/>
      <c r="AA402" s="44"/>
      <c r="AB402" s="44"/>
      <c r="AC402" s="45"/>
      <c r="AD402" s="44"/>
      <c r="AE402" s="44"/>
      <c r="AF402" s="44"/>
      <c r="AG402" s="45"/>
      <c r="AH402" s="44"/>
      <c r="AI402" s="81"/>
      <c r="AJ402" s="43"/>
      <c r="AK402" s="43"/>
      <c r="AL402" s="43"/>
      <c r="AM402" s="43"/>
    </row>
    <row r="403" spans="2:39" x14ac:dyDescent="0.25">
      <c r="B403" s="48"/>
      <c r="C403" s="47"/>
      <c r="D403" s="47"/>
      <c r="E403" s="47"/>
      <c r="F403" s="44"/>
      <c r="G403" s="44"/>
      <c r="H403" s="46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5"/>
      <c r="T403" s="44"/>
      <c r="U403" s="44"/>
      <c r="V403" s="44"/>
      <c r="W403" s="44"/>
      <c r="X403" s="44"/>
      <c r="Y403" s="44"/>
      <c r="Z403" s="44"/>
      <c r="AA403" s="44"/>
      <c r="AB403" s="44"/>
      <c r="AC403" s="45"/>
      <c r="AD403" s="44"/>
      <c r="AE403" s="44"/>
      <c r="AF403" s="44"/>
      <c r="AG403" s="45"/>
      <c r="AH403" s="44"/>
      <c r="AI403" s="81"/>
      <c r="AJ403" s="43"/>
      <c r="AK403" s="43"/>
      <c r="AL403" s="43"/>
      <c r="AM403" s="43"/>
    </row>
    <row r="404" spans="2:39" x14ac:dyDescent="0.25">
      <c r="B404" s="48"/>
      <c r="C404" s="47"/>
      <c r="D404" s="47"/>
      <c r="E404" s="47"/>
      <c r="F404" s="44"/>
      <c r="G404" s="44"/>
      <c r="H404" s="46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5"/>
      <c r="T404" s="44"/>
      <c r="U404" s="44"/>
      <c r="V404" s="44"/>
      <c r="W404" s="44"/>
      <c r="X404" s="44"/>
      <c r="Y404" s="44"/>
      <c r="Z404" s="44"/>
      <c r="AA404" s="44"/>
      <c r="AB404" s="44"/>
      <c r="AC404" s="45"/>
      <c r="AD404" s="44"/>
      <c r="AE404" s="44"/>
      <c r="AF404" s="44"/>
      <c r="AG404" s="45"/>
      <c r="AH404" s="44"/>
      <c r="AI404" s="81"/>
      <c r="AJ404" s="43"/>
      <c r="AK404" s="43"/>
      <c r="AL404" s="43"/>
      <c r="AM404" s="43"/>
    </row>
    <row r="405" spans="2:39" x14ac:dyDescent="0.25">
      <c r="B405" s="48"/>
      <c r="C405" s="47"/>
      <c r="D405" s="47"/>
      <c r="E405" s="47"/>
      <c r="F405" s="44"/>
      <c r="G405" s="44"/>
      <c r="H405" s="46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5"/>
      <c r="T405" s="44"/>
      <c r="U405" s="44"/>
      <c r="V405" s="44"/>
      <c r="W405" s="44"/>
      <c r="X405" s="44"/>
      <c r="Y405" s="44"/>
      <c r="Z405" s="44"/>
      <c r="AA405" s="44"/>
      <c r="AB405" s="44"/>
      <c r="AC405" s="45"/>
      <c r="AD405" s="44"/>
      <c r="AE405" s="44"/>
      <c r="AF405" s="44"/>
      <c r="AG405" s="45"/>
      <c r="AH405" s="44"/>
      <c r="AI405" s="81"/>
      <c r="AJ405" s="43"/>
      <c r="AK405" s="43"/>
      <c r="AL405" s="43"/>
      <c r="AM405" s="43"/>
    </row>
    <row r="406" spans="2:39" x14ac:dyDescent="0.25">
      <c r="B406" s="48"/>
      <c r="C406" s="47"/>
      <c r="D406" s="47"/>
      <c r="E406" s="47"/>
      <c r="F406" s="44"/>
      <c r="G406" s="44"/>
      <c r="H406" s="46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5"/>
      <c r="T406" s="44"/>
      <c r="U406" s="44"/>
      <c r="V406" s="44"/>
      <c r="W406" s="44"/>
      <c r="X406" s="44"/>
      <c r="Y406" s="44"/>
      <c r="Z406" s="44"/>
      <c r="AA406" s="44"/>
      <c r="AB406" s="44"/>
      <c r="AC406" s="45"/>
      <c r="AD406" s="44"/>
      <c r="AE406" s="44"/>
      <c r="AF406" s="44"/>
      <c r="AG406" s="45"/>
      <c r="AH406" s="44"/>
      <c r="AI406" s="81"/>
      <c r="AJ406" s="43"/>
      <c r="AK406" s="43"/>
      <c r="AL406" s="43"/>
      <c r="AM406" s="43"/>
    </row>
    <row r="407" spans="2:39" x14ac:dyDescent="0.25">
      <c r="B407" s="48"/>
      <c r="C407" s="47"/>
      <c r="D407" s="47"/>
      <c r="E407" s="47"/>
      <c r="F407" s="44"/>
      <c r="G407" s="44"/>
      <c r="H407" s="46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5"/>
      <c r="T407" s="44"/>
      <c r="U407" s="44"/>
      <c r="V407" s="44"/>
      <c r="W407" s="44"/>
      <c r="X407" s="44"/>
      <c r="Y407" s="44"/>
      <c r="Z407" s="44"/>
      <c r="AA407" s="44"/>
      <c r="AB407" s="44"/>
      <c r="AC407" s="45"/>
      <c r="AD407" s="44"/>
      <c r="AE407" s="44"/>
      <c r="AF407" s="44"/>
      <c r="AG407" s="45"/>
      <c r="AH407" s="44"/>
      <c r="AI407" s="81"/>
      <c r="AJ407" s="43"/>
      <c r="AK407" s="43"/>
      <c r="AL407" s="43"/>
      <c r="AM407" s="43"/>
    </row>
    <row r="408" spans="2:39" x14ac:dyDescent="0.25">
      <c r="B408" s="48"/>
      <c r="C408" s="47"/>
      <c r="D408" s="47"/>
      <c r="E408" s="47"/>
      <c r="F408" s="44"/>
      <c r="G408" s="44"/>
      <c r="H408" s="46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5"/>
      <c r="T408" s="44"/>
      <c r="U408" s="44"/>
      <c r="V408" s="44"/>
      <c r="W408" s="44"/>
      <c r="X408" s="44"/>
      <c r="Y408" s="44"/>
      <c r="Z408" s="44"/>
      <c r="AA408" s="44"/>
      <c r="AB408" s="44"/>
      <c r="AC408" s="45"/>
      <c r="AD408" s="44"/>
      <c r="AE408" s="44"/>
      <c r="AF408" s="44"/>
      <c r="AG408" s="45"/>
      <c r="AH408" s="44"/>
      <c r="AI408" s="81"/>
      <c r="AJ408" s="43"/>
      <c r="AK408" s="43"/>
      <c r="AL408" s="43"/>
      <c r="AM408" s="43"/>
    </row>
    <row r="409" spans="2:39" x14ac:dyDescent="0.25">
      <c r="B409" s="48"/>
      <c r="C409" s="47"/>
      <c r="D409" s="47"/>
      <c r="E409" s="47"/>
      <c r="F409" s="44"/>
      <c r="G409" s="44"/>
      <c r="H409" s="46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5"/>
      <c r="T409" s="44"/>
      <c r="U409" s="44"/>
      <c r="V409" s="44"/>
      <c r="W409" s="44"/>
      <c r="X409" s="44"/>
      <c r="Y409" s="44"/>
      <c r="Z409" s="44"/>
      <c r="AA409" s="44"/>
      <c r="AB409" s="44"/>
      <c r="AC409" s="45"/>
      <c r="AD409" s="44"/>
      <c r="AE409" s="44"/>
      <c r="AF409" s="44"/>
      <c r="AG409" s="45"/>
      <c r="AH409" s="44"/>
      <c r="AI409" s="81"/>
      <c r="AJ409" s="43"/>
      <c r="AK409" s="43"/>
      <c r="AL409" s="43"/>
      <c r="AM409" s="43"/>
    </row>
    <row r="410" spans="2:39" x14ac:dyDescent="0.25">
      <c r="B410" s="48"/>
      <c r="C410" s="47"/>
      <c r="D410" s="47"/>
      <c r="E410" s="47"/>
      <c r="F410" s="44"/>
      <c r="G410" s="44"/>
      <c r="H410" s="46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5"/>
      <c r="T410" s="44"/>
      <c r="U410" s="44"/>
      <c r="V410" s="44"/>
      <c r="W410" s="44"/>
      <c r="X410" s="44"/>
      <c r="Y410" s="44"/>
      <c r="Z410" s="44"/>
      <c r="AA410" s="44"/>
      <c r="AB410" s="44"/>
      <c r="AC410" s="45"/>
      <c r="AD410" s="44"/>
      <c r="AE410" s="44"/>
      <c r="AF410" s="44"/>
      <c r="AG410" s="45"/>
      <c r="AH410" s="44"/>
      <c r="AI410" s="81"/>
      <c r="AJ410" s="43"/>
      <c r="AK410" s="43"/>
      <c r="AL410" s="43"/>
      <c r="AM410" s="43"/>
    </row>
    <row r="411" spans="2:39" x14ac:dyDescent="0.25">
      <c r="B411" s="48"/>
      <c r="C411" s="47"/>
      <c r="D411" s="47"/>
      <c r="E411" s="47"/>
      <c r="F411" s="44"/>
      <c r="G411" s="44"/>
      <c r="H411" s="46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5"/>
      <c r="T411" s="44"/>
      <c r="U411" s="44"/>
      <c r="V411" s="44"/>
      <c r="W411" s="44"/>
      <c r="X411" s="44"/>
      <c r="Y411" s="44"/>
      <c r="Z411" s="44"/>
      <c r="AA411" s="44"/>
      <c r="AB411" s="44"/>
      <c r="AC411" s="45"/>
      <c r="AD411" s="44"/>
      <c r="AE411" s="44"/>
      <c r="AF411" s="44"/>
      <c r="AG411" s="45"/>
      <c r="AH411" s="44"/>
      <c r="AI411" s="81"/>
      <c r="AJ411" s="43"/>
      <c r="AK411" s="43"/>
      <c r="AL411" s="43"/>
      <c r="AM411" s="43"/>
    </row>
    <row r="412" spans="2:39" x14ac:dyDescent="0.25">
      <c r="B412" s="48"/>
      <c r="C412" s="47"/>
      <c r="D412" s="47"/>
      <c r="E412" s="47"/>
      <c r="F412" s="44"/>
      <c r="G412" s="44"/>
      <c r="H412" s="46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5"/>
      <c r="T412" s="44"/>
      <c r="U412" s="44"/>
      <c r="V412" s="44"/>
      <c r="W412" s="44"/>
      <c r="X412" s="44"/>
      <c r="Y412" s="44"/>
      <c r="Z412" s="44"/>
      <c r="AA412" s="44"/>
      <c r="AB412" s="44"/>
      <c r="AC412" s="45"/>
      <c r="AD412" s="44"/>
      <c r="AE412" s="44"/>
      <c r="AF412" s="44"/>
      <c r="AG412" s="45"/>
      <c r="AH412" s="44"/>
      <c r="AI412" s="81"/>
      <c r="AJ412" s="43"/>
      <c r="AK412" s="43"/>
      <c r="AL412" s="43"/>
      <c r="AM412" s="43"/>
    </row>
    <row r="413" spans="2:39" x14ac:dyDescent="0.25">
      <c r="B413" s="48"/>
      <c r="C413" s="47"/>
      <c r="D413" s="47"/>
      <c r="E413" s="47"/>
      <c r="F413" s="44"/>
      <c r="G413" s="44"/>
      <c r="H413" s="46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5"/>
      <c r="T413" s="44"/>
      <c r="U413" s="44"/>
      <c r="V413" s="44"/>
      <c r="W413" s="44"/>
      <c r="X413" s="44"/>
      <c r="Y413" s="44"/>
      <c r="Z413" s="44"/>
      <c r="AA413" s="44"/>
      <c r="AB413" s="44"/>
      <c r="AC413" s="45"/>
      <c r="AD413" s="44"/>
      <c r="AE413" s="44"/>
      <c r="AF413" s="44"/>
      <c r="AG413" s="45"/>
      <c r="AH413" s="44"/>
      <c r="AI413" s="81"/>
      <c r="AJ413" s="43"/>
      <c r="AK413" s="43"/>
      <c r="AL413" s="43"/>
      <c r="AM413" s="43"/>
    </row>
    <row r="414" spans="2:39" x14ac:dyDescent="0.25">
      <c r="B414" s="48"/>
      <c r="C414" s="47"/>
      <c r="D414" s="47"/>
      <c r="E414" s="47"/>
      <c r="F414" s="44"/>
      <c r="G414" s="44"/>
      <c r="H414" s="46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5"/>
      <c r="T414" s="44"/>
      <c r="U414" s="44"/>
      <c r="V414" s="44"/>
      <c r="W414" s="44"/>
      <c r="X414" s="44"/>
      <c r="Y414" s="44"/>
      <c r="Z414" s="44"/>
      <c r="AA414" s="44"/>
      <c r="AB414" s="44"/>
      <c r="AC414" s="45"/>
      <c r="AD414" s="44"/>
      <c r="AE414" s="44"/>
      <c r="AF414" s="44"/>
      <c r="AG414" s="45"/>
      <c r="AH414" s="44"/>
      <c r="AI414" s="81"/>
      <c r="AJ414" s="43"/>
      <c r="AK414" s="43"/>
      <c r="AL414" s="43"/>
      <c r="AM414" s="43"/>
    </row>
    <row r="415" spans="2:39" x14ac:dyDescent="0.25">
      <c r="B415" s="48"/>
      <c r="C415" s="47"/>
      <c r="D415" s="47"/>
      <c r="E415" s="47"/>
      <c r="F415" s="44"/>
      <c r="G415" s="44"/>
      <c r="H415" s="46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5"/>
      <c r="T415" s="44"/>
      <c r="U415" s="44"/>
      <c r="V415" s="44"/>
      <c r="W415" s="44"/>
      <c r="X415" s="44"/>
      <c r="Y415" s="44"/>
      <c r="Z415" s="44"/>
      <c r="AA415" s="44"/>
      <c r="AB415" s="44"/>
      <c r="AC415" s="45"/>
      <c r="AD415" s="44"/>
      <c r="AE415" s="44"/>
      <c r="AF415" s="44"/>
      <c r="AG415" s="45"/>
      <c r="AH415" s="44"/>
      <c r="AI415" s="81"/>
      <c r="AJ415" s="43"/>
      <c r="AK415" s="43"/>
      <c r="AL415" s="43"/>
      <c r="AM415" s="43"/>
    </row>
    <row r="416" spans="2:39" x14ac:dyDescent="0.25">
      <c r="B416" s="48"/>
      <c r="C416" s="47"/>
      <c r="D416" s="47"/>
      <c r="E416" s="47"/>
      <c r="F416" s="44"/>
      <c r="G416" s="44"/>
      <c r="H416" s="46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5"/>
      <c r="T416" s="44"/>
      <c r="U416" s="44"/>
      <c r="V416" s="44"/>
      <c r="W416" s="44"/>
      <c r="X416" s="44"/>
      <c r="Y416" s="44"/>
      <c r="Z416" s="44"/>
      <c r="AA416" s="44"/>
      <c r="AB416" s="44"/>
      <c r="AC416" s="45"/>
      <c r="AD416" s="44"/>
      <c r="AE416" s="44"/>
      <c r="AF416" s="44"/>
      <c r="AG416" s="45"/>
      <c r="AH416" s="44"/>
      <c r="AI416" s="81"/>
      <c r="AJ416" s="43"/>
      <c r="AK416" s="43"/>
      <c r="AL416" s="43"/>
      <c r="AM416" s="43"/>
    </row>
    <row r="417" spans="2:39" x14ac:dyDescent="0.25">
      <c r="B417" s="48"/>
      <c r="C417" s="47"/>
      <c r="D417" s="47"/>
      <c r="E417" s="47"/>
      <c r="F417" s="44"/>
      <c r="G417" s="44"/>
      <c r="H417" s="46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5"/>
      <c r="T417" s="44"/>
      <c r="U417" s="44"/>
      <c r="V417" s="44"/>
      <c r="W417" s="44"/>
      <c r="X417" s="44"/>
      <c r="Y417" s="44"/>
      <c r="Z417" s="44"/>
      <c r="AA417" s="44"/>
      <c r="AB417" s="44"/>
      <c r="AC417" s="45"/>
      <c r="AD417" s="44"/>
      <c r="AE417" s="44"/>
      <c r="AF417" s="44"/>
      <c r="AG417" s="45"/>
      <c r="AH417" s="44"/>
      <c r="AI417" s="81"/>
      <c r="AJ417" s="43"/>
      <c r="AK417" s="43"/>
      <c r="AL417" s="43"/>
      <c r="AM417" s="43"/>
    </row>
    <row r="418" spans="2:39" x14ac:dyDescent="0.25">
      <c r="B418" s="48"/>
      <c r="C418" s="47"/>
      <c r="D418" s="47"/>
      <c r="E418" s="47"/>
      <c r="F418" s="44"/>
      <c r="G418" s="44"/>
      <c r="H418" s="46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5"/>
      <c r="T418" s="44"/>
      <c r="U418" s="44"/>
      <c r="V418" s="44"/>
      <c r="W418" s="44"/>
      <c r="X418" s="44"/>
      <c r="Y418" s="44"/>
      <c r="Z418" s="44"/>
      <c r="AA418" s="44"/>
      <c r="AB418" s="44"/>
      <c r="AC418" s="45"/>
      <c r="AD418" s="44"/>
      <c r="AE418" s="44"/>
      <c r="AF418" s="44"/>
      <c r="AG418" s="45"/>
      <c r="AH418" s="44"/>
      <c r="AI418" s="81"/>
      <c r="AJ418" s="43"/>
      <c r="AK418" s="43"/>
      <c r="AL418" s="43"/>
      <c r="AM418" s="43"/>
    </row>
    <row r="419" spans="2:39" x14ac:dyDescent="0.25">
      <c r="B419" s="48"/>
      <c r="C419" s="47"/>
      <c r="D419" s="47"/>
      <c r="E419" s="47"/>
      <c r="F419" s="44"/>
      <c r="G419" s="44"/>
      <c r="H419" s="46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5"/>
      <c r="T419" s="44"/>
      <c r="U419" s="44"/>
      <c r="V419" s="44"/>
      <c r="W419" s="44"/>
      <c r="X419" s="44"/>
      <c r="Y419" s="44"/>
      <c r="Z419" s="44"/>
      <c r="AA419" s="44"/>
      <c r="AB419" s="44"/>
      <c r="AC419" s="45"/>
      <c r="AD419" s="44"/>
      <c r="AE419" s="44"/>
      <c r="AF419" s="44"/>
      <c r="AG419" s="45"/>
      <c r="AH419" s="44"/>
      <c r="AI419" s="81"/>
      <c r="AJ419" s="43"/>
      <c r="AK419" s="43"/>
      <c r="AL419" s="43"/>
      <c r="AM419" s="43"/>
    </row>
    <row r="420" spans="2:39" x14ac:dyDescent="0.25">
      <c r="B420" s="48"/>
      <c r="C420" s="47"/>
      <c r="D420" s="47"/>
      <c r="E420" s="47"/>
      <c r="F420" s="44"/>
      <c r="G420" s="44"/>
      <c r="H420" s="46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5"/>
      <c r="T420" s="44"/>
      <c r="U420" s="44"/>
      <c r="V420" s="44"/>
      <c r="W420" s="44"/>
      <c r="X420" s="44"/>
      <c r="Y420" s="44"/>
      <c r="Z420" s="44"/>
      <c r="AA420" s="44"/>
      <c r="AB420" s="44"/>
      <c r="AC420" s="45"/>
      <c r="AD420" s="44"/>
      <c r="AE420" s="44"/>
      <c r="AF420" s="44"/>
      <c r="AG420" s="45"/>
      <c r="AH420" s="44"/>
      <c r="AI420" s="81"/>
      <c r="AJ420" s="43"/>
      <c r="AK420" s="43"/>
      <c r="AL420" s="43"/>
      <c r="AM420" s="43"/>
    </row>
    <row r="421" spans="2:39" x14ac:dyDescent="0.25">
      <c r="B421" s="48"/>
      <c r="C421" s="47"/>
      <c r="D421" s="47"/>
      <c r="E421" s="47"/>
      <c r="F421" s="44"/>
      <c r="G421" s="44"/>
      <c r="H421" s="46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5"/>
      <c r="T421" s="44"/>
      <c r="U421" s="44"/>
      <c r="V421" s="44"/>
      <c r="W421" s="44"/>
      <c r="X421" s="44"/>
      <c r="Y421" s="44"/>
      <c r="Z421" s="44"/>
      <c r="AA421" s="44"/>
      <c r="AB421" s="44"/>
      <c r="AC421" s="45"/>
      <c r="AD421" s="44"/>
      <c r="AE421" s="44"/>
      <c r="AF421" s="44"/>
      <c r="AG421" s="45"/>
      <c r="AH421" s="44"/>
      <c r="AI421" s="81"/>
      <c r="AJ421" s="43"/>
      <c r="AK421" s="43"/>
      <c r="AL421" s="43"/>
      <c r="AM421" s="43"/>
    </row>
    <row r="422" spans="2:39" x14ac:dyDescent="0.25">
      <c r="B422" s="48"/>
      <c r="C422" s="47"/>
      <c r="D422" s="47"/>
      <c r="E422" s="47"/>
      <c r="F422" s="44"/>
      <c r="G422" s="44"/>
      <c r="H422" s="46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5"/>
      <c r="T422" s="44"/>
      <c r="U422" s="44"/>
      <c r="V422" s="44"/>
      <c r="W422" s="44"/>
      <c r="X422" s="44"/>
      <c r="Y422" s="44"/>
      <c r="Z422" s="44"/>
      <c r="AA422" s="44"/>
      <c r="AB422" s="44"/>
      <c r="AC422" s="45"/>
      <c r="AD422" s="44"/>
      <c r="AE422" s="44"/>
      <c r="AF422" s="44"/>
      <c r="AG422" s="45"/>
      <c r="AH422" s="44"/>
      <c r="AI422" s="81"/>
      <c r="AJ422" s="43"/>
      <c r="AK422" s="43"/>
      <c r="AL422" s="43"/>
      <c r="AM422" s="43"/>
    </row>
    <row r="423" spans="2:39" x14ac:dyDescent="0.25">
      <c r="B423" s="48"/>
      <c r="C423" s="47"/>
      <c r="D423" s="47"/>
      <c r="E423" s="47"/>
      <c r="F423" s="44"/>
      <c r="G423" s="44"/>
      <c r="H423" s="46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5"/>
      <c r="T423" s="44"/>
      <c r="U423" s="44"/>
      <c r="V423" s="44"/>
      <c r="W423" s="44"/>
      <c r="X423" s="44"/>
      <c r="Y423" s="44"/>
      <c r="Z423" s="44"/>
      <c r="AA423" s="44"/>
      <c r="AB423" s="44"/>
      <c r="AC423" s="45"/>
      <c r="AD423" s="44"/>
      <c r="AE423" s="44"/>
      <c r="AF423" s="44"/>
      <c r="AG423" s="45"/>
      <c r="AH423" s="44"/>
      <c r="AI423" s="81"/>
      <c r="AJ423" s="43"/>
      <c r="AK423" s="43"/>
      <c r="AL423" s="43"/>
      <c r="AM423" s="43"/>
    </row>
    <row r="424" spans="2:39" x14ac:dyDescent="0.25">
      <c r="B424" s="48"/>
      <c r="C424" s="47"/>
      <c r="D424" s="47"/>
      <c r="E424" s="47"/>
      <c r="F424" s="44"/>
      <c r="G424" s="44"/>
      <c r="H424" s="46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5"/>
      <c r="T424" s="44"/>
      <c r="U424" s="44"/>
      <c r="V424" s="44"/>
      <c r="W424" s="44"/>
      <c r="X424" s="44"/>
      <c r="Y424" s="44"/>
      <c r="Z424" s="44"/>
      <c r="AA424" s="44"/>
      <c r="AB424" s="44"/>
      <c r="AC424" s="45"/>
      <c r="AD424" s="44"/>
      <c r="AE424" s="44"/>
      <c r="AF424" s="44"/>
      <c r="AG424" s="45"/>
      <c r="AH424" s="44"/>
      <c r="AI424" s="81"/>
      <c r="AJ424" s="43"/>
      <c r="AK424" s="43"/>
      <c r="AL424" s="43"/>
      <c r="AM424" s="43"/>
    </row>
    <row r="425" spans="2:39" x14ac:dyDescent="0.25">
      <c r="B425" s="48"/>
      <c r="C425" s="47"/>
      <c r="D425" s="47"/>
      <c r="E425" s="47"/>
      <c r="F425" s="44"/>
      <c r="G425" s="44"/>
      <c r="H425" s="46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5"/>
      <c r="T425" s="44"/>
      <c r="U425" s="44"/>
      <c r="V425" s="44"/>
      <c r="W425" s="44"/>
      <c r="X425" s="44"/>
      <c r="Y425" s="44"/>
      <c r="Z425" s="44"/>
      <c r="AA425" s="44"/>
      <c r="AB425" s="44"/>
      <c r="AC425" s="45"/>
      <c r="AD425" s="44"/>
      <c r="AE425" s="44"/>
      <c r="AF425" s="44"/>
      <c r="AG425" s="45"/>
      <c r="AH425" s="44"/>
      <c r="AI425" s="81"/>
      <c r="AJ425" s="43"/>
      <c r="AK425" s="43"/>
      <c r="AL425" s="43"/>
      <c r="AM425" s="43"/>
    </row>
    <row r="426" spans="2:39" x14ac:dyDescent="0.25">
      <c r="B426" s="48"/>
      <c r="C426" s="47"/>
      <c r="D426" s="47"/>
      <c r="E426" s="47"/>
      <c r="F426" s="44"/>
      <c r="G426" s="44"/>
      <c r="H426" s="46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5"/>
      <c r="T426" s="44"/>
      <c r="U426" s="44"/>
      <c r="V426" s="44"/>
      <c r="W426" s="44"/>
      <c r="X426" s="44"/>
      <c r="Y426" s="44"/>
      <c r="Z426" s="44"/>
      <c r="AA426" s="44"/>
      <c r="AB426" s="44"/>
      <c r="AC426" s="45"/>
      <c r="AD426" s="44"/>
      <c r="AE426" s="44"/>
      <c r="AF426" s="44"/>
      <c r="AG426" s="45"/>
      <c r="AH426" s="44"/>
      <c r="AI426" s="81"/>
      <c r="AJ426" s="43"/>
      <c r="AK426" s="43"/>
      <c r="AL426" s="43"/>
      <c r="AM426" s="43"/>
    </row>
    <row r="427" spans="2:39" x14ac:dyDescent="0.25">
      <c r="B427" s="48"/>
      <c r="C427" s="47"/>
      <c r="D427" s="47"/>
      <c r="E427" s="47"/>
      <c r="F427" s="44"/>
      <c r="G427" s="44"/>
      <c r="H427" s="46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5"/>
      <c r="T427" s="44"/>
      <c r="U427" s="44"/>
      <c r="V427" s="44"/>
      <c r="W427" s="44"/>
      <c r="X427" s="44"/>
      <c r="Y427" s="44"/>
      <c r="Z427" s="44"/>
      <c r="AA427" s="44"/>
      <c r="AB427" s="44"/>
      <c r="AC427" s="45"/>
      <c r="AD427" s="44"/>
      <c r="AE427" s="44"/>
      <c r="AF427" s="44"/>
      <c r="AG427" s="45"/>
      <c r="AH427" s="44"/>
      <c r="AI427" s="81"/>
      <c r="AJ427" s="43"/>
      <c r="AK427" s="43"/>
      <c r="AL427" s="43"/>
      <c r="AM427" s="43"/>
    </row>
    <row r="428" spans="2:39" x14ac:dyDescent="0.25">
      <c r="B428" s="48"/>
      <c r="C428" s="47"/>
      <c r="D428" s="47"/>
      <c r="E428" s="47"/>
      <c r="F428" s="44"/>
      <c r="G428" s="44"/>
      <c r="H428" s="46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5"/>
      <c r="T428" s="44"/>
      <c r="U428" s="44"/>
      <c r="V428" s="44"/>
      <c r="W428" s="44"/>
      <c r="X428" s="44"/>
      <c r="Y428" s="44"/>
      <c r="Z428" s="44"/>
      <c r="AA428" s="44"/>
      <c r="AB428" s="44"/>
      <c r="AC428" s="45"/>
      <c r="AD428" s="44"/>
      <c r="AE428" s="44"/>
      <c r="AF428" s="44"/>
      <c r="AG428" s="45"/>
      <c r="AH428" s="44"/>
      <c r="AI428" s="81"/>
      <c r="AJ428" s="43"/>
      <c r="AK428" s="43"/>
      <c r="AL428" s="43"/>
      <c r="AM428" s="43"/>
    </row>
    <row r="429" spans="2:39" x14ac:dyDescent="0.25">
      <c r="B429" s="48"/>
      <c r="C429" s="47"/>
      <c r="D429" s="47"/>
      <c r="E429" s="47"/>
      <c r="F429" s="44"/>
      <c r="G429" s="44"/>
      <c r="H429" s="46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5"/>
      <c r="T429" s="44"/>
      <c r="U429" s="44"/>
      <c r="V429" s="44"/>
      <c r="W429" s="44"/>
      <c r="X429" s="44"/>
      <c r="Y429" s="44"/>
      <c r="Z429" s="44"/>
      <c r="AA429" s="44"/>
      <c r="AB429" s="44"/>
      <c r="AC429" s="45"/>
      <c r="AD429" s="44"/>
      <c r="AE429" s="44"/>
      <c r="AF429" s="44"/>
      <c r="AG429" s="45"/>
      <c r="AH429" s="44"/>
      <c r="AI429" s="81"/>
      <c r="AJ429" s="43"/>
      <c r="AK429" s="43"/>
      <c r="AL429" s="43"/>
      <c r="AM429" s="43"/>
    </row>
    <row r="430" spans="2:39" x14ac:dyDescent="0.25">
      <c r="B430" s="48"/>
      <c r="C430" s="47"/>
      <c r="D430" s="47"/>
      <c r="E430" s="47"/>
      <c r="F430" s="44"/>
      <c r="G430" s="44"/>
      <c r="H430" s="46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5"/>
      <c r="T430" s="44"/>
      <c r="U430" s="44"/>
      <c r="V430" s="44"/>
      <c r="W430" s="44"/>
      <c r="X430" s="44"/>
      <c r="Y430" s="44"/>
      <c r="Z430" s="44"/>
      <c r="AA430" s="44"/>
      <c r="AB430" s="44"/>
      <c r="AC430" s="45"/>
      <c r="AD430" s="44"/>
      <c r="AE430" s="44"/>
      <c r="AF430" s="44"/>
      <c r="AG430" s="45"/>
      <c r="AH430" s="44"/>
      <c r="AI430" s="81"/>
      <c r="AJ430" s="43"/>
      <c r="AK430" s="43"/>
      <c r="AL430" s="43"/>
      <c r="AM430" s="43"/>
    </row>
    <row r="431" spans="2:39" x14ac:dyDescent="0.25">
      <c r="B431" s="48"/>
      <c r="C431" s="47"/>
      <c r="D431" s="47"/>
      <c r="E431" s="47"/>
      <c r="F431" s="44"/>
      <c r="G431" s="44"/>
      <c r="H431" s="46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5"/>
      <c r="T431" s="44"/>
      <c r="U431" s="44"/>
      <c r="V431" s="44"/>
      <c r="W431" s="44"/>
      <c r="X431" s="44"/>
      <c r="Y431" s="44"/>
      <c r="Z431" s="44"/>
      <c r="AA431" s="44"/>
      <c r="AB431" s="44"/>
      <c r="AC431" s="45"/>
      <c r="AD431" s="44"/>
      <c r="AE431" s="44"/>
      <c r="AF431" s="44"/>
      <c r="AG431" s="45"/>
      <c r="AH431" s="44"/>
      <c r="AI431" s="81"/>
      <c r="AJ431" s="43"/>
      <c r="AK431" s="43"/>
      <c r="AL431" s="43"/>
      <c r="AM431" s="43"/>
    </row>
    <row r="432" spans="2:39" x14ac:dyDescent="0.25">
      <c r="B432" s="48"/>
      <c r="C432" s="47"/>
      <c r="D432" s="47"/>
      <c r="E432" s="47"/>
      <c r="F432" s="44"/>
      <c r="G432" s="44"/>
      <c r="H432" s="46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5"/>
      <c r="T432" s="44"/>
      <c r="U432" s="44"/>
      <c r="V432" s="44"/>
      <c r="W432" s="44"/>
      <c r="X432" s="44"/>
      <c r="Y432" s="44"/>
      <c r="Z432" s="44"/>
      <c r="AA432" s="44"/>
      <c r="AB432" s="44"/>
      <c r="AC432" s="45"/>
      <c r="AD432" s="44"/>
      <c r="AE432" s="44"/>
      <c r="AF432" s="44"/>
      <c r="AG432" s="45"/>
      <c r="AH432" s="44"/>
      <c r="AI432" s="81"/>
      <c r="AJ432" s="43"/>
      <c r="AK432" s="43"/>
      <c r="AL432" s="43"/>
      <c r="AM432" s="43"/>
    </row>
    <row r="433" spans="2:39" x14ac:dyDescent="0.25">
      <c r="B433" s="48"/>
      <c r="C433" s="47"/>
      <c r="D433" s="47"/>
      <c r="E433" s="47"/>
      <c r="F433" s="44"/>
      <c r="G433" s="44"/>
      <c r="H433" s="46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5"/>
      <c r="T433" s="44"/>
      <c r="U433" s="44"/>
      <c r="V433" s="44"/>
      <c r="W433" s="44"/>
      <c r="X433" s="44"/>
      <c r="Y433" s="44"/>
      <c r="Z433" s="44"/>
      <c r="AA433" s="44"/>
      <c r="AB433" s="44"/>
      <c r="AC433" s="45"/>
      <c r="AD433" s="44"/>
      <c r="AE433" s="44"/>
      <c r="AF433" s="44"/>
      <c r="AG433" s="45"/>
      <c r="AH433" s="44"/>
      <c r="AI433" s="81"/>
      <c r="AJ433" s="43"/>
      <c r="AK433" s="43"/>
      <c r="AL433" s="43"/>
      <c r="AM433" s="43"/>
    </row>
    <row r="434" spans="2:39" x14ac:dyDescent="0.25">
      <c r="B434" s="48"/>
      <c r="C434" s="47"/>
      <c r="D434" s="47"/>
      <c r="E434" s="47"/>
      <c r="F434" s="44"/>
      <c r="G434" s="44"/>
      <c r="H434" s="46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5"/>
      <c r="T434" s="44"/>
      <c r="U434" s="44"/>
      <c r="V434" s="44"/>
      <c r="W434" s="44"/>
      <c r="X434" s="44"/>
      <c r="Y434" s="44"/>
      <c r="Z434" s="44"/>
      <c r="AA434" s="44"/>
      <c r="AB434" s="44"/>
      <c r="AC434" s="45"/>
      <c r="AD434" s="44"/>
      <c r="AE434" s="44"/>
      <c r="AF434" s="44"/>
      <c r="AG434" s="45"/>
      <c r="AH434" s="44"/>
      <c r="AI434" s="81"/>
      <c r="AJ434" s="43"/>
      <c r="AK434" s="43"/>
      <c r="AL434" s="43"/>
      <c r="AM434" s="43"/>
    </row>
    <row r="435" spans="2:39" x14ac:dyDescent="0.25">
      <c r="B435" s="48"/>
      <c r="C435" s="47"/>
      <c r="D435" s="47"/>
      <c r="E435" s="47"/>
      <c r="F435" s="44"/>
      <c r="G435" s="44"/>
      <c r="H435" s="46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5"/>
      <c r="T435" s="44"/>
      <c r="U435" s="44"/>
      <c r="V435" s="44"/>
      <c r="W435" s="44"/>
      <c r="X435" s="44"/>
      <c r="Y435" s="44"/>
      <c r="Z435" s="44"/>
      <c r="AA435" s="44"/>
      <c r="AB435" s="44"/>
      <c r="AC435" s="45"/>
      <c r="AD435" s="44"/>
      <c r="AE435" s="44"/>
      <c r="AF435" s="44"/>
      <c r="AG435" s="45"/>
      <c r="AH435" s="44"/>
      <c r="AI435" s="81"/>
      <c r="AJ435" s="43"/>
      <c r="AK435" s="43"/>
      <c r="AL435" s="43"/>
      <c r="AM435" s="43"/>
    </row>
    <row r="436" spans="2:39" x14ac:dyDescent="0.25">
      <c r="B436" s="48"/>
      <c r="C436" s="47"/>
      <c r="D436" s="47"/>
      <c r="E436" s="47"/>
      <c r="F436" s="44"/>
      <c r="G436" s="44"/>
      <c r="H436" s="46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5"/>
      <c r="T436" s="44"/>
      <c r="U436" s="44"/>
      <c r="V436" s="44"/>
      <c r="W436" s="44"/>
      <c r="X436" s="44"/>
      <c r="Y436" s="44"/>
      <c r="Z436" s="44"/>
      <c r="AA436" s="44"/>
      <c r="AB436" s="44"/>
      <c r="AC436" s="45"/>
      <c r="AD436" s="44"/>
      <c r="AE436" s="44"/>
      <c r="AF436" s="44"/>
      <c r="AG436" s="45"/>
      <c r="AH436" s="44"/>
      <c r="AI436" s="81"/>
      <c r="AJ436" s="43"/>
      <c r="AK436" s="43"/>
      <c r="AL436" s="43"/>
      <c r="AM436" s="43"/>
    </row>
    <row r="437" spans="2:39" x14ac:dyDescent="0.25">
      <c r="B437" s="48"/>
      <c r="C437" s="47"/>
      <c r="D437" s="47"/>
      <c r="E437" s="47"/>
      <c r="F437" s="44"/>
      <c r="G437" s="44"/>
      <c r="H437" s="46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5"/>
      <c r="T437" s="44"/>
      <c r="U437" s="44"/>
      <c r="V437" s="44"/>
      <c r="W437" s="44"/>
      <c r="X437" s="44"/>
      <c r="Y437" s="44"/>
      <c r="Z437" s="44"/>
      <c r="AA437" s="44"/>
      <c r="AB437" s="44"/>
      <c r="AC437" s="45"/>
      <c r="AD437" s="44"/>
      <c r="AE437" s="44"/>
      <c r="AF437" s="44"/>
      <c r="AG437" s="45"/>
      <c r="AH437" s="44"/>
      <c r="AI437" s="81"/>
      <c r="AJ437" s="43"/>
      <c r="AK437" s="43"/>
      <c r="AL437" s="43"/>
      <c r="AM437" s="43"/>
    </row>
    <row r="438" spans="2:39" x14ac:dyDescent="0.25">
      <c r="B438" s="48"/>
      <c r="C438" s="47"/>
      <c r="D438" s="47"/>
      <c r="E438" s="47"/>
      <c r="F438" s="44"/>
      <c r="G438" s="44"/>
      <c r="H438" s="46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5"/>
      <c r="T438" s="44"/>
      <c r="U438" s="44"/>
      <c r="V438" s="44"/>
      <c r="W438" s="44"/>
      <c r="X438" s="44"/>
      <c r="Y438" s="44"/>
      <c r="Z438" s="44"/>
      <c r="AA438" s="44"/>
      <c r="AB438" s="44"/>
      <c r="AC438" s="45"/>
      <c r="AD438" s="44"/>
      <c r="AE438" s="44"/>
      <c r="AF438" s="44"/>
      <c r="AG438" s="45"/>
      <c r="AH438" s="44"/>
      <c r="AI438" s="81"/>
      <c r="AJ438" s="43"/>
      <c r="AK438" s="43"/>
      <c r="AL438" s="43"/>
      <c r="AM438" s="43"/>
    </row>
    <row r="439" spans="2:39" x14ac:dyDescent="0.25">
      <c r="B439" s="48"/>
      <c r="C439" s="47"/>
      <c r="D439" s="47"/>
      <c r="E439" s="47"/>
      <c r="F439" s="44"/>
      <c r="G439" s="44"/>
      <c r="H439" s="46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5"/>
      <c r="T439" s="44"/>
      <c r="U439" s="44"/>
      <c r="V439" s="44"/>
      <c r="W439" s="44"/>
      <c r="X439" s="44"/>
      <c r="Y439" s="44"/>
      <c r="Z439" s="44"/>
      <c r="AA439" s="44"/>
      <c r="AB439" s="44"/>
      <c r="AC439" s="45"/>
      <c r="AD439" s="44"/>
      <c r="AE439" s="44"/>
      <c r="AF439" s="44"/>
      <c r="AG439" s="45"/>
      <c r="AH439" s="44"/>
      <c r="AI439" s="81"/>
      <c r="AJ439" s="43"/>
      <c r="AK439" s="43"/>
      <c r="AL439" s="43"/>
      <c r="AM439" s="43"/>
    </row>
    <row r="440" spans="2:39" x14ac:dyDescent="0.25">
      <c r="B440" s="48"/>
      <c r="C440" s="47"/>
      <c r="D440" s="47"/>
      <c r="E440" s="47"/>
      <c r="F440" s="44"/>
      <c r="G440" s="44"/>
      <c r="H440" s="46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5"/>
      <c r="T440" s="44"/>
      <c r="U440" s="44"/>
      <c r="V440" s="44"/>
      <c r="W440" s="44"/>
      <c r="X440" s="44"/>
      <c r="Y440" s="44"/>
      <c r="Z440" s="44"/>
      <c r="AA440" s="44"/>
      <c r="AB440" s="44"/>
      <c r="AC440" s="45"/>
      <c r="AD440" s="44"/>
      <c r="AE440" s="44"/>
      <c r="AF440" s="44"/>
      <c r="AG440" s="45"/>
      <c r="AH440" s="44"/>
      <c r="AI440" s="81"/>
      <c r="AJ440" s="43"/>
      <c r="AK440" s="43"/>
      <c r="AL440" s="43"/>
      <c r="AM440" s="43"/>
    </row>
    <row r="441" spans="2:39" x14ac:dyDescent="0.25">
      <c r="B441" s="48"/>
      <c r="C441" s="47"/>
      <c r="D441" s="47"/>
      <c r="E441" s="47"/>
      <c r="F441" s="44"/>
      <c r="G441" s="44"/>
      <c r="H441" s="46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5"/>
      <c r="T441" s="44"/>
      <c r="U441" s="44"/>
      <c r="V441" s="44"/>
      <c r="W441" s="44"/>
      <c r="X441" s="44"/>
      <c r="Y441" s="44"/>
      <c r="Z441" s="44"/>
      <c r="AA441" s="44"/>
      <c r="AB441" s="44"/>
      <c r="AC441" s="45"/>
      <c r="AD441" s="44"/>
      <c r="AE441" s="44"/>
      <c r="AF441" s="44"/>
      <c r="AG441" s="45"/>
      <c r="AH441" s="44"/>
      <c r="AI441" s="81"/>
      <c r="AJ441" s="43"/>
      <c r="AK441" s="43"/>
      <c r="AL441" s="43"/>
      <c r="AM441" s="43"/>
    </row>
    <row r="442" spans="2:39" x14ac:dyDescent="0.25">
      <c r="B442" s="48"/>
      <c r="C442" s="47"/>
      <c r="D442" s="47"/>
      <c r="E442" s="47"/>
      <c r="F442" s="44"/>
      <c r="G442" s="44"/>
      <c r="H442" s="46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5"/>
      <c r="T442" s="44"/>
      <c r="U442" s="44"/>
      <c r="V442" s="44"/>
      <c r="W442" s="44"/>
      <c r="X442" s="44"/>
      <c r="Y442" s="44"/>
      <c r="Z442" s="44"/>
      <c r="AA442" s="44"/>
      <c r="AB442" s="44"/>
      <c r="AC442" s="45"/>
      <c r="AD442" s="44"/>
      <c r="AE442" s="44"/>
      <c r="AF442" s="44"/>
      <c r="AG442" s="45"/>
      <c r="AH442" s="44"/>
      <c r="AI442" s="81"/>
      <c r="AJ442" s="43"/>
      <c r="AK442" s="43"/>
      <c r="AL442" s="43"/>
      <c r="AM442" s="43"/>
    </row>
    <row r="443" spans="2:39" x14ac:dyDescent="0.25">
      <c r="B443" s="48"/>
      <c r="C443" s="47"/>
      <c r="D443" s="47"/>
      <c r="E443" s="47"/>
      <c r="F443" s="44"/>
      <c r="G443" s="44"/>
      <c r="H443" s="46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5"/>
      <c r="T443" s="44"/>
      <c r="U443" s="44"/>
      <c r="V443" s="44"/>
      <c r="W443" s="44"/>
      <c r="X443" s="44"/>
      <c r="Y443" s="44"/>
      <c r="Z443" s="44"/>
      <c r="AA443" s="44"/>
      <c r="AB443" s="44"/>
      <c r="AC443" s="45"/>
      <c r="AD443" s="44"/>
      <c r="AE443" s="44"/>
      <c r="AF443" s="44"/>
      <c r="AG443" s="45"/>
      <c r="AH443" s="44"/>
      <c r="AI443" s="81"/>
      <c r="AJ443" s="43"/>
      <c r="AK443" s="43"/>
      <c r="AL443" s="43"/>
      <c r="AM443" s="43"/>
    </row>
    <row r="444" spans="2:39" x14ac:dyDescent="0.25">
      <c r="B444" s="48"/>
      <c r="C444" s="47"/>
      <c r="D444" s="47"/>
      <c r="E444" s="47"/>
      <c r="F444" s="44"/>
      <c r="G444" s="44"/>
      <c r="H444" s="46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5"/>
      <c r="T444" s="44"/>
      <c r="U444" s="44"/>
      <c r="V444" s="44"/>
      <c r="W444" s="44"/>
      <c r="X444" s="44"/>
      <c r="Y444" s="44"/>
      <c r="Z444" s="44"/>
      <c r="AA444" s="44"/>
      <c r="AB444" s="44"/>
      <c r="AC444" s="45"/>
      <c r="AD444" s="44"/>
      <c r="AE444" s="44"/>
      <c r="AF444" s="44"/>
      <c r="AG444" s="45"/>
      <c r="AH444" s="44"/>
      <c r="AI444" s="81"/>
      <c r="AJ444" s="43"/>
      <c r="AK444" s="43"/>
      <c r="AL444" s="43"/>
      <c r="AM444" s="43"/>
    </row>
    <row r="445" spans="2:39" x14ac:dyDescent="0.25">
      <c r="B445" s="48"/>
      <c r="C445" s="47"/>
      <c r="D445" s="47"/>
      <c r="E445" s="47"/>
      <c r="F445" s="44"/>
      <c r="G445" s="44"/>
      <c r="H445" s="46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5"/>
      <c r="T445" s="44"/>
      <c r="U445" s="44"/>
      <c r="V445" s="44"/>
      <c r="W445" s="44"/>
      <c r="X445" s="44"/>
      <c r="Y445" s="44"/>
      <c r="Z445" s="44"/>
      <c r="AA445" s="44"/>
      <c r="AB445" s="44"/>
      <c r="AC445" s="45"/>
      <c r="AD445" s="44"/>
      <c r="AE445" s="44"/>
      <c r="AF445" s="44"/>
      <c r="AG445" s="45"/>
      <c r="AH445" s="44"/>
      <c r="AI445" s="81"/>
      <c r="AJ445" s="43"/>
      <c r="AK445" s="43"/>
      <c r="AL445" s="43"/>
      <c r="AM445" s="43"/>
    </row>
    <row r="446" spans="2:39" x14ac:dyDescent="0.25">
      <c r="B446" s="48"/>
      <c r="C446" s="47"/>
      <c r="D446" s="47"/>
      <c r="E446" s="47"/>
      <c r="F446" s="44"/>
      <c r="G446" s="44"/>
      <c r="H446" s="46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5"/>
      <c r="T446" s="44"/>
      <c r="U446" s="44"/>
      <c r="V446" s="44"/>
      <c r="W446" s="44"/>
      <c r="X446" s="44"/>
      <c r="Y446" s="44"/>
      <c r="Z446" s="44"/>
      <c r="AA446" s="44"/>
      <c r="AB446" s="44"/>
      <c r="AC446" s="45"/>
      <c r="AD446" s="44"/>
      <c r="AE446" s="44"/>
      <c r="AF446" s="44"/>
      <c r="AG446" s="45"/>
      <c r="AH446" s="44"/>
      <c r="AI446" s="81"/>
      <c r="AJ446" s="43"/>
      <c r="AK446" s="43"/>
      <c r="AL446" s="43"/>
      <c r="AM446" s="43"/>
    </row>
    <row r="447" spans="2:39" x14ac:dyDescent="0.25">
      <c r="B447" s="48"/>
      <c r="C447" s="47"/>
      <c r="D447" s="47"/>
      <c r="E447" s="47"/>
      <c r="F447" s="44"/>
      <c r="G447" s="44"/>
      <c r="H447" s="46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5"/>
      <c r="T447" s="44"/>
      <c r="U447" s="44"/>
      <c r="V447" s="44"/>
      <c r="W447" s="44"/>
      <c r="X447" s="44"/>
      <c r="Y447" s="44"/>
      <c r="Z447" s="44"/>
      <c r="AA447" s="44"/>
      <c r="AB447" s="44"/>
      <c r="AC447" s="45"/>
      <c r="AD447" s="44"/>
      <c r="AE447" s="44"/>
      <c r="AF447" s="44"/>
      <c r="AG447" s="45"/>
      <c r="AH447" s="44"/>
      <c r="AI447" s="81"/>
      <c r="AJ447" s="43"/>
      <c r="AK447" s="43"/>
      <c r="AL447" s="43"/>
      <c r="AM447" s="43"/>
    </row>
    <row r="448" spans="2:39" x14ac:dyDescent="0.25">
      <c r="B448" s="48"/>
      <c r="C448" s="47"/>
      <c r="D448" s="47"/>
      <c r="E448" s="47"/>
      <c r="F448" s="44"/>
      <c r="G448" s="44"/>
      <c r="H448" s="46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5"/>
      <c r="T448" s="44"/>
      <c r="U448" s="44"/>
      <c r="V448" s="44"/>
      <c r="W448" s="44"/>
      <c r="X448" s="44"/>
      <c r="Y448" s="44"/>
      <c r="Z448" s="44"/>
      <c r="AA448" s="44"/>
      <c r="AB448" s="44"/>
      <c r="AC448" s="45"/>
      <c r="AD448" s="44"/>
      <c r="AE448" s="44"/>
      <c r="AF448" s="44"/>
      <c r="AG448" s="45"/>
      <c r="AH448" s="44"/>
      <c r="AI448" s="81"/>
      <c r="AJ448" s="43"/>
      <c r="AK448" s="43"/>
      <c r="AL448" s="43"/>
      <c r="AM448" s="43"/>
    </row>
    <row r="449" spans="2:39" x14ac:dyDescent="0.25">
      <c r="B449" s="48"/>
      <c r="C449" s="47"/>
      <c r="D449" s="47"/>
      <c r="E449" s="47"/>
      <c r="F449" s="44"/>
      <c r="G449" s="44"/>
      <c r="H449" s="46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5"/>
      <c r="T449" s="44"/>
      <c r="U449" s="44"/>
      <c r="V449" s="44"/>
      <c r="W449" s="44"/>
      <c r="X449" s="44"/>
      <c r="Y449" s="44"/>
      <c r="Z449" s="44"/>
      <c r="AA449" s="44"/>
      <c r="AB449" s="44"/>
      <c r="AC449" s="45"/>
      <c r="AD449" s="44"/>
      <c r="AE449" s="44"/>
      <c r="AF449" s="44"/>
      <c r="AG449" s="45"/>
      <c r="AH449" s="44"/>
      <c r="AI449" s="81"/>
      <c r="AJ449" s="43"/>
      <c r="AK449" s="43"/>
      <c r="AL449" s="43"/>
      <c r="AM449" s="43"/>
    </row>
    <row r="450" spans="2:39" x14ac:dyDescent="0.25">
      <c r="B450" s="48"/>
      <c r="C450" s="47"/>
      <c r="D450" s="47"/>
      <c r="E450" s="47"/>
      <c r="F450" s="44"/>
      <c r="G450" s="44"/>
      <c r="H450" s="46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5"/>
      <c r="T450" s="44"/>
      <c r="U450" s="44"/>
      <c r="V450" s="44"/>
      <c r="W450" s="44"/>
      <c r="X450" s="44"/>
      <c r="Y450" s="44"/>
      <c r="Z450" s="44"/>
      <c r="AA450" s="44"/>
      <c r="AB450" s="44"/>
      <c r="AC450" s="45"/>
      <c r="AD450" s="44"/>
      <c r="AE450" s="44"/>
      <c r="AF450" s="44"/>
      <c r="AG450" s="45"/>
      <c r="AH450" s="44"/>
      <c r="AI450" s="81"/>
      <c r="AJ450" s="43"/>
      <c r="AK450" s="43"/>
      <c r="AL450" s="43"/>
      <c r="AM450" s="43"/>
    </row>
    <row r="451" spans="2:39" x14ac:dyDescent="0.25">
      <c r="B451" s="48"/>
      <c r="C451" s="47"/>
      <c r="D451" s="47"/>
      <c r="E451" s="47"/>
      <c r="F451" s="44"/>
      <c r="G451" s="44"/>
      <c r="H451" s="46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5"/>
      <c r="T451" s="44"/>
      <c r="U451" s="44"/>
      <c r="V451" s="44"/>
      <c r="W451" s="44"/>
      <c r="X451" s="44"/>
      <c r="Y451" s="44"/>
      <c r="Z451" s="44"/>
      <c r="AA451" s="44"/>
      <c r="AB451" s="44"/>
      <c r="AC451" s="45"/>
      <c r="AD451" s="44"/>
      <c r="AE451" s="44"/>
      <c r="AF451" s="44"/>
      <c r="AG451" s="45"/>
      <c r="AH451" s="44"/>
      <c r="AI451" s="81"/>
      <c r="AJ451" s="43"/>
      <c r="AK451" s="43"/>
      <c r="AL451" s="43"/>
      <c r="AM451" s="43"/>
    </row>
    <row r="452" spans="2:39" x14ac:dyDescent="0.25">
      <c r="B452" s="48"/>
      <c r="C452" s="47"/>
      <c r="D452" s="47"/>
      <c r="E452" s="47"/>
      <c r="F452" s="44"/>
      <c r="G452" s="44"/>
      <c r="H452" s="46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5"/>
      <c r="T452" s="44"/>
      <c r="U452" s="44"/>
      <c r="V452" s="44"/>
      <c r="W452" s="44"/>
      <c r="X452" s="44"/>
      <c r="Y452" s="44"/>
      <c r="Z452" s="44"/>
      <c r="AA452" s="44"/>
      <c r="AB452" s="44"/>
      <c r="AC452" s="45"/>
      <c r="AD452" s="44"/>
      <c r="AE452" s="44"/>
      <c r="AF452" s="44"/>
      <c r="AG452" s="45"/>
      <c r="AH452" s="44"/>
      <c r="AI452" s="81"/>
      <c r="AJ452" s="43"/>
      <c r="AK452" s="43"/>
      <c r="AL452" s="43"/>
      <c r="AM452" s="43"/>
    </row>
    <row r="453" spans="2:39" x14ac:dyDescent="0.25">
      <c r="B453" s="48"/>
      <c r="C453" s="47"/>
      <c r="D453" s="47"/>
      <c r="E453" s="47"/>
      <c r="F453" s="44"/>
      <c r="G453" s="44"/>
      <c r="H453" s="46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5"/>
      <c r="T453" s="44"/>
      <c r="U453" s="44"/>
      <c r="V453" s="44"/>
      <c r="W453" s="44"/>
      <c r="X453" s="44"/>
      <c r="Y453" s="44"/>
      <c r="Z453" s="44"/>
      <c r="AA453" s="44"/>
      <c r="AB453" s="44"/>
      <c r="AC453" s="45"/>
      <c r="AD453" s="44"/>
      <c r="AE453" s="44"/>
      <c r="AF453" s="44"/>
      <c r="AG453" s="45"/>
      <c r="AH453" s="44"/>
      <c r="AI453" s="81"/>
      <c r="AJ453" s="43"/>
      <c r="AK453" s="43"/>
      <c r="AL453" s="43"/>
      <c r="AM453" s="43"/>
    </row>
    <row r="454" spans="2:39" x14ac:dyDescent="0.25">
      <c r="B454" s="48"/>
      <c r="C454" s="47"/>
      <c r="D454" s="47"/>
      <c r="E454" s="47"/>
      <c r="F454" s="44"/>
      <c r="G454" s="44"/>
      <c r="H454" s="46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5"/>
      <c r="T454" s="44"/>
      <c r="U454" s="44"/>
      <c r="V454" s="44"/>
      <c r="W454" s="44"/>
      <c r="X454" s="44"/>
      <c r="Y454" s="44"/>
      <c r="Z454" s="44"/>
      <c r="AA454" s="44"/>
      <c r="AB454" s="44"/>
      <c r="AC454" s="45"/>
      <c r="AD454" s="44"/>
      <c r="AE454" s="44"/>
      <c r="AF454" s="44"/>
      <c r="AG454" s="45"/>
      <c r="AH454" s="44"/>
      <c r="AI454" s="81"/>
      <c r="AJ454" s="43"/>
      <c r="AK454" s="43"/>
      <c r="AL454" s="43"/>
      <c r="AM454" s="43"/>
    </row>
    <row r="455" spans="2:39" x14ac:dyDescent="0.25">
      <c r="B455" s="48"/>
      <c r="C455" s="47"/>
      <c r="D455" s="47"/>
      <c r="E455" s="47"/>
      <c r="F455" s="44"/>
      <c r="G455" s="44"/>
      <c r="H455" s="46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5"/>
      <c r="T455" s="44"/>
      <c r="U455" s="44"/>
      <c r="V455" s="44"/>
      <c r="W455" s="44"/>
      <c r="X455" s="44"/>
      <c r="Y455" s="44"/>
      <c r="Z455" s="44"/>
      <c r="AA455" s="44"/>
      <c r="AB455" s="44"/>
      <c r="AC455" s="45"/>
      <c r="AD455" s="44"/>
      <c r="AE455" s="44"/>
      <c r="AF455" s="44"/>
      <c r="AG455" s="45"/>
      <c r="AH455" s="44"/>
      <c r="AI455" s="81"/>
      <c r="AJ455" s="43"/>
      <c r="AK455" s="43"/>
      <c r="AL455" s="43"/>
      <c r="AM455" s="43"/>
    </row>
    <row r="456" spans="2:39" x14ac:dyDescent="0.25">
      <c r="B456" s="48"/>
      <c r="C456" s="47"/>
      <c r="D456" s="47"/>
      <c r="E456" s="47"/>
      <c r="F456" s="44"/>
      <c r="G456" s="44"/>
      <c r="H456" s="46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5"/>
      <c r="T456" s="44"/>
      <c r="U456" s="44"/>
      <c r="V456" s="44"/>
      <c r="W456" s="44"/>
      <c r="X456" s="44"/>
      <c r="Y456" s="44"/>
      <c r="Z456" s="44"/>
      <c r="AA456" s="44"/>
      <c r="AB456" s="44"/>
      <c r="AC456" s="45"/>
      <c r="AD456" s="44"/>
      <c r="AE456" s="44"/>
      <c r="AF456" s="44"/>
      <c r="AG456" s="45"/>
      <c r="AH456" s="44"/>
      <c r="AI456" s="81"/>
      <c r="AJ456" s="43"/>
      <c r="AK456" s="43"/>
      <c r="AL456" s="43"/>
      <c r="AM456" s="43"/>
    </row>
    <row r="457" spans="2:39" x14ac:dyDescent="0.25">
      <c r="B457" s="48"/>
      <c r="C457" s="47"/>
      <c r="D457" s="47"/>
      <c r="E457" s="47"/>
      <c r="F457" s="44"/>
      <c r="G457" s="44"/>
      <c r="H457" s="46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5"/>
      <c r="T457" s="44"/>
      <c r="U457" s="44"/>
      <c r="V457" s="44"/>
      <c r="W457" s="44"/>
      <c r="X457" s="44"/>
      <c r="Y457" s="44"/>
      <c r="Z457" s="44"/>
      <c r="AA457" s="44"/>
      <c r="AB457" s="44"/>
      <c r="AC457" s="45"/>
      <c r="AD457" s="44"/>
      <c r="AE457" s="44"/>
      <c r="AF457" s="44"/>
      <c r="AG457" s="45"/>
      <c r="AH457" s="44"/>
      <c r="AI457" s="81"/>
      <c r="AJ457" s="43"/>
      <c r="AK457" s="43"/>
      <c r="AL457" s="43"/>
      <c r="AM457" s="43"/>
    </row>
    <row r="458" spans="2:39" x14ac:dyDescent="0.25">
      <c r="B458" s="48"/>
      <c r="C458" s="47"/>
      <c r="D458" s="47"/>
      <c r="E458" s="47"/>
      <c r="F458" s="44"/>
      <c r="G458" s="44"/>
      <c r="H458" s="46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5"/>
      <c r="T458" s="44"/>
      <c r="U458" s="44"/>
      <c r="V458" s="44"/>
      <c r="W458" s="44"/>
      <c r="X458" s="44"/>
      <c r="Y458" s="44"/>
      <c r="Z458" s="44"/>
      <c r="AA458" s="44"/>
      <c r="AB458" s="44"/>
      <c r="AC458" s="45"/>
      <c r="AD458" s="44"/>
      <c r="AE458" s="44"/>
      <c r="AF458" s="44"/>
      <c r="AG458" s="45"/>
      <c r="AH458" s="44"/>
      <c r="AI458" s="81"/>
      <c r="AJ458" s="43"/>
      <c r="AK458" s="43"/>
      <c r="AL458" s="43"/>
      <c r="AM458" s="43"/>
    </row>
    <row r="459" spans="2:39" x14ac:dyDescent="0.25">
      <c r="B459" s="48"/>
      <c r="C459" s="47"/>
      <c r="D459" s="47"/>
      <c r="E459" s="47"/>
      <c r="F459" s="44"/>
      <c r="G459" s="44"/>
      <c r="H459" s="46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5"/>
      <c r="T459" s="44"/>
      <c r="U459" s="44"/>
      <c r="V459" s="44"/>
      <c r="W459" s="44"/>
      <c r="X459" s="44"/>
      <c r="Y459" s="44"/>
      <c r="Z459" s="44"/>
      <c r="AA459" s="44"/>
      <c r="AB459" s="44"/>
      <c r="AC459" s="45"/>
      <c r="AD459" s="44"/>
      <c r="AE459" s="44"/>
      <c r="AF459" s="44"/>
      <c r="AG459" s="45"/>
      <c r="AH459" s="44"/>
      <c r="AI459" s="81"/>
      <c r="AJ459" s="43"/>
      <c r="AK459" s="43"/>
      <c r="AL459" s="43"/>
      <c r="AM459" s="43"/>
    </row>
    <row r="460" spans="2:39" x14ac:dyDescent="0.25">
      <c r="B460" s="48"/>
      <c r="C460" s="47"/>
      <c r="D460" s="47"/>
      <c r="E460" s="47"/>
      <c r="F460" s="44"/>
      <c r="G460" s="44"/>
      <c r="H460" s="46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5"/>
      <c r="T460" s="44"/>
      <c r="U460" s="44"/>
      <c r="V460" s="44"/>
      <c r="W460" s="44"/>
      <c r="X460" s="44"/>
      <c r="Y460" s="44"/>
      <c r="Z460" s="44"/>
      <c r="AA460" s="44"/>
      <c r="AB460" s="44"/>
      <c r="AC460" s="45"/>
      <c r="AD460" s="44"/>
      <c r="AE460" s="44"/>
      <c r="AF460" s="44"/>
      <c r="AG460" s="45"/>
      <c r="AH460" s="44"/>
      <c r="AI460" s="81"/>
      <c r="AJ460" s="43"/>
      <c r="AK460" s="43"/>
      <c r="AL460" s="43"/>
      <c r="AM460" s="43"/>
    </row>
    <row r="461" spans="2:39" x14ac:dyDescent="0.25">
      <c r="B461" s="48"/>
      <c r="C461" s="47"/>
      <c r="D461" s="47"/>
      <c r="E461" s="47"/>
      <c r="F461" s="44"/>
      <c r="G461" s="44"/>
      <c r="H461" s="46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5"/>
      <c r="T461" s="44"/>
      <c r="U461" s="44"/>
      <c r="V461" s="44"/>
      <c r="W461" s="44"/>
      <c r="X461" s="44"/>
      <c r="Y461" s="44"/>
      <c r="Z461" s="44"/>
      <c r="AA461" s="44"/>
      <c r="AB461" s="44"/>
      <c r="AC461" s="45"/>
      <c r="AD461" s="44"/>
      <c r="AE461" s="44"/>
      <c r="AF461" s="44"/>
      <c r="AG461" s="45"/>
      <c r="AH461" s="44"/>
      <c r="AI461" s="81"/>
      <c r="AJ461" s="43"/>
      <c r="AK461" s="43"/>
      <c r="AL461" s="43"/>
      <c r="AM461" s="43"/>
    </row>
    <row r="462" spans="2:39" x14ac:dyDescent="0.25">
      <c r="B462" s="48"/>
      <c r="C462" s="47"/>
      <c r="D462" s="47"/>
      <c r="E462" s="47"/>
      <c r="F462" s="44"/>
      <c r="G462" s="44"/>
      <c r="H462" s="46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5"/>
      <c r="T462" s="44"/>
      <c r="U462" s="44"/>
      <c r="V462" s="44"/>
      <c r="W462" s="44"/>
      <c r="X462" s="44"/>
      <c r="Y462" s="44"/>
      <c r="Z462" s="44"/>
      <c r="AA462" s="44"/>
      <c r="AB462" s="44"/>
      <c r="AC462" s="45"/>
      <c r="AD462" s="44"/>
      <c r="AE462" s="44"/>
      <c r="AF462" s="44"/>
      <c r="AG462" s="45"/>
      <c r="AH462" s="44"/>
      <c r="AI462" s="81"/>
      <c r="AJ462" s="43"/>
      <c r="AK462" s="43"/>
      <c r="AL462" s="43"/>
      <c r="AM462" s="43"/>
    </row>
    <row r="463" spans="2:39" x14ac:dyDescent="0.25">
      <c r="B463" s="48"/>
      <c r="C463" s="47"/>
      <c r="D463" s="47"/>
      <c r="E463" s="47"/>
      <c r="F463" s="44"/>
      <c r="G463" s="44"/>
      <c r="H463" s="46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5"/>
      <c r="T463" s="44"/>
      <c r="U463" s="44"/>
      <c r="V463" s="44"/>
      <c r="W463" s="44"/>
      <c r="X463" s="44"/>
      <c r="Y463" s="44"/>
      <c r="Z463" s="44"/>
      <c r="AA463" s="44"/>
      <c r="AB463" s="44"/>
      <c r="AC463" s="45"/>
      <c r="AD463" s="44"/>
      <c r="AE463" s="44"/>
      <c r="AF463" s="44"/>
      <c r="AG463" s="45"/>
      <c r="AH463" s="44"/>
      <c r="AI463" s="81"/>
      <c r="AJ463" s="43"/>
      <c r="AK463" s="43"/>
      <c r="AL463" s="43"/>
      <c r="AM463" s="43"/>
    </row>
    <row r="464" spans="2:39" x14ac:dyDescent="0.25">
      <c r="B464" s="48"/>
      <c r="C464" s="47"/>
      <c r="D464" s="47"/>
      <c r="E464" s="47"/>
      <c r="F464" s="44"/>
      <c r="G464" s="44"/>
      <c r="H464" s="46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5"/>
      <c r="T464" s="44"/>
      <c r="U464" s="44"/>
      <c r="V464" s="44"/>
      <c r="W464" s="44"/>
      <c r="X464" s="44"/>
      <c r="Y464" s="44"/>
      <c r="Z464" s="44"/>
      <c r="AA464" s="44"/>
      <c r="AB464" s="44"/>
      <c r="AC464" s="45"/>
      <c r="AD464" s="44"/>
      <c r="AE464" s="44"/>
      <c r="AF464" s="44"/>
      <c r="AG464" s="45"/>
      <c r="AH464" s="44"/>
      <c r="AI464" s="81"/>
      <c r="AJ464" s="43"/>
      <c r="AK464" s="43"/>
      <c r="AL464" s="43"/>
      <c r="AM464" s="43"/>
    </row>
    <row r="465" spans="2:39" x14ac:dyDescent="0.25">
      <c r="B465" s="48"/>
      <c r="C465" s="47"/>
      <c r="D465" s="47"/>
      <c r="E465" s="47"/>
      <c r="F465" s="44"/>
      <c r="G465" s="44"/>
      <c r="H465" s="46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5"/>
      <c r="T465" s="44"/>
      <c r="U465" s="44"/>
      <c r="V465" s="44"/>
      <c r="W465" s="44"/>
      <c r="X465" s="44"/>
      <c r="Y465" s="44"/>
      <c r="Z465" s="44"/>
      <c r="AA465" s="44"/>
      <c r="AB465" s="44"/>
      <c r="AC465" s="45"/>
      <c r="AD465" s="44"/>
      <c r="AE465" s="44"/>
      <c r="AF465" s="44"/>
      <c r="AG465" s="45"/>
      <c r="AH465" s="44"/>
      <c r="AI465" s="81"/>
      <c r="AJ465" s="43"/>
      <c r="AK465" s="43"/>
      <c r="AL465" s="43"/>
      <c r="AM465" s="43"/>
    </row>
    <row r="466" spans="2:39" x14ac:dyDescent="0.25">
      <c r="B466" s="48"/>
      <c r="C466" s="47"/>
      <c r="D466" s="47"/>
      <c r="E466" s="47"/>
      <c r="F466" s="44"/>
      <c r="G466" s="44"/>
      <c r="H466" s="46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5"/>
      <c r="T466" s="44"/>
      <c r="U466" s="44"/>
      <c r="V466" s="44"/>
      <c r="W466" s="44"/>
      <c r="X466" s="44"/>
      <c r="Y466" s="44"/>
      <c r="Z466" s="44"/>
      <c r="AA466" s="44"/>
      <c r="AB466" s="44"/>
      <c r="AC466" s="45"/>
      <c r="AD466" s="44"/>
      <c r="AE466" s="44"/>
      <c r="AF466" s="44"/>
      <c r="AG466" s="45"/>
      <c r="AH466" s="44"/>
      <c r="AI466" s="81"/>
      <c r="AJ466" s="43"/>
      <c r="AK466" s="43"/>
      <c r="AL466" s="43"/>
      <c r="AM466" s="43"/>
    </row>
    <row r="467" spans="2:39" x14ac:dyDescent="0.25">
      <c r="B467" s="48"/>
      <c r="C467" s="47"/>
      <c r="D467" s="47"/>
      <c r="E467" s="47"/>
      <c r="F467" s="44"/>
      <c r="G467" s="44"/>
      <c r="H467" s="46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5"/>
      <c r="T467" s="44"/>
      <c r="U467" s="44"/>
      <c r="V467" s="44"/>
      <c r="W467" s="44"/>
      <c r="X467" s="44"/>
      <c r="Y467" s="44"/>
      <c r="Z467" s="44"/>
      <c r="AA467" s="44"/>
      <c r="AB467" s="44"/>
      <c r="AC467" s="45"/>
      <c r="AD467" s="44"/>
      <c r="AE467" s="44"/>
      <c r="AF467" s="44"/>
      <c r="AG467" s="45"/>
      <c r="AH467" s="44"/>
      <c r="AI467" s="81"/>
      <c r="AJ467" s="43"/>
      <c r="AK467" s="43"/>
      <c r="AL467" s="43"/>
      <c r="AM467" s="43"/>
    </row>
    <row r="468" spans="2:39" x14ac:dyDescent="0.25">
      <c r="B468" s="48"/>
      <c r="C468" s="47"/>
      <c r="D468" s="47"/>
      <c r="E468" s="47"/>
      <c r="F468" s="44"/>
      <c r="G468" s="44"/>
      <c r="H468" s="46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5"/>
      <c r="T468" s="44"/>
      <c r="U468" s="44"/>
      <c r="V468" s="44"/>
      <c r="W468" s="44"/>
      <c r="X468" s="44"/>
      <c r="Y468" s="44"/>
      <c r="Z468" s="44"/>
      <c r="AA468" s="44"/>
      <c r="AB468" s="44"/>
      <c r="AC468" s="45"/>
      <c r="AD468" s="44"/>
      <c r="AE468" s="44"/>
      <c r="AF468" s="44"/>
      <c r="AG468" s="45"/>
      <c r="AH468" s="44"/>
      <c r="AI468" s="81"/>
      <c r="AJ468" s="43"/>
      <c r="AK468" s="43"/>
      <c r="AL468" s="43"/>
      <c r="AM468" s="43"/>
    </row>
    <row r="469" spans="2:39" x14ac:dyDescent="0.25">
      <c r="B469" s="48"/>
      <c r="C469" s="47"/>
      <c r="D469" s="47"/>
      <c r="E469" s="47"/>
      <c r="F469" s="44"/>
      <c r="G469" s="44"/>
      <c r="H469" s="46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5"/>
      <c r="T469" s="44"/>
      <c r="U469" s="44"/>
      <c r="V469" s="44"/>
      <c r="W469" s="44"/>
      <c r="X469" s="44"/>
      <c r="Y469" s="44"/>
      <c r="Z469" s="44"/>
      <c r="AA469" s="44"/>
      <c r="AB469" s="44"/>
      <c r="AC469" s="45"/>
      <c r="AD469" s="44"/>
      <c r="AE469" s="44"/>
      <c r="AF469" s="44"/>
      <c r="AG469" s="45"/>
      <c r="AH469" s="44"/>
      <c r="AI469" s="81"/>
      <c r="AJ469" s="43"/>
      <c r="AK469" s="43"/>
      <c r="AL469" s="43"/>
      <c r="AM469" s="43"/>
    </row>
    <row r="470" spans="2:39" x14ac:dyDescent="0.25">
      <c r="B470" s="48"/>
      <c r="C470" s="47"/>
      <c r="D470" s="47"/>
      <c r="E470" s="47"/>
      <c r="F470" s="44"/>
      <c r="G470" s="44"/>
      <c r="H470" s="46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5"/>
      <c r="T470" s="44"/>
      <c r="U470" s="44"/>
      <c r="V470" s="44"/>
      <c r="W470" s="44"/>
      <c r="X470" s="44"/>
      <c r="Y470" s="44"/>
      <c r="Z470" s="44"/>
      <c r="AA470" s="44"/>
      <c r="AB470" s="44"/>
      <c r="AC470" s="45"/>
      <c r="AD470" s="44"/>
      <c r="AE470" s="44"/>
      <c r="AF470" s="44"/>
      <c r="AG470" s="45"/>
      <c r="AH470" s="44"/>
      <c r="AI470" s="81"/>
      <c r="AJ470" s="43"/>
      <c r="AK470" s="43"/>
      <c r="AL470" s="43"/>
      <c r="AM470" s="43"/>
    </row>
    <row r="471" spans="2:39" x14ac:dyDescent="0.25">
      <c r="B471" s="48"/>
      <c r="C471" s="47"/>
      <c r="D471" s="47"/>
      <c r="E471" s="47"/>
      <c r="F471" s="44"/>
      <c r="G471" s="44"/>
      <c r="H471" s="46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5"/>
      <c r="T471" s="44"/>
      <c r="U471" s="44"/>
      <c r="V471" s="44"/>
      <c r="W471" s="44"/>
      <c r="X471" s="44"/>
      <c r="Y471" s="44"/>
      <c r="Z471" s="44"/>
      <c r="AA471" s="44"/>
      <c r="AB471" s="44"/>
      <c r="AC471" s="45"/>
      <c r="AD471" s="44"/>
      <c r="AE471" s="44"/>
      <c r="AF471" s="44"/>
      <c r="AG471" s="45"/>
      <c r="AH471" s="44"/>
      <c r="AI471" s="81"/>
      <c r="AJ471" s="43"/>
      <c r="AK471" s="43"/>
      <c r="AL471" s="43"/>
      <c r="AM471" s="43"/>
    </row>
    <row r="472" spans="2:39" x14ac:dyDescent="0.25">
      <c r="B472" s="48"/>
      <c r="C472" s="47"/>
      <c r="D472" s="47"/>
      <c r="E472" s="47"/>
      <c r="F472" s="44"/>
      <c r="G472" s="44"/>
      <c r="H472" s="46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5"/>
      <c r="T472" s="44"/>
      <c r="U472" s="44"/>
      <c r="V472" s="44"/>
      <c r="W472" s="44"/>
      <c r="X472" s="44"/>
      <c r="Y472" s="44"/>
      <c r="Z472" s="44"/>
      <c r="AA472" s="44"/>
      <c r="AB472" s="44"/>
      <c r="AC472" s="45"/>
      <c r="AD472" s="44"/>
      <c r="AE472" s="44"/>
      <c r="AF472" s="44"/>
      <c r="AG472" s="45"/>
      <c r="AH472" s="44"/>
      <c r="AI472" s="81"/>
      <c r="AJ472" s="43"/>
      <c r="AK472" s="43"/>
      <c r="AL472" s="43"/>
      <c r="AM472" s="43"/>
    </row>
    <row r="473" spans="2:39" x14ac:dyDescent="0.25">
      <c r="B473" s="48"/>
      <c r="C473" s="47"/>
      <c r="D473" s="47"/>
      <c r="E473" s="47"/>
      <c r="F473" s="44"/>
      <c r="G473" s="44"/>
      <c r="H473" s="46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5"/>
      <c r="T473" s="44"/>
      <c r="U473" s="44"/>
      <c r="V473" s="44"/>
      <c r="W473" s="44"/>
      <c r="X473" s="44"/>
      <c r="Y473" s="44"/>
      <c r="Z473" s="44"/>
      <c r="AA473" s="44"/>
      <c r="AB473" s="44"/>
      <c r="AC473" s="45"/>
      <c r="AD473" s="44"/>
      <c r="AE473" s="44"/>
      <c r="AF473" s="44"/>
      <c r="AG473" s="45"/>
      <c r="AH473" s="44"/>
      <c r="AI473" s="81"/>
      <c r="AJ473" s="43"/>
      <c r="AK473" s="43"/>
      <c r="AL473" s="43"/>
      <c r="AM473" s="43"/>
    </row>
    <row r="474" spans="2:39" x14ac:dyDescent="0.25">
      <c r="B474" s="48"/>
      <c r="C474" s="47"/>
      <c r="D474" s="47"/>
      <c r="E474" s="47"/>
      <c r="F474" s="44"/>
      <c r="G474" s="44"/>
      <c r="H474" s="46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5"/>
      <c r="T474" s="44"/>
      <c r="U474" s="44"/>
      <c r="V474" s="44"/>
      <c r="W474" s="44"/>
      <c r="X474" s="44"/>
      <c r="Y474" s="44"/>
      <c r="Z474" s="44"/>
      <c r="AA474" s="44"/>
      <c r="AB474" s="44"/>
      <c r="AC474" s="45"/>
      <c r="AD474" s="44"/>
      <c r="AE474" s="44"/>
      <c r="AF474" s="44"/>
      <c r="AG474" s="45"/>
      <c r="AH474" s="44"/>
      <c r="AI474" s="81"/>
      <c r="AJ474" s="43"/>
      <c r="AK474" s="43"/>
      <c r="AL474" s="43"/>
      <c r="AM474" s="43"/>
    </row>
    <row r="475" spans="2:39" x14ac:dyDescent="0.25">
      <c r="B475" s="48"/>
      <c r="C475" s="47"/>
      <c r="D475" s="47"/>
      <c r="E475" s="47"/>
      <c r="F475" s="44"/>
      <c r="G475" s="44"/>
      <c r="H475" s="46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5"/>
      <c r="T475" s="44"/>
      <c r="U475" s="44"/>
      <c r="V475" s="44"/>
      <c r="W475" s="44"/>
      <c r="X475" s="44"/>
      <c r="Y475" s="44"/>
      <c r="Z475" s="44"/>
      <c r="AA475" s="44"/>
      <c r="AB475" s="44"/>
      <c r="AC475" s="45"/>
      <c r="AD475" s="44"/>
      <c r="AE475" s="44"/>
      <c r="AF475" s="44"/>
      <c r="AG475" s="45"/>
      <c r="AH475" s="44"/>
      <c r="AI475" s="81"/>
      <c r="AJ475" s="43"/>
      <c r="AK475" s="43"/>
      <c r="AL475" s="43"/>
      <c r="AM475" s="43"/>
    </row>
    <row r="476" spans="2:39" x14ac:dyDescent="0.25">
      <c r="B476" s="48"/>
      <c r="C476" s="47"/>
      <c r="D476" s="47"/>
      <c r="E476" s="47"/>
      <c r="F476" s="44"/>
      <c r="G476" s="44"/>
      <c r="H476" s="46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5"/>
      <c r="T476" s="44"/>
      <c r="U476" s="44"/>
      <c r="V476" s="44"/>
      <c r="W476" s="44"/>
      <c r="X476" s="44"/>
      <c r="Y476" s="44"/>
      <c r="Z476" s="44"/>
      <c r="AA476" s="44"/>
      <c r="AB476" s="44"/>
      <c r="AC476" s="45"/>
      <c r="AD476" s="44"/>
      <c r="AE476" s="44"/>
      <c r="AF476" s="44"/>
      <c r="AG476" s="45"/>
      <c r="AH476" s="44"/>
      <c r="AI476" s="81"/>
      <c r="AJ476" s="43"/>
      <c r="AK476" s="43"/>
      <c r="AL476" s="43"/>
      <c r="AM476" s="43"/>
    </row>
    <row r="477" spans="2:39" x14ac:dyDescent="0.25">
      <c r="B477" s="48"/>
      <c r="C477" s="47"/>
      <c r="D477" s="47"/>
      <c r="E477" s="47"/>
      <c r="F477" s="44"/>
      <c r="G477" s="44"/>
      <c r="H477" s="46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5"/>
      <c r="T477" s="44"/>
      <c r="U477" s="44"/>
      <c r="V477" s="44"/>
      <c r="W477" s="44"/>
      <c r="X477" s="44"/>
      <c r="Y477" s="44"/>
      <c r="Z477" s="44"/>
      <c r="AA477" s="44"/>
      <c r="AB477" s="44"/>
      <c r="AC477" s="45"/>
      <c r="AD477" s="44"/>
      <c r="AE477" s="44"/>
      <c r="AF477" s="44"/>
      <c r="AG477" s="45"/>
      <c r="AH477" s="44"/>
      <c r="AI477" s="81"/>
      <c r="AJ477" s="43"/>
      <c r="AK477" s="43"/>
      <c r="AL477" s="43"/>
      <c r="AM477" s="43"/>
    </row>
    <row r="478" spans="2:39" x14ac:dyDescent="0.25">
      <c r="B478" s="48"/>
      <c r="C478" s="47"/>
      <c r="D478" s="47"/>
      <c r="E478" s="47"/>
      <c r="F478" s="44"/>
      <c r="G478" s="44"/>
      <c r="H478" s="46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5"/>
      <c r="T478" s="44"/>
      <c r="U478" s="44"/>
      <c r="V478" s="44"/>
      <c r="W478" s="44"/>
      <c r="X478" s="44"/>
      <c r="Y478" s="44"/>
      <c r="Z478" s="44"/>
      <c r="AA478" s="44"/>
      <c r="AB478" s="44"/>
      <c r="AC478" s="45"/>
      <c r="AD478" s="44"/>
      <c r="AE478" s="44"/>
      <c r="AF478" s="44"/>
      <c r="AG478" s="45"/>
      <c r="AH478" s="44"/>
      <c r="AI478" s="81"/>
      <c r="AJ478" s="43"/>
      <c r="AK478" s="43"/>
      <c r="AL478" s="43"/>
      <c r="AM478" s="43"/>
    </row>
    <row r="479" spans="2:39" x14ac:dyDescent="0.25">
      <c r="B479" s="48"/>
      <c r="C479" s="47"/>
      <c r="D479" s="47"/>
      <c r="E479" s="47"/>
      <c r="F479" s="44"/>
      <c r="G479" s="44"/>
      <c r="H479" s="46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5"/>
      <c r="T479" s="44"/>
      <c r="U479" s="44"/>
      <c r="V479" s="44"/>
      <c r="W479" s="44"/>
      <c r="X479" s="44"/>
      <c r="Y479" s="44"/>
      <c r="Z479" s="44"/>
      <c r="AA479" s="44"/>
      <c r="AB479" s="44"/>
      <c r="AC479" s="45"/>
      <c r="AD479" s="44"/>
      <c r="AE479" s="44"/>
      <c r="AF479" s="44"/>
      <c r="AG479" s="45"/>
      <c r="AH479" s="44"/>
      <c r="AI479" s="81"/>
      <c r="AJ479" s="43"/>
      <c r="AK479" s="43"/>
      <c r="AL479" s="43"/>
      <c r="AM479" s="43"/>
    </row>
    <row r="480" spans="2:39" x14ac:dyDescent="0.25">
      <c r="B480" s="48"/>
      <c r="C480" s="47"/>
      <c r="D480" s="47"/>
      <c r="E480" s="47"/>
      <c r="F480" s="44"/>
      <c r="G480" s="44"/>
      <c r="H480" s="46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5"/>
      <c r="T480" s="44"/>
      <c r="U480" s="44"/>
      <c r="V480" s="44"/>
      <c r="W480" s="44"/>
      <c r="X480" s="44"/>
      <c r="Y480" s="44"/>
      <c r="Z480" s="44"/>
      <c r="AA480" s="44"/>
      <c r="AB480" s="44"/>
      <c r="AC480" s="45"/>
      <c r="AD480" s="44"/>
      <c r="AE480" s="44"/>
      <c r="AF480" s="44"/>
      <c r="AG480" s="45"/>
      <c r="AH480" s="44"/>
      <c r="AI480" s="81"/>
      <c r="AJ480" s="43"/>
      <c r="AK480" s="43"/>
      <c r="AL480" s="43"/>
      <c r="AM480" s="43"/>
    </row>
    <row r="481" spans="2:39" x14ac:dyDescent="0.25">
      <c r="B481" s="48"/>
      <c r="C481" s="47"/>
      <c r="D481" s="47"/>
      <c r="E481" s="47"/>
      <c r="F481" s="44"/>
      <c r="G481" s="44"/>
      <c r="H481" s="46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5"/>
      <c r="T481" s="44"/>
      <c r="U481" s="44"/>
      <c r="V481" s="44"/>
      <c r="W481" s="44"/>
      <c r="X481" s="44"/>
      <c r="Y481" s="44"/>
      <c r="Z481" s="44"/>
      <c r="AA481" s="44"/>
      <c r="AB481" s="44"/>
      <c r="AC481" s="45"/>
      <c r="AD481" s="44"/>
      <c r="AE481" s="44"/>
      <c r="AF481" s="44"/>
      <c r="AG481" s="45"/>
      <c r="AH481" s="44"/>
      <c r="AI481" s="81"/>
      <c r="AJ481" s="43"/>
      <c r="AK481" s="43"/>
      <c r="AL481" s="43"/>
      <c r="AM481" s="43"/>
    </row>
    <row r="482" spans="2:39" x14ac:dyDescent="0.25">
      <c r="B482" s="48"/>
      <c r="C482" s="47"/>
      <c r="D482" s="47"/>
      <c r="E482" s="47"/>
      <c r="F482" s="44"/>
      <c r="G482" s="44"/>
      <c r="H482" s="46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5"/>
      <c r="T482" s="44"/>
      <c r="U482" s="44"/>
      <c r="V482" s="44"/>
      <c r="W482" s="44"/>
      <c r="X482" s="44"/>
      <c r="Y482" s="44"/>
      <c r="Z482" s="44"/>
      <c r="AA482" s="44"/>
      <c r="AB482" s="44"/>
      <c r="AC482" s="45"/>
      <c r="AD482" s="44"/>
      <c r="AE482" s="44"/>
      <c r="AF482" s="44"/>
      <c r="AG482" s="45"/>
      <c r="AH482" s="44"/>
      <c r="AI482" s="81"/>
      <c r="AJ482" s="43"/>
      <c r="AK482" s="43"/>
      <c r="AL482" s="43"/>
      <c r="AM482" s="43"/>
    </row>
    <row r="483" spans="2:39" x14ac:dyDescent="0.25">
      <c r="B483" s="48"/>
      <c r="C483" s="47"/>
      <c r="D483" s="47"/>
      <c r="E483" s="47"/>
      <c r="F483" s="44"/>
      <c r="G483" s="44"/>
      <c r="H483" s="46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5"/>
      <c r="T483" s="44"/>
      <c r="U483" s="44"/>
      <c r="V483" s="44"/>
      <c r="W483" s="44"/>
      <c r="X483" s="44"/>
      <c r="Y483" s="44"/>
      <c r="Z483" s="44"/>
      <c r="AA483" s="44"/>
      <c r="AB483" s="44"/>
      <c r="AC483" s="45"/>
      <c r="AD483" s="44"/>
      <c r="AE483" s="44"/>
      <c r="AF483" s="44"/>
      <c r="AG483" s="45"/>
      <c r="AH483" s="44"/>
      <c r="AI483" s="81"/>
      <c r="AJ483" s="43"/>
      <c r="AK483" s="43"/>
      <c r="AL483" s="43"/>
      <c r="AM483" s="43"/>
    </row>
    <row r="484" spans="2:39" x14ac:dyDescent="0.25">
      <c r="B484" s="48"/>
      <c r="C484" s="47"/>
      <c r="D484" s="47"/>
      <c r="E484" s="47"/>
      <c r="F484" s="44"/>
      <c r="G484" s="44"/>
      <c r="H484" s="46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5"/>
      <c r="T484" s="44"/>
      <c r="U484" s="44"/>
      <c r="V484" s="44"/>
      <c r="W484" s="44"/>
      <c r="X484" s="44"/>
      <c r="Y484" s="44"/>
      <c r="Z484" s="44"/>
      <c r="AA484" s="44"/>
      <c r="AB484" s="44"/>
      <c r="AC484" s="45"/>
      <c r="AD484" s="44"/>
      <c r="AE484" s="44"/>
      <c r="AF484" s="44"/>
      <c r="AG484" s="45"/>
      <c r="AH484" s="44"/>
      <c r="AI484" s="81"/>
      <c r="AJ484" s="43"/>
      <c r="AK484" s="43"/>
      <c r="AL484" s="43"/>
      <c r="AM484" s="43"/>
    </row>
    <row r="485" spans="2:39" x14ac:dyDescent="0.25">
      <c r="B485" s="48"/>
      <c r="C485" s="47"/>
      <c r="D485" s="47"/>
      <c r="E485" s="47"/>
      <c r="F485" s="44"/>
      <c r="G485" s="44"/>
      <c r="H485" s="46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5"/>
      <c r="T485" s="44"/>
      <c r="U485" s="44"/>
      <c r="V485" s="44"/>
      <c r="W485" s="44"/>
      <c r="X485" s="44"/>
      <c r="Y485" s="44"/>
      <c r="Z485" s="44"/>
      <c r="AA485" s="44"/>
      <c r="AB485" s="44"/>
      <c r="AC485" s="45"/>
      <c r="AD485" s="44"/>
      <c r="AE485" s="44"/>
      <c r="AF485" s="44"/>
      <c r="AG485" s="45"/>
      <c r="AH485" s="44"/>
      <c r="AI485" s="81"/>
      <c r="AJ485" s="43"/>
      <c r="AK485" s="43"/>
      <c r="AL485" s="43"/>
      <c r="AM485" s="43"/>
    </row>
    <row r="486" spans="2:39" x14ac:dyDescent="0.25">
      <c r="B486" s="48"/>
      <c r="C486" s="47"/>
      <c r="D486" s="47"/>
      <c r="E486" s="47"/>
      <c r="F486" s="44"/>
      <c r="G486" s="44"/>
      <c r="H486" s="46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5"/>
      <c r="T486" s="44"/>
      <c r="U486" s="44"/>
      <c r="V486" s="44"/>
      <c r="W486" s="44"/>
      <c r="X486" s="44"/>
      <c r="Y486" s="44"/>
      <c r="Z486" s="44"/>
      <c r="AA486" s="44"/>
      <c r="AB486" s="44"/>
      <c r="AC486" s="45"/>
      <c r="AD486" s="44"/>
      <c r="AE486" s="44"/>
      <c r="AF486" s="44"/>
      <c r="AG486" s="45"/>
      <c r="AH486" s="44"/>
      <c r="AI486" s="81"/>
      <c r="AJ486" s="43"/>
      <c r="AK486" s="43"/>
      <c r="AL486" s="43"/>
      <c r="AM486" s="43"/>
    </row>
    <row r="487" spans="2:39" x14ac:dyDescent="0.25">
      <c r="B487" s="48"/>
      <c r="C487" s="47"/>
      <c r="D487" s="47"/>
      <c r="E487" s="47"/>
      <c r="F487" s="44"/>
      <c r="G487" s="44"/>
      <c r="H487" s="46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5"/>
      <c r="T487" s="44"/>
      <c r="U487" s="44"/>
      <c r="V487" s="44"/>
      <c r="W487" s="44"/>
      <c r="X487" s="44"/>
      <c r="Y487" s="44"/>
      <c r="Z487" s="44"/>
      <c r="AA487" s="44"/>
      <c r="AB487" s="44"/>
      <c r="AC487" s="45"/>
      <c r="AD487" s="44"/>
      <c r="AE487" s="44"/>
      <c r="AF487" s="44"/>
      <c r="AG487" s="45"/>
      <c r="AH487" s="44"/>
      <c r="AI487" s="81"/>
      <c r="AJ487" s="43"/>
      <c r="AK487" s="43"/>
      <c r="AL487" s="43"/>
      <c r="AM487" s="43"/>
    </row>
    <row r="488" spans="2:39" x14ac:dyDescent="0.25">
      <c r="B488" s="48"/>
      <c r="C488" s="47"/>
      <c r="D488" s="47"/>
      <c r="E488" s="47"/>
      <c r="F488" s="44"/>
      <c r="G488" s="44"/>
      <c r="H488" s="46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5"/>
      <c r="T488" s="44"/>
      <c r="U488" s="44"/>
      <c r="V488" s="44"/>
      <c r="W488" s="44"/>
      <c r="X488" s="44"/>
      <c r="Y488" s="44"/>
      <c r="Z488" s="44"/>
      <c r="AA488" s="44"/>
      <c r="AB488" s="44"/>
      <c r="AC488" s="45"/>
      <c r="AD488" s="44"/>
      <c r="AE488" s="44"/>
      <c r="AF488" s="44"/>
      <c r="AG488" s="45"/>
      <c r="AH488" s="44"/>
      <c r="AI488" s="81"/>
      <c r="AJ488" s="43"/>
      <c r="AK488" s="43"/>
      <c r="AL488" s="43"/>
      <c r="AM488" s="43"/>
    </row>
    <row r="489" spans="2:39" x14ac:dyDescent="0.25">
      <c r="B489" s="48"/>
      <c r="C489" s="47"/>
      <c r="D489" s="47"/>
      <c r="E489" s="47"/>
      <c r="F489" s="44"/>
      <c r="G489" s="44"/>
      <c r="H489" s="46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5"/>
      <c r="T489" s="44"/>
      <c r="U489" s="44"/>
      <c r="V489" s="44"/>
      <c r="W489" s="44"/>
      <c r="X489" s="44"/>
      <c r="Y489" s="44"/>
      <c r="Z489" s="44"/>
      <c r="AA489" s="44"/>
      <c r="AB489" s="44"/>
      <c r="AC489" s="45"/>
      <c r="AD489" s="44"/>
      <c r="AE489" s="44"/>
      <c r="AF489" s="44"/>
      <c r="AG489" s="45"/>
      <c r="AH489" s="44"/>
      <c r="AI489" s="81"/>
      <c r="AJ489" s="43"/>
      <c r="AK489" s="43"/>
      <c r="AL489" s="43"/>
      <c r="AM489" s="43"/>
    </row>
    <row r="490" spans="2:39" x14ac:dyDescent="0.25">
      <c r="B490" s="48"/>
      <c r="C490" s="47"/>
      <c r="D490" s="47"/>
      <c r="E490" s="47"/>
      <c r="F490" s="44"/>
      <c r="G490" s="44"/>
      <c r="H490" s="46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5"/>
      <c r="T490" s="44"/>
      <c r="U490" s="44"/>
      <c r="V490" s="44"/>
      <c r="W490" s="44"/>
      <c r="X490" s="44"/>
      <c r="Y490" s="44"/>
      <c r="Z490" s="44"/>
      <c r="AA490" s="44"/>
      <c r="AB490" s="44"/>
      <c r="AC490" s="45"/>
      <c r="AD490" s="44"/>
      <c r="AE490" s="44"/>
      <c r="AF490" s="44"/>
      <c r="AG490" s="45"/>
      <c r="AH490" s="44"/>
      <c r="AI490" s="81"/>
      <c r="AJ490" s="43"/>
      <c r="AK490" s="43"/>
      <c r="AL490" s="43"/>
      <c r="AM490" s="43"/>
    </row>
    <row r="491" spans="2:39" x14ac:dyDescent="0.25">
      <c r="B491" s="48"/>
      <c r="C491" s="47"/>
      <c r="D491" s="47"/>
      <c r="E491" s="47"/>
      <c r="F491" s="44"/>
      <c r="G491" s="44"/>
      <c r="H491" s="46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5"/>
      <c r="T491" s="44"/>
      <c r="U491" s="44"/>
      <c r="V491" s="44"/>
      <c r="W491" s="44"/>
      <c r="X491" s="44"/>
      <c r="Y491" s="44"/>
      <c r="Z491" s="44"/>
      <c r="AA491" s="44"/>
      <c r="AB491" s="44"/>
      <c r="AC491" s="45"/>
      <c r="AD491" s="44"/>
      <c r="AE491" s="44"/>
      <c r="AF491" s="44"/>
      <c r="AG491" s="45"/>
      <c r="AH491" s="44"/>
      <c r="AI491" s="81"/>
      <c r="AJ491" s="43"/>
      <c r="AK491" s="43"/>
      <c r="AL491" s="43"/>
      <c r="AM491" s="43"/>
    </row>
    <row r="492" spans="2:39" x14ac:dyDescent="0.25">
      <c r="B492" s="48"/>
      <c r="C492" s="47"/>
      <c r="D492" s="47"/>
      <c r="E492" s="47"/>
      <c r="F492" s="44"/>
      <c r="G492" s="44"/>
      <c r="H492" s="46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5"/>
      <c r="T492" s="44"/>
      <c r="U492" s="44"/>
      <c r="V492" s="44"/>
      <c r="W492" s="44"/>
      <c r="X492" s="44"/>
      <c r="Y492" s="44"/>
      <c r="Z492" s="44"/>
      <c r="AA492" s="44"/>
      <c r="AB492" s="44"/>
      <c r="AC492" s="45"/>
      <c r="AD492" s="44"/>
      <c r="AE492" s="44"/>
      <c r="AF492" s="44"/>
      <c r="AG492" s="45"/>
      <c r="AH492" s="44"/>
      <c r="AI492" s="81"/>
      <c r="AJ492" s="43"/>
      <c r="AK492" s="43"/>
      <c r="AL492" s="43"/>
      <c r="AM492" s="43"/>
    </row>
    <row r="493" spans="2:39" x14ac:dyDescent="0.25">
      <c r="B493" s="48"/>
      <c r="C493" s="47"/>
      <c r="D493" s="47"/>
      <c r="E493" s="47"/>
      <c r="F493" s="44"/>
      <c r="G493" s="44"/>
      <c r="H493" s="46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5"/>
      <c r="T493" s="44"/>
      <c r="U493" s="44"/>
      <c r="V493" s="44"/>
      <c r="W493" s="44"/>
      <c r="X493" s="44"/>
      <c r="Y493" s="44"/>
      <c r="Z493" s="44"/>
      <c r="AA493" s="44"/>
      <c r="AB493" s="44"/>
      <c r="AC493" s="45"/>
      <c r="AD493" s="44"/>
      <c r="AE493" s="44"/>
      <c r="AF493" s="44"/>
      <c r="AG493" s="45"/>
      <c r="AH493" s="44"/>
      <c r="AI493" s="81"/>
      <c r="AJ493" s="43"/>
      <c r="AK493" s="43"/>
      <c r="AL493" s="43"/>
      <c r="AM493" s="43"/>
    </row>
    <row r="494" spans="2:39" x14ac:dyDescent="0.25">
      <c r="B494" s="48"/>
      <c r="C494" s="47"/>
      <c r="D494" s="47"/>
      <c r="E494" s="47"/>
      <c r="F494" s="44"/>
      <c r="G494" s="44"/>
      <c r="H494" s="46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5"/>
      <c r="T494" s="44"/>
      <c r="U494" s="44"/>
      <c r="V494" s="44"/>
      <c r="W494" s="44"/>
      <c r="X494" s="44"/>
      <c r="Y494" s="44"/>
      <c r="Z494" s="44"/>
      <c r="AA494" s="44"/>
      <c r="AB494" s="44"/>
      <c r="AC494" s="45"/>
      <c r="AD494" s="44"/>
      <c r="AE494" s="44"/>
      <c r="AF494" s="44"/>
      <c r="AG494" s="45"/>
      <c r="AH494" s="44"/>
      <c r="AI494" s="81"/>
      <c r="AJ494" s="43"/>
      <c r="AK494" s="43"/>
      <c r="AL494" s="43"/>
      <c r="AM494" s="43"/>
    </row>
    <row r="495" spans="2:39" x14ac:dyDescent="0.25">
      <c r="B495" s="48"/>
      <c r="C495" s="47"/>
      <c r="D495" s="47"/>
      <c r="E495" s="47"/>
      <c r="F495" s="44"/>
      <c r="G495" s="44"/>
      <c r="H495" s="46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5"/>
      <c r="T495" s="44"/>
      <c r="U495" s="44"/>
      <c r="V495" s="44"/>
      <c r="W495" s="44"/>
      <c r="X495" s="44"/>
      <c r="Y495" s="44"/>
      <c r="Z495" s="44"/>
      <c r="AA495" s="44"/>
      <c r="AB495" s="44"/>
      <c r="AC495" s="45"/>
      <c r="AD495" s="44"/>
      <c r="AE495" s="44"/>
      <c r="AF495" s="44"/>
      <c r="AG495" s="45"/>
      <c r="AH495" s="44"/>
      <c r="AI495" s="81"/>
      <c r="AJ495" s="43"/>
      <c r="AK495" s="43"/>
      <c r="AL495" s="43"/>
      <c r="AM495" s="43"/>
    </row>
    <row r="496" spans="2:39" x14ac:dyDescent="0.25">
      <c r="B496" s="48"/>
      <c r="C496" s="47"/>
      <c r="D496" s="47"/>
      <c r="E496" s="47"/>
      <c r="F496" s="44"/>
      <c r="G496" s="44"/>
      <c r="H496" s="46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5"/>
      <c r="T496" s="44"/>
      <c r="U496" s="44"/>
      <c r="V496" s="44"/>
      <c r="W496" s="44"/>
      <c r="X496" s="44"/>
      <c r="Y496" s="44"/>
      <c r="Z496" s="44"/>
      <c r="AA496" s="44"/>
      <c r="AB496" s="44"/>
      <c r="AC496" s="45"/>
      <c r="AD496" s="44"/>
      <c r="AE496" s="44"/>
      <c r="AF496" s="44"/>
      <c r="AG496" s="45"/>
      <c r="AH496" s="44"/>
      <c r="AI496" s="81"/>
      <c r="AJ496" s="43"/>
      <c r="AK496" s="43"/>
      <c r="AL496" s="43"/>
      <c r="AM496" s="43"/>
    </row>
    <row r="497" spans="2:39" x14ac:dyDescent="0.25">
      <c r="B497" s="48"/>
      <c r="C497" s="47"/>
      <c r="D497" s="47"/>
      <c r="E497" s="47"/>
      <c r="F497" s="44"/>
      <c r="G497" s="44"/>
      <c r="H497" s="46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5"/>
      <c r="T497" s="44"/>
      <c r="U497" s="44"/>
      <c r="V497" s="44"/>
      <c r="W497" s="44"/>
      <c r="X497" s="44"/>
      <c r="Y497" s="44"/>
      <c r="Z497" s="44"/>
      <c r="AA497" s="44"/>
      <c r="AB497" s="44"/>
      <c r="AC497" s="45"/>
      <c r="AD497" s="44"/>
      <c r="AE497" s="44"/>
      <c r="AF497" s="44"/>
      <c r="AG497" s="45"/>
      <c r="AH497" s="44"/>
      <c r="AI497" s="81"/>
      <c r="AJ497" s="43"/>
      <c r="AK497" s="43"/>
      <c r="AL497" s="43"/>
      <c r="AM497" s="43"/>
    </row>
    <row r="498" spans="2:39" x14ac:dyDescent="0.25">
      <c r="B498" s="48"/>
      <c r="C498" s="47"/>
      <c r="D498" s="47"/>
      <c r="E498" s="47"/>
      <c r="F498" s="44"/>
      <c r="G498" s="44"/>
      <c r="H498" s="46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5"/>
      <c r="T498" s="44"/>
      <c r="U498" s="44"/>
      <c r="V498" s="44"/>
      <c r="W498" s="44"/>
      <c r="X498" s="44"/>
      <c r="Y498" s="44"/>
      <c r="Z498" s="44"/>
      <c r="AA498" s="44"/>
      <c r="AB498" s="44"/>
      <c r="AC498" s="45"/>
      <c r="AD498" s="44"/>
      <c r="AE498" s="44"/>
      <c r="AF498" s="44"/>
      <c r="AG498" s="45"/>
      <c r="AH498" s="44"/>
      <c r="AI498" s="81"/>
      <c r="AJ498" s="43"/>
      <c r="AK498" s="43"/>
      <c r="AL498" s="43"/>
      <c r="AM498" s="43"/>
    </row>
    <row r="499" spans="2:39" x14ac:dyDescent="0.25">
      <c r="B499" s="48"/>
      <c r="C499" s="47"/>
      <c r="D499" s="47"/>
      <c r="E499" s="47"/>
      <c r="F499" s="44"/>
      <c r="G499" s="44"/>
      <c r="H499" s="46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5"/>
      <c r="T499" s="44"/>
      <c r="U499" s="44"/>
      <c r="V499" s="44"/>
      <c r="W499" s="44"/>
      <c r="X499" s="44"/>
      <c r="Y499" s="44"/>
      <c r="Z499" s="44"/>
      <c r="AA499" s="44"/>
      <c r="AB499" s="44"/>
      <c r="AC499" s="45"/>
      <c r="AD499" s="44"/>
      <c r="AE499" s="44"/>
      <c r="AF499" s="44"/>
      <c r="AG499" s="45"/>
      <c r="AH499" s="44"/>
      <c r="AI499" s="81"/>
      <c r="AJ499" s="43"/>
      <c r="AK499" s="43"/>
      <c r="AL499" s="43"/>
      <c r="AM499" s="43"/>
    </row>
    <row r="500" spans="2:39" x14ac:dyDescent="0.25">
      <c r="B500" s="48"/>
      <c r="C500" s="47"/>
      <c r="D500" s="47"/>
      <c r="E500" s="47"/>
      <c r="F500" s="44"/>
      <c r="G500" s="44"/>
      <c r="H500" s="46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5"/>
      <c r="T500" s="44"/>
      <c r="U500" s="44"/>
      <c r="V500" s="44"/>
      <c r="W500" s="44"/>
      <c r="X500" s="44"/>
      <c r="Y500" s="44"/>
      <c r="Z500" s="44"/>
      <c r="AA500" s="44"/>
      <c r="AB500" s="44"/>
      <c r="AC500" s="45"/>
      <c r="AD500" s="44"/>
      <c r="AE500" s="44"/>
      <c r="AF500" s="44"/>
      <c r="AG500" s="45"/>
      <c r="AH500" s="44"/>
      <c r="AI500" s="81"/>
      <c r="AJ500" s="43"/>
      <c r="AK500" s="43"/>
      <c r="AL500" s="43"/>
      <c r="AM500" s="43"/>
    </row>
    <row r="501" spans="2:39" x14ac:dyDescent="0.25">
      <c r="B501" s="48"/>
      <c r="C501" s="47"/>
      <c r="D501" s="47"/>
      <c r="E501" s="47"/>
      <c r="F501" s="44"/>
      <c r="G501" s="44"/>
      <c r="H501" s="46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5"/>
      <c r="T501" s="44"/>
      <c r="U501" s="44"/>
      <c r="V501" s="44"/>
      <c r="W501" s="44"/>
      <c r="X501" s="44"/>
      <c r="Y501" s="44"/>
      <c r="Z501" s="44"/>
      <c r="AA501" s="44"/>
      <c r="AB501" s="44"/>
      <c r="AC501" s="45"/>
      <c r="AD501" s="44"/>
      <c r="AE501" s="44"/>
      <c r="AF501" s="44"/>
      <c r="AG501" s="45"/>
      <c r="AH501" s="44"/>
      <c r="AI501" s="81"/>
      <c r="AJ501" s="43"/>
      <c r="AK501" s="43"/>
      <c r="AL501" s="43"/>
      <c r="AM501" s="43"/>
    </row>
    <row r="502" spans="2:39" x14ac:dyDescent="0.25">
      <c r="B502" s="48"/>
      <c r="C502" s="47"/>
      <c r="D502" s="47"/>
      <c r="E502" s="47"/>
      <c r="F502" s="44"/>
      <c r="G502" s="44"/>
      <c r="H502" s="46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5"/>
      <c r="T502" s="44"/>
      <c r="U502" s="44"/>
      <c r="V502" s="44"/>
      <c r="W502" s="44"/>
      <c r="X502" s="44"/>
      <c r="Y502" s="44"/>
      <c r="Z502" s="44"/>
      <c r="AA502" s="44"/>
      <c r="AB502" s="44"/>
      <c r="AC502" s="45"/>
      <c r="AD502" s="44"/>
      <c r="AE502" s="44"/>
      <c r="AF502" s="44"/>
      <c r="AG502" s="45"/>
      <c r="AH502" s="44"/>
      <c r="AI502" s="81"/>
      <c r="AJ502" s="43"/>
      <c r="AK502" s="43"/>
      <c r="AL502" s="43"/>
      <c r="AM502" s="43"/>
    </row>
    <row r="503" spans="2:39" x14ac:dyDescent="0.25">
      <c r="B503" s="48"/>
      <c r="C503" s="47"/>
      <c r="D503" s="47"/>
      <c r="E503" s="47"/>
      <c r="F503" s="44"/>
      <c r="G503" s="44"/>
      <c r="H503" s="46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5"/>
      <c r="T503" s="44"/>
      <c r="U503" s="44"/>
      <c r="V503" s="44"/>
      <c r="W503" s="44"/>
      <c r="X503" s="44"/>
      <c r="Y503" s="44"/>
      <c r="Z503" s="44"/>
      <c r="AA503" s="44"/>
      <c r="AB503" s="44"/>
      <c r="AC503" s="45"/>
      <c r="AD503" s="44"/>
      <c r="AE503" s="44"/>
      <c r="AF503" s="44"/>
      <c r="AG503" s="45"/>
      <c r="AH503" s="44"/>
      <c r="AI503" s="81"/>
      <c r="AJ503" s="43"/>
      <c r="AK503" s="43"/>
      <c r="AL503" s="43"/>
      <c r="AM503" s="43"/>
    </row>
    <row r="504" spans="2:39" x14ac:dyDescent="0.25">
      <c r="B504" s="48"/>
      <c r="C504" s="47"/>
      <c r="D504" s="47"/>
      <c r="E504" s="47"/>
      <c r="F504" s="44"/>
      <c r="G504" s="44"/>
      <c r="H504" s="46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5"/>
      <c r="T504" s="44"/>
      <c r="U504" s="44"/>
      <c r="V504" s="44"/>
      <c r="W504" s="44"/>
      <c r="X504" s="44"/>
      <c r="Y504" s="44"/>
      <c r="Z504" s="44"/>
      <c r="AA504" s="44"/>
      <c r="AB504" s="44"/>
      <c r="AC504" s="45"/>
      <c r="AD504" s="44"/>
      <c r="AE504" s="44"/>
      <c r="AF504" s="44"/>
      <c r="AG504" s="45"/>
      <c r="AH504" s="44"/>
      <c r="AI504" s="81"/>
      <c r="AJ504" s="43"/>
      <c r="AK504" s="43"/>
      <c r="AL504" s="43"/>
      <c r="AM504" s="43"/>
    </row>
    <row r="505" spans="2:39" x14ac:dyDescent="0.25">
      <c r="B505" s="48"/>
      <c r="C505" s="47"/>
      <c r="D505" s="47"/>
      <c r="E505" s="47"/>
      <c r="F505" s="44"/>
      <c r="G505" s="44"/>
      <c r="H505" s="46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5"/>
      <c r="T505" s="44"/>
      <c r="U505" s="44"/>
      <c r="V505" s="44"/>
      <c r="W505" s="44"/>
      <c r="X505" s="44"/>
      <c r="Y505" s="44"/>
      <c r="Z505" s="44"/>
      <c r="AA505" s="44"/>
      <c r="AB505" s="44"/>
      <c r="AC505" s="45"/>
      <c r="AD505" s="44"/>
      <c r="AE505" s="44"/>
      <c r="AF505" s="44"/>
      <c r="AG505" s="45"/>
      <c r="AH505" s="44"/>
      <c r="AI505" s="81"/>
      <c r="AJ505" s="43"/>
      <c r="AK505" s="43"/>
      <c r="AL505" s="43"/>
      <c r="AM505" s="43"/>
    </row>
    <row r="506" spans="2:39" x14ac:dyDescent="0.25">
      <c r="B506" s="48"/>
      <c r="C506" s="47"/>
      <c r="D506" s="47"/>
      <c r="E506" s="47"/>
      <c r="F506" s="44"/>
      <c r="G506" s="44"/>
      <c r="H506" s="46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5"/>
      <c r="T506" s="44"/>
      <c r="U506" s="44"/>
      <c r="V506" s="44"/>
      <c r="W506" s="44"/>
      <c r="X506" s="44"/>
      <c r="Y506" s="44"/>
      <c r="Z506" s="44"/>
      <c r="AA506" s="44"/>
      <c r="AB506" s="44"/>
      <c r="AC506" s="45"/>
      <c r="AD506" s="44"/>
      <c r="AE506" s="44"/>
      <c r="AF506" s="44"/>
      <c r="AG506" s="45"/>
      <c r="AH506" s="44"/>
      <c r="AI506" s="81"/>
      <c r="AJ506" s="43"/>
      <c r="AK506" s="43"/>
      <c r="AL506" s="43"/>
      <c r="AM506" s="43"/>
    </row>
    <row r="507" spans="2:39" x14ac:dyDescent="0.25">
      <c r="B507" s="48"/>
      <c r="C507" s="47"/>
      <c r="D507" s="47"/>
      <c r="E507" s="47"/>
      <c r="F507" s="44"/>
      <c r="G507" s="44"/>
      <c r="H507" s="46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5"/>
      <c r="T507" s="44"/>
      <c r="U507" s="44"/>
      <c r="V507" s="44"/>
      <c r="W507" s="44"/>
      <c r="X507" s="44"/>
      <c r="Y507" s="44"/>
      <c r="Z507" s="44"/>
      <c r="AA507" s="44"/>
      <c r="AB507" s="44"/>
      <c r="AC507" s="45"/>
      <c r="AD507" s="44"/>
      <c r="AE507" s="44"/>
      <c r="AF507" s="44"/>
      <c r="AG507" s="45"/>
      <c r="AH507" s="44"/>
      <c r="AI507" s="81"/>
      <c r="AJ507" s="43"/>
      <c r="AK507" s="43"/>
      <c r="AL507" s="43"/>
      <c r="AM507" s="43"/>
    </row>
    <row r="508" spans="2:39" x14ac:dyDescent="0.25">
      <c r="B508" s="48"/>
      <c r="C508" s="47"/>
      <c r="D508" s="47"/>
      <c r="E508" s="47"/>
      <c r="F508" s="44"/>
      <c r="G508" s="44"/>
      <c r="H508" s="46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5"/>
      <c r="T508" s="44"/>
      <c r="U508" s="44"/>
      <c r="V508" s="44"/>
      <c r="W508" s="44"/>
      <c r="X508" s="44"/>
      <c r="Y508" s="44"/>
      <c r="Z508" s="44"/>
      <c r="AA508" s="44"/>
      <c r="AB508" s="44"/>
      <c r="AC508" s="45"/>
      <c r="AD508" s="44"/>
      <c r="AE508" s="44"/>
      <c r="AF508" s="44"/>
      <c r="AG508" s="45"/>
      <c r="AH508" s="44"/>
      <c r="AI508" s="81"/>
      <c r="AJ508" s="43"/>
      <c r="AK508" s="43"/>
      <c r="AL508" s="43"/>
      <c r="AM508" s="43"/>
    </row>
    <row r="509" spans="2:39" x14ac:dyDescent="0.25">
      <c r="B509" s="48"/>
      <c r="C509" s="47"/>
      <c r="D509" s="47"/>
      <c r="E509" s="47"/>
      <c r="F509" s="44"/>
      <c r="G509" s="44"/>
      <c r="H509" s="46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5"/>
      <c r="T509" s="44"/>
      <c r="U509" s="44"/>
      <c r="V509" s="44"/>
      <c r="W509" s="44"/>
      <c r="X509" s="44"/>
      <c r="Y509" s="44"/>
      <c r="Z509" s="44"/>
      <c r="AA509" s="44"/>
      <c r="AB509" s="44"/>
      <c r="AC509" s="45"/>
      <c r="AD509" s="44"/>
      <c r="AE509" s="44"/>
      <c r="AF509" s="44"/>
      <c r="AG509" s="45"/>
      <c r="AH509" s="44"/>
      <c r="AI509" s="81"/>
      <c r="AJ509" s="43"/>
      <c r="AK509" s="43"/>
      <c r="AL509" s="43"/>
      <c r="AM509" s="43"/>
    </row>
    <row r="510" spans="2:39" x14ac:dyDescent="0.25">
      <c r="B510" s="48"/>
      <c r="C510" s="47"/>
      <c r="D510" s="47"/>
      <c r="E510" s="47"/>
      <c r="F510" s="44"/>
      <c r="G510" s="44"/>
      <c r="H510" s="46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5"/>
      <c r="T510" s="44"/>
      <c r="U510" s="44"/>
      <c r="V510" s="44"/>
      <c r="W510" s="44"/>
      <c r="X510" s="44"/>
      <c r="Y510" s="44"/>
      <c r="Z510" s="44"/>
      <c r="AA510" s="44"/>
      <c r="AB510" s="44"/>
      <c r="AC510" s="45"/>
      <c r="AD510" s="44"/>
      <c r="AE510" s="44"/>
      <c r="AF510" s="44"/>
      <c r="AG510" s="45"/>
      <c r="AH510" s="44"/>
      <c r="AI510" s="81"/>
      <c r="AJ510" s="43"/>
      <c r="AK510" s="43"/>
      <c r="AL510" s="43"/>
      <c r="AM510" s="43"/>
    </row>
    <row r="511" spans="2:39" x14ac:dyDescent="0.25">
      <c r="B511" s="48"/>
      <c r="C511" s="47"/>
      <c r="D511" s="47"/>
      <c r="E511" s="47"/>
      <c r="F511" s="44"/>
      <c r="G511" s="44"/>
      <c r="H511" s="46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5"/>
      <c r="T511" s="44"/>
      <c r="U511" s="44"/>
      <c r="V511" s="44"/>
      <c r="W511" s="44"/>
      <c r="X511" s="44"/>
      <c r="Y511" s="44"/>
      <c r="Z511" s="44"/>
      <c r="AA511" s="44"/>
      <c r="AB511" s="44"/>
      <c r="AC511" s="45"/>
      <c r="AD511" s="44"/>
      <c r="AE511" s="44"/>
      <c r="AF511" s="44"/>
      <c r="AG511" s="45"/>
      <c r="AH511" s="44"/>
      <c r="AI511" s="81"/>
      <c r="AJ511" s="43"/>
      <c r="AK511" s="43"/>
      <c r="AL511" s="43"/>
      <c r="AM511" s="43"/>
    </row>
    <row r="512" spans="2:39" x14ac:dyDescent="0.25">
      <c r="B512" s="48"/>
      <c r="C512" s="47"/>
      <c r="D512" s="47"/>
      <c r="E512" s="47"/>
      <c r="F512" s="44"/>
      <c r="G512" s="44"/>
      <c r="H512" s="46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5"/>
      <c r="T512" s="44"/>
      <c r="U512" s="44"/>
      <c r="V512" s="44"/>
      <c r="W512" s="44"/>
      <c r="X512" s="44"/>
      <c r="Y512" s="44"/>
      <c r="Z512" s="44"/>
      <c r="AA512" s="44"/>
      <c r="AB512" s="44"/>
      <c r="AC512" s="45"/>
      <c r="AD512" s="44"/>
      <c r="AE512" s="44"/>
      <c r="AF512" s="44"/>
      <c r="AG512" s="45"/>
      <c r="AH512" s="44"/>
      <c r="AI512" s="81"/>
      <c r="AJ512" s="43"/>
      <c r="AK512" s="43"/>
      <c r="AL512" s="43"/>
      <c r="AM512" s="43"/>
    </row>
    <row r="513" spans="2:39" x14ac:dyDescent="0.25">
      <c r="B513" s="48"/>
      <c r="C513" s="47"/>
      <c r="D513" s="47"/>
      <c r="E513" s="47"/>
      <c r="F513" s="44"/>
      <c r="G513" s="44"/>
      <c r="H513" s="46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5"/>
      <c r="T513" s="44"/>
      <c r="U513" s="44"/>
      <c r="V513" s="44"/>
      <c r="W513" s="44"/>
      <c r="X513" s="44"/>
      <c r="Y513" s="44"/>
      <c r="Z513" s="44"/>
      <c r="AA513" s="44"/>
      <c r="AB513" s="44"/>
      <c r="AC513" s="45"/>
      <c r="AD513" s="44"/>
      <c r="AE513" s="44"/>
      <c r="AF513" s="44"/>
      <c r="AG513" s="45"/>
      <c r="AH513" s="44"/>
      <c r="AI513" s="81"/>
      <c r="AJ513" s="43"/>
      <c r="AK513" s="43"/>
      <c r="AL513" s="43"/>
      <c r="AM513" s="43"/>
    </row>
    <row r="514" spans="2:39" x14ac:dyDescent="0.25">
      <c r="B514" s="48"/>
      <c r="C514" s="47"/>
      <c r="D514" s="47"/>
      <c r="E514" s="47"/>
      <c r="F514" s="44"/>
      <c r="G514" s="44"/>
      <c r="H514" s="46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5"/>
      <c r="T514" s="44"/>
      <c r="U514" s="44"/>
      <c r="V514" s="44"/>
      <c r="W514" s="44"/>
      <c r="X514" s="44"/>
      <c r="Y514" s="44"/>
      <c r="Z514" s="44"/>
      <c r="AA514" s="44"/>
      <c r="AB514" s="44"/>
      <c r="AC514" s="45"/>
      <c r="AD514" s="44"/>
      <c r="AE514" s="44"/>
      <c r="AF514" s="44"/>
      <c r="AG514" s="45"/>
      <c r="AH514" s="44"/>
      <c r="AI514" s="81"/>
      <c r="AJ514" s="43"/>
      <c r="AK514" s="43"/>
      <c r="AL514" s="43"/>
      <c r="AM514" s="43"/>
    </row>
    <row r="515" spans="2:39" x14ac:dyDescent="0.25">
      <c r="B515" s="48"/>
      <c r="C515" s="47"/>
      <c r="D515" s="47"/>
      <c r="E515" s="47"/>
      <c r="F515" s="44"/>
      <c r="G515" s="44"/>
      <c r="H515" s="46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5"/>
      <c r="T515" s="44"/>
      <c r="U515" s="44"/>
      <c r="V515" s="44"/>
      <c r="W515" s="44"/>
      <c r="X515" s="44"/>
      <c r="Y515" s="44"/>
      <c r="Z515" s="44"/>
      <c r="AA515" s="44"/>
      <c r="AB515" s="44"/>
      <c r="AC515" s="45"/>
      <c r="AD515" s="44"/>
      <c r="AE515" s="44"/>
      <c r="AF515" s="44"/>
      <c r="AG515" s="45"/>
      <c r="AH515" s="44"/>
      <c r="AI515" s="81"/>
      <c r="AJ515" s="43"/>
      <c r="AK515" s="43"/>
      <c r="AL515" s="43"/>
      <c r="AM515" s="43"/>
    </row>
    <row r="516" spans="2:39" x14ac:dyDescent="0.25">
      <c r="B516" s="48"/>
      <c r="C516" s="47"/>
      <c r="D516" s="47"/>
      <c r="E516" s="47"/>
      <c r="F516" s="44"/>
      <c r="G516" s="44"/>
      <c r="H516" s="46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5"/>
      <c r="T516" s="44"/>
      <c r="U516" s="44"/>
      <c r="V516" s="44"/>
      <c r="W516" s="44"/>
      <c r="X516" s="44"/>
      <c r="Y516" s="44"/>
      <c r="Z516" s="44"/>
      <c r="AA516" s="44"/>
      <c r="AB516" s="44"/>
      <c r="AC516" s="45"/>
      <c r="AD516" s="44"/>
      <c r="AE516" s="44"/>
      <c r="AF516" s="44"/>
      <c r="AG516" s="45"/>
      <c r="AH516" s="44"/>
      <c r="AI516" s="81"/>
      <c r="AJ516" s="43"/>
      <c r="AK516" s="43"/>
      <c r="AL516" s="43"/>
      <c r="AM516" s="43"/>
    </row>
    <row r="517" spans="2:39" x14ac:dyDescent="0.25">
      <c r="B517" s="48"/>
      <c r="C517" s="47"/>
      <c r="D517" s="47"/>
      <c r="E517" s="47"/>
      <c r="F517" s="44"/>
      <c r="G517" s="44"/>
      <c r="H517" s="46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5"/>
      <c r="T517" s="44"/>
      <c r="U517" s="44"/>
      <c r="V517" s="44"/>
      <c r="W517" s="44"/>
      <c r="X517" s="44"/>
      <c r="Y517" s="44"/>
      <c r="Z517" s="44"/>
      <c r="AA517" s="44"/>
      <c r="AB517" s="44"/>
      <c r="AC517" s="45"/>
      <c r="AD517" s="44"/>
      <c r="AE517" s="44"/>
      <c r="AF517" s="44"/>
      <c r="AG517" s="45"/>
      <c r="AH517" s="44"/>
      <c r="AI517" s="81"/>
      <c r="AJ517" s="43"/>
      <c r="AK517" s="43"/>
      <c r="AL517" s="43"/>
      <c r="AM517" s="43"/>
    </row>
    <row r="518" spans="2:39" x14ac:dyDescent="0.25">
      <c r="B518" s="48"/>
      <c r="C518" s="47"/>
      <c r="D518" s="47"/>
      <c r="E518" s="47"/>
      <c r="F518" s="44"/>
      <c r="G518" s="44"/>
      <c r="H518" s="46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5"/>
      <c r="T518" s="44"/>
      <c r="U518" s="44"/>
      <c r="V518" s="44"/>
      <c r="W518" s="44"/>
      <c r="X518" s="44"/>
      <c r="Y518" s="44"/>
      <c r="Z518" s="44"/>
      <c r="AA518" s="44"/>
      <c r="AB518" s="44"/>
      <c r="AC518" s="45"/>
      <c r="AD518" s="44"/>
      <c r="AE518" s="44"/>
      <c r="AF518" s="44"/>
      <c r="AG518" s="45"/>
      <c r="AH518" s="44"/>
      <c r="AI518" s="81"/>
      <c r="AJ518" s="43"/>
      <c r="AK518" s="43"/>
      <c r="AL518" s="43"/>
      <c r="AM518" s="43"/>
    </row>
    <row r="519" spans="2:39" x14ac:dyDescent="0.25">
      <c r="B519" s="48"/>
      <c r="C519" s="47"/>
      <c r="D519" s="47"/>
      <c r="E519" s="47"/>
      <c r="F519" s="44"/>
      <c r="G519" s="44"/>
      <c r="H519" s="46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5"/>
      <c r="T519" s="44"/>
      <c r="U519" s="44"/>
      <c r="V519" s="44"/>
      <c r="W519" s="44"/>
      <c r="X519" s="44"/>
      <c r="Y519" s="44"/>
      <c r="Z519" s="44"/>
      <c r="AA519" s="44"/>
      <c r="AB519" s="44"/>
      <c r="AC519" s="45"/>
      <c r="AD519" s="44"/>
      <c r="AE519" s="44"/>
      <c r="AF519" s="44"/>
      <c r="AG519" s="45"/>
      <c r="AH519" s="44"/>
      <c r="AI519" s="81"/>
      <c r="AJ519" s="43"/>
      <c r="AK519" s="43"/>
      <c r="AL519" s="43"/>
      <c r="AM519" s="43"/>
    </row>
    <row r="520" spans="2:39" x14ac:dyDescent="0.25">
      <c r="B520" s="48"/>
      <c r="C520" s="47"/>
      <c r="D520" s="47"/>
      <c r="E520" s="47"/>
      <c r="F520" s="44"/>
      <c r="G520" s="44"/>
      <c r="H520" s="46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5"/>
      <c r="T520" s="44"/>
      <c r="U520" s="44"/>
      <c r="V520" s="44"/>
      <c r="W520" s="44"/>
      <c r="X520" s="44"/>
      <c r="Y520" s="44"/>
      <c r="Z520" s="44"/>
      <c r="AA520" s="44"/>
      <c r="AB520" s="44"/>
      <c r="AC520" s="45"/>
      <c r="AD520" s="44"/>
      <c r="AE520" s="44"/>
      <c r="AF520" s="44"/>
      <c r="AG520" s="45"/>
      <c r="AH520" s="44"/>
      <c r="AI520" s="81"/>
      <c r="AJ520" s="43"/>
      <c r="AK520" s="43"/>
      <c r="AL520" s="43"/>
      <c r="AM520" s="43"/>
    </row>
    <row r="521" spans="2:39" x14ac:dyDescent="0.25">
      <c r="B521" s="48"/>
      <c r="C521" s="47"/>
      <c r="D521" s="47"/>
      <c r="E521" s="47"/>
      <c r="F521" s="44"/>
      <c r="G521" s="44"/>
      <c r="H521" s="46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5"/>
      <c r="T521" s="44"/>
      <c r="U521" s="44"/>
      <c r="V521" s="44"/>
      <c r="W521" s="44"/>
      <c r="X521" s="44"/>
      <c r="Y521" s="44"/>
      <c r="Z521" s="44"/>
      <c r="AA521" s="44"/>
      <c r="AB521" s="44"/>
      <c r="AC521" s="45"/>
      <c r="AD521" s="44"/>
      <c r="AE521" s="44"/>
      <c r="AF521" s="44"/>
      <c r="AG521" s="45"/>
      <c r="AH521" s="44"/>
      <c r="AI521" s="81"/>
      <c r="AJ521" s="43"/>
      <c r="AK521" s="43"/>
      <c r="AL521" s="43"/>
      <c r="AM521" s="43"/>
    </row>
    <row r="522" spans="2:39" x14ac:dyDescent="0.25">
      <c r="B522" s="48"/>
      <c r="C522" s="47"/>
      <c r="D522" s="47"/>
      <c r="E522" s="47"/>
      <c r="F522" s="44"/>
      <c r="G522" s="44"/>
      <c r="H522" s="46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5"/>
      <c r="T522" s="44"/>
      <c r="U522" s="44"/>
      <c r="V522" s="44"/>
      <c r="W522" s="44"/>
      <c r="X522" s="44"/>
      <c r="Y522" s="44"/>
      <c r="Z522" s="44"/>
      <c r="AA522" s="44"/>
      <c r="AB522" s="44"/>
      <c r="AC522" s="45"/>
      <c r="AD522" s="44"/>
      <c r="AE522" s="44"/>
      <c r="AF522" s="44"/>
      <c r="AG522" s="45"/>
      <c r="AH522" s="44"/>
      <c r="AI522" s="81"/>
      <c r="AJ522" s="43"/>
      <c r="AK522" s="43"/>
      <c r="AL522" s="43"/>
      <c r="AM522" s="43"/>
    </row>
    <row r="523" spans="2:39" x14ac:dyDescent="0.25">
      <c r="B523" s="48"/>
      <c r="C523" s="47"/>
      <c r="D523" s="47"/>
      <c r="E523" s="47"/>
      <c r="F523" s="44"/>
      <c r="G523" s="44"/>
      <c r="H523" s="46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5"/>
      <c r="T523" s="44"/>
      <c r="U523" s="44"/>
      <c r="V523" s="44"/>
      <c r="W523" s="44"/>
      <c r="X523" s="44"/>
      <c r="Y523" s="44"/>
      <c r="Z523" s="44"/>
      <c r="AA523" s="44"/>
      <c r="AB523" s="44"/>
      <c r="AC523" s="45"/>
      <c r="AD523" s="44"/>
      <c r="AE523" s="44"/>
      <c r="AF523" s="44"/>
      <c r="AG523" s="45"/>
      <c r="AH523" s="44"/>
      <c r="AI523" s="81"/>
      <c r="AJ523" s="43"/>
      <c r="AK523" s="43"/>
      <c r="AL523" s="43"/>
      <c r="AM523" s="43"/>
    </row>
    <row r="524" spans="2:39" x14ac:dyDescent="0.25">
      <c r="B524" s="48"/>
      <c r="C524" s="47"/>
      <c r="D524" s="47"/>
      <c r="E524" s="47"/>
      <c r="F524" s="44"/>
      <c r="G524" s="44"/>
      <c r="H524" s="46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5"/>
      <c r="T524" s="44"/>
      <c r="U524" s="44"/>
      <c r="V524" s="44"/>
      <c r="W524" s="44"/>
      <c r="X524" s="44"/>
      <c r="Y524" s="44"/>
      <c r="Z524" s="44"/>
      <c r="AA524" s="44"/>
      <c r="AB524" s="44"/>
      <c r="AC524" s="45"/>
      <c r="AD524" s="44"/>
      <c r="AE524" s="44"/>
      <c r="AF524" s="44"/>
      <c r="AG524" s="45"/>
      <c r="AH524" s="44"/>
      <c r="AI524" s="81"/>
      <c r="AJ524" s="43"/>
      <c r="AK524" s="43"/>
      <c r="AL524" s="43"/>
      <c r="AM524" s="43"/>
    </row>
    <row r="525" spans="2:39" x14ac:dyDescent="0.25">
      <c r="B525" s="48"/>
      <c r="C525" s="47"/>
      <c r="D525" s="47"/>
      <c r="E525" s="47"/>
      <c r="F525" s="44"/>
      <c r="G525" s="44"/>
      <c r="H525" s="46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5"/>
      <c r="T525" s="44"/>
      <c r="U525" s="44"/>
      <c r="V525" s="44"/>
      <c r="W525" s="44"/>
      <c r="X525" s="44"/>
      <c r="Y525" s="44"/>
      <c r="Z525" s="44"/>
      <c r="AA525" s="44"/>
      <c r="AB525" s="44"/>
      <c r="AC525" s="45"/>
      <c r="AD525" s="44"/>
      <c r="AE525" s="44"/>
      <c r="AF525" s="44"/>
      <c r="AG525" s="45"/>
      <c r="AH525" s="44"/>
      <c r="AI525" s="81"/>
      <c r="AJ525" s="43"/>
      <c r="AK525" s="43"/>
      <c r="AL525" s="43"/>
      <c r="AM525" s="43"/>
    </row>
    <row r="526" spans="2:39" x14ac:dyDescent="0.25">
      <c r="B526" s="48"/>
      <c r="C526" s="47"/>
      <c r="D526" s="47"/>
      <c r="E526" s="47"/>
      <c r="F526" s="44"/>
      <c r="G526" s="44"/>
      <c r="H526" s="46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5"/>
      <c r="T526" s="44"/>
      <c r="U526" s="44"/>
      <c r="V526" s="44"/>
      <c r="W526" s="44"/>
      <c r="X526" s="44"/>
      <c r="Y526" s="44"/>
      <c r="Z526" s="44"/>
      <c r="AA526" s="44"/>
      <c r="AB526" s="44"/>
      <c r="AC526" s="45"/>
      <c r="AD526" s="44"/>
      <c r="AE526" s="44"/>
      <c r="AF526" s="44"/>
      <c r="AG526" s="45"/>
      <c r="AH526" s="44"/>
      <c r="AI526" s="81"/>
      <c r="AJ526" s="43"/>
      <c r="AK526" s="43"/>
      <c r="AL526" s="43"/>
      <c r="AM526" s="43"/>
    </row>
    <row r="527" spans="2:39" x14ac:dyDescent="0.25">
      <c r="B527" s="48"/>
      <c r="C527" s="47"/>
      <c r="D527" s="47"/>
      <c r="E527" s="47"/>
      <c r="F527" s="44"/>
      <c r="G527" s="44"/>
      <c r="H527" s="46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5"/>
      <c r="T527" s="44"/>
      <c r="U527" s="44"/>
      <c r="V527" s="44"/>
      <c r="W527" s="44"/>
      <c r="X527" s="44"/>
      <c r="Y527" s="44"/>
      <c r="Z527" s="44"/>
      <c r="AA527" s="44"/>
      <c r="AB527" s="44"/>
      <c r="AC527" s="45"/>
      <c r="AD527" s="44"/>
      <c r="AE527" s="44"/>
      <c r="AF527" s="44"/>
      <c r="AG527" s="45"/>
      <c r="AH527" s="44"/>
      <c r="AI527" s="81"/>
      <c r="AJ527" s="43"/>
      <c r="AK527" s="43"/>
      <c r="AL527" s="43"/>
      <c r="AM527" s="43"/>
    </row>
    <row r="528" spans="2:39" x14ac:dyDescent="0.25">
      <c r="B528" s="48"/>
      <c r="C528" s="47"/>
      <c r="D528" s="47"/>
      <c r="E528" s="47"/>
      <c r="F528" s="44"/>
      <c r="G528" s="44"/>
      <c r="H528" s="46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5"/>
      <c r="T528" s="44"/>
      <c r="U528" s="44"/>
      <c r="V528" s="44"/>
      <c r="W528" s="44"/>
      <c r="X528" s="44"/>
      <c r="Y528" s="44"/>
      <c r="Z528" s="44"/>
      <c r="AA528" s="44"/>
      <c r="AB528" s="44"/>
      <c r="AC528" s="45"/>
      <c r="AD528" s="44"/>
      <c r="AE528" s="44"/>
      <c r="AF528" s="44"/>
      <c r="AG528" s="45"/>
      <c r="AH528" s="44"/>
      <c r="AI528" s="81"/>
      <c r="AJ528" s="43"/>
      <c r="AK528" s="43"/>
      <c r="AL528" s="43"/>
      <c r="AM528" s="43"/>
    </row>
    <row r="529" spans="2:39" x14ac:dyDescent="0.25">
      <c r="B529" s="48"/>
      <c r="C529" s="47"/>
      <c r="D529" s="47"/>
      <c r="E529" s="47"/>
      <c r="F529" s="44"/>
      <c r="G529" s="44"/>
      <c r="H529" s="46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5"/>
      <c r="T529" s="44"/>
      <c r="U529" s="44"/>
      <c r="V529" s="44"/>
      <c r="W529" s="44"/>
      <c r="X529" s="44"/>
      <c r="Y529" s="44"/>
      <c r="Z529" s="44"/>
      <c r="AA529" s="44"/>
      <c r="AB529" s="44"/>
      <c r="AC529" s="45"/>
      <c r="AD529" s="44"/>
      <c r="AE529" s="44"/>
      <c r="AF529" s="44"/>
      <c r="AG529" s="45"/>
      <c r="AH529" s="44"/>
      <c r="AI529" s="81"/>
      <c r="AJ529" s="43"/>
      <c r="AK529" s="43"/>
      <c r="AL529" s="43"/>
      <c r="AM529" s="43"/>
    </row>
    <row r="530" spans="2:39" x14ac:dyDescent="0.25">
      <c r="B530" s="48"/>
      <c r="C530" s="47"/>
      <c r="D530" s="47"/>
      <c r="E530" s="47"/>
      <c r="F530" s="44"/>
      <c r="G530" s="44"/>
      <c r="H530" s="46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5"/>
      <c r="T530" s="44"/>
      <c r="U530" s="44"/>
      <c r="V530" s="44"/>
      <c r="W530" s="44"/>
      <c r="X530" s="44"/>
      <c r="Y530" s="44"/>
      <c r="Z530" s="44"/>
      <c r="AA530" s="44"/>
      <c r="AB530" s="44"/>
      <c r="AC530" s="45"/>
      <c r="AD530" s="44"/>
      <c r="AE530" s="44"/>
      <c r="AF530" s="44"/>
      <c r="AG530" s="45"/>
      <c r="AH530" s="44"/>
      <c r="AI530" s="81"/>
      <c r="AJ530" s="43"/>
      <c r="AK530" s="43"/>
      <c r="AL530" s="43"/>
      <c r="AM530" s="43"/>
    </row>
    <row r="531" spans="2:39" x14ac:dyDescent="0.25">
      <c r="B531" s="48"/>
      <c r="C531" s="47"/>
      <c r="D531" s="47"/>
      <c r="E531" s="47"/>
      <c r="F531" s="44"/>
      <c r="G531" s="44"/>
      <c r="H531" s="46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5"/>
      <c r="T531" s="44"/>
      <c r="U531" s="44"/>
      <c r="V531" s="44"/>
      <c r="W531" s="44"/>
      <c r="X531" s="44"/>
      <c r="Y531" s="44"/>
      <c r="Z531" s="44"/>
      <c r="AA531" s="44"/>
      <c r="AB531" s="44"/>
      <c r="AC531" s="45"/>
      <c r="AD531" s="44"/>
      <c r="AE531" s="44"/>
      <c r="AF531" s="44"/>
      <c r="AG531" s="45"/>
      <c r="AH531" s="44"/>
      <c r="AI531" s="81"/>
      <c r="AJ531" s="43"/>
      <c r="AK531" s="43"/>
      <c r="AL531" s="43"/>
      <c r="AM531" s="43"/>
    </row>
    <row r="532" spans="2:39" x14ac:dyDescent="0.25">
      <c r="B532" s="48"/>
      <c r="C532" s="47"/>
      <c r="D532" s="47"/>
      <c r="E532" s="47"/>
      <c r="F532" s="44"/>
      <c r="G532" s="44"/>
      <c r="H532" s="46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5"/>
      <c r="T532" s="44"/>
      <c r="U532" s="44"/>
      <c r="V532" s="44"/>
      <c r="W532" s="44"/>
      <c r="X532" s="44"/>
      <c r="Y532" s="44"/>
      <c r="Z532" s="44"/>
      <c r="AA532" s="44"/>
      <c r="AB532" s="44"/>
      <c r="AC532" s="45"/>
      <c r="AD532" s="44"/>
      <c r="AE532" s="44"/>
      <c r="AF532" s="44"/>
      <c r="AG532" s="45"/>
      <c r="AH532" s="44"/>
      <c r="AI532" s="81"/>
      <c r="AJ532" s="43"/>
      <c r="AK532" s="43"/>
      <c r="AL532" s="43"/>
      <c r="AM532" s="43"/>
    </row>
    <row r="533" spans="2:39" x14ac:dyDescent="0.25">
      <c r="B533" s="48"/>
      <c r="C533" s="47"/>
      <c r="D533" s="47"/>
      <c r="E533" s="47"/>
      <c r="F533" s="44"/>
      <c r="G533" s="44"/>
      <c r="H533" s="46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5"/>
      <c r="T533" s="44"/>
      <c r="U533" s="44"/>
      <c r="V533" s="44"/>
      <c r="W533" s="44"/>
      <c r="X533" s="44"/>
      <c r="Y533" s="44"/>
      <c r="Z533" s="44"/>
      <c r="AA533" s="44"/>
      <c r="AB533" s="44"/>
      <c r="AC533" s="45"/>
      <c r="AD533" s="44"/>
      <c r="AE533" s="44"/>
      <c r="AF533" s="44"/>
      <c r="AG533" s="45"/>
      <c r="AH533" s="44"/>
      <c r="AI533" s="81"/>
      <c r="AJ533" s="43"/>
      <c r="AK533" s="43"/>
      <c r="AL533" s="43"/>
      <c r="AM533" s="43"/>
    </row>
    <row r="534" spans="2:39" x14ac:dyDescent="0.25">
      <c r="B534" s="48"/>
      <c r="C534" s="47"/>
      <c r="D534" s="47"/>
      <c r="E534" s="47"/>
      <c r="F534" s="44"/>
      <c r="G534" s="44"/>
      <c r="H534" s="46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5"/>
      <c r="T534" s="44"/>
      <c r="U534" s="44"/>
      <c r="V534" s="44"/>
      <c r="W534" s="44"/>
      <c r="X534" s="44"/>
      <c r="Y534" s="44"/>
      <c r="Z534" s="44"/>
      <c r="AA534" s="44"/>
      <c r="AB534" s="44"/>
      <c r="AC534" s="45"/>
      <c r="AD534" s="44"/>
      <c r="AE534" s="44"/>
      <c r="AF534" s="44"/>
      <c r="AG534" s="45"/>
      <c r="AH534" s="44"/>
      <c r="AI534" s="81"/>
      <c r="AJ534" s="43"/>
      <c r="AK534" s="43"/>
      <c r="AL534" s="43"/>
      <c r="AM534" s="43"/>
    </row>
    <row r="535" spans="2:39" x14ac:dyDescent="0.25">
      <c r="B535" s="48"/>
      <c r="C535" s="47"/>
      <c r="D535" s="47"/>
      <c r="E535" s="47"/>
      <c r="F535" s="44"/>
      <c r="G535" s="44"/>
      <c r="H535" s="46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5"/>
      <c r="T535" s="44"/>
      <c r="U535" s="44"/>
      <c r="V535" s="44"/>
      <c r="W535" s="44"/>
      <c r="X535" s="44"/>
      <c r="Y535" s="44"/>
      <c r="Z535" s="44"/>
      <c r="AA535" s="44"/>
      <c r="AB535" s="44"/>
      <c r="AC535" s="45"/>
      <c r="AD535" s="44"/>
      <c r="AE535" s="44"/>
      <c r="AF535" s="44"/>
      <c r="AG535" s="45"/>
      <c r="AH535" s="44"/>
      <c r="AI535" s="81"/>
      <c r="AJ535" s="43"/>
      <c r="AK535" s="43"/>
      <c r="AL535" s="43"/>
      <c r="AM535" s="43"/>
    </row>
    <row r="536" spans="2:39" x14ac:dyDescent="0.25">
      <c r="B536" s="48"/>
      <c r="C536" s="47"/>
      <c r="D536" s="47"/>
      <c r="E536" s="47"/>
      <c r="F536" s="44"/>
      <c r="G536" s="44"/>
      <c r="H536" s="46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5"/>
      <c r="T536" s="44"/>
      <c r="U536" s="44"/>
      <c r="V536" s="44"/>
      <c r="W536" s="44"/>
      <c r="X536" s="44"/>
      <c r="Y536" s="44"/>
      <c r="Z536" s="44"/>
      <c r="AA536" s="44"/>
      <c r="AB536" s="44"/>
      <c r="AC536" s="45"/>
      <c r="AD536" s="44"/>
      <c r="AE536" s="44"/>
      <c r="AF536" s="44"/>
      <c r="AG536" s="45"/>
      <c r="AH536" s="44"/>
      <c r="AI536" s="81"/>
      <c r="AJ536" s="43"/>
      <c r="AK536" s="43"/>
      <c r="AL536" s="43"/>
      <c r="AM536" s="43"/>
    </row>
    <row r="537" spans="2:39" x14ac:dyDescent="0.25">
      <c r="B537" s="48"/>
      <c r="C537" s="47"/>
      <c r="D537" s="47"/>
      <c r="E537" s="47"/>
      <c r="F537" s="44"/>
      <c r="G537" s="44"/>
      <c r="H537" s="46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5"/>
      <c r="T537" s="44"/>
      <c r="U537" s="44"/>
      <c r="V537" s="44"/>
      <c r="W537" s="44"/>
      <c r="X537" s="44"/>
      <c r="Y537" s="44"/>
      <c r="Z537" s="44"/>
      <c r="AA537" s="44"/>
      <c r="AB537" s="44"/>
      <c r="AC537" s="45"/>
      <c r="AD537" s="44"/>
      <c r="AE537" s="44"/>
      <c r="AF537" s="44"/>
      <c r="AG537" s="45"/>
      <c r="AH537" s="44"/>
      <c r="AI537" s="81"/>
      <c r="AJ537" s="43"/>
      <c r="AK537" s="43"/>
      <c r="AL537" s="43"/>
      <c r="AM537" s="43"/>
    </row>
    <row r="538" spans="2:39" x14ac:dyDescent="0.25">
      <c r="B538" s="48"/>
      <c r="C538" s="47"/>
      <c r="D538" s="47"/>
      <c r="E538" s="47"/>
      <c r="F538" s="44"/>
      <c r="G538" s="44"/>
      <c r="H538" s="46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5"/>
      <c r="T538" s="44"/>
      <c r="U538" s="44"/>
      <c r="V538" s="44"/>
      <c r="W538" s="44"/>
      <c r="X538" s="44"/>
      <c r="Y538" s="44"/>
      <c r="Z538" s="44"/>
      <c r="AA538" s="44"/>
      <c r="AB538" s="44"/>
      <c r="AC538" s="45"/>
      <c r="AD538" s="44"/>
      <c r="AE538" s="44"/>
      <c r="AF538" s="44"/>
      <c r="AG538" s="45"/>
      <c r="AH538" s="44"/>
      <c r="AI538" s="81"/>
      <c r="AJ538" s="43"/>
      <c r="AK538" s="43"/>
      <c r="AL538" s="43"/>
      <c r="AM538" s="43"/>
    </row>
    <row r="539" spans="2:39" x14ac:dyDescent="0.25">
      <c r="B539" s="48"/>
      <c r="C539" s="47"/>
      <c r="D539" s="47"/>
      <c r="E539" s="47"/>
      <c r="F539" s="44"/>
      <c r="G539" s="44"/>
      <c r="H539" s="46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5"/>
      <c r="T539" s="44"/>
      <c r="U539" s="44"/>
      <c r="V539" s="44"/>
      <c r="W539" s="44"/>
      <c r="X539" s="44"/>
      <c r="Y539" s="44"/>
      <c r="Z539" s="44"/>
      <c r="AA539" s="44"/>
      <c r="AB539" s="44"/>
      <c r="AC539" s="45"/>
      <c r="AD539" s="44"/>
      <c r="AE539" s="44"/>
      <c r="AF539" s="44"/>
      <c r="AG539" s="45"/>
      <c r="AH539" s="44"/>
      <c r="AI539" s="81"/>
      <c r="AJ539" s="43"/>
      <c r="AK539" s="43"/>
      <c r="AL539" s="43"/>
      <c r="AM539" s="43"/>
    </row>
    <row r="540" spans="2:39" x14ac:dyDescent="0.25">
      <c r="B540" s="48"/>
      <c r="C540" s="47"/>
      <c r="D540" s="47"/>
      <c r="E540" s="47"/>
      <c r="F540" s="44"/>
      <c r="G540" s="44"/>
      <c r="H540" s="46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5"/>
      <c r="T540" s="44"/>
      <c r="U540" s="44"/>
      <c r="V540" s="44"/>
      <c r="W540" s="44"/>
      <c r="X540" s="44"/>
      <c r="Y540" s="44"/>
      <c r="Z540" s="44"/>
      <c r="AA540" s="44"/>
      <c r="AB540" s="44"/>
      <c r="AC540" s="45"/>
      <c r="AD540" s="44"/>
      <c r="AE540" s="44"/>
      <c r="AF540" s="44"/>
      <c r="AG540" s="45"/>
      <c r="AH540" s="44"/>
      <c r="AI540" s="81"/>
      <c r="AJ540" s="43"/>
      <c r="AK540" s="43"/>
      <c r="AL540" s="43"/>
      <c r="AM540" s="43"/>
    </row>
    <row r="541" spans="2:39" x14ac:dyDescent="0.25">
      <c r="B541" s="48"/>
      <c r="C541" s="47"/>
      <c r="D541" s="47"/>
      <c r="E541" s="47"/>
      <c r="F541" s="44"/>
      <c r="G541" s="44"/>
      <c r="H541" s="46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5"/>
      <c r="T541" s="44"/>
      <c r="U541" s="44"/>
      <c r="V541" s="44"/>
      <c r="W541" s="44"/>
      <c r="X541" s="44"/>
      <c r="Y541" s="44"/>
      <c r="Z541" s="44"/>
      <c r="AA541" s="44"/>
      <c r="AB541" s="44"/>
      <c r="AC541" s="45"/>
      <c r="AD541" s="44"/>
      <c r="AE541" s="44"/>
      <c r="AF541" s="44"/>
      <c r="AG541" s="45"/>
      <c r="AH541" s="44"/>
      <c r="AI541" s="81"/>
      <c r="AJ541" s="43"/>
      <c r="AK541" s="43"/>
      <c r="AL541" s="43"/>
      <c r="AM541" s="43"/>
    </row>
    <row r="542" spans="2:39" x14ac:dyDescent="0.25">
      <c r="B542" s="48"/>
      <c r="C542" s="47"/>
      <c r="D542" s="47"/>
      <c r="E542" s="47"/>
      <c r="F542" s="44"/>
      <c r="G542" s="44"/>
      <c r="H542" s="46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5"/>
      <c r="T542" s="44"/>
      <c r="U542" s="44"/>
      <c r="V542" s="44"/>
      <c r="W542" s="44"/>
      <c r="X542" s="44"/>
      <c r="Y542" s="44"/>
      <c r="Z542" s="44"/>
      <c r="AA542" s="44"/>
      <c r="AB542" s="44"/>
      <c r="AC542" s="45"/>
      <c r="AD542" s="44"/>
      <c r="AE542" s="44"/>
      <c r="AF542" s="44"/>
      <c r="AG542" s="45"/>
      <c r="AH542" s="44"/>
      <c r="AI542" s="81"/>
      <c r="AJ542" s="43"/>
      <c r="AK542" s="43"/>
      <c r="AL542" s="43"/>
      <c r="AM542" s="43"/>
    </row>
    <row r="543" spans="2:39" x14ac:dyDescent="0.25">
      <c r="B543" s="48"/>
      <c r="C543" s="47"/>
      <c r="D543" s="47"/>
      <c r="E543" s="47"/>
      <c r="F543" s="44"/>
      <c r="G543" s="44"/>
      <c r="H543" s="46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5"/>
      <c r="T543" s="44"/>
      <c r="U543" s="44"/>
      <c r="V543" s="44"/>
      <c r="W543" s="44"/>
      <c r="X543" s="44"/>
      <c r="Y543" s="44"/>
      <c r="Z543" s="44"/>
      <c r="AA543" s="44"/>
      <c r="AB543" s="44"/>
      <c r="AC543" s="45"/>
      <c r="AD543" s="44"/>
      <c r="AE543" s="44"/>
      <c r="AF543" s="44"/>
      <c r="AG543" s="45"/>
      <c r="AH543" s="44"/>
      <c r="AI543" s="81"/>
      <c r="AJ543" s="43"/>
      <c r="AK543" s="43"/>
      <c r="AL543" s="43"/>
      <c r="AM543" s="43"/>
    </row>
    <row r="544" spans="2:39" x14ac:dyDescent="0.25">
      <c r="B544" s="48"/>
      <c r="C544" s="47"/>
      <c r="D544" s="47"/>
      <c r="E544" s="47"/>
      <c r="F544" s="44"/>
      <c r="G544" s="44"/>
      <c r="H544" s="46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5"/>
      <c r="T544" s="44"/>
      <c r="U544" s="44"/>
      <c r="V544" s="44"/>
      <c r="W544" s="44"/>
      <c r="X544" s="44"/>
      <c r="Y544" s="44"/>
      <c r="Z544" s="44"/>
      <c r="AA544" s="44"/>
      <c r="AB544" s="44"/>
      <c r="AC544" s="45"/>
      <c r="AD544" s="44"/>
      <c r="AE544" s="44"/>
      <c r="AF544" s="44"/>
      <c r="AG544" s="45"/>
      <c r="AH544" s="44"/>
      <c r="AI544" s="81"/>
      <c r="AJ544" s="43"/>
      <c r="AK544" s="43"/>
      <c r="AL544" s="43"/>
      <c r="AM544" s="43"/>
    </row>
    <row r="545" spans="2:39" x14ac:dyDescent="0.25">
      <c r="B545" s="48"/>
      <c r="C545" s="47"/>
      <c r="D545" s="47"/>
      <c r="E545" s="47"/>
      <c r="F545" s="44"/>
      <c r="G545" s="44"/>
      <c r="H545" s="46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5"/>
      <c r="T545" s="44"/>
      <c r="U545" s="44"/>
      <c r="V545" s="44"/>
      <c r="W545" s="44"/>
      <c r="X545" s="44"/>
      <c r="Y545" s="44"/>
      <c r="Z545" s="44"/>
      <c r="AA545" s="44"/>
      <c r="AB545" s="44"/>
      <c r="AC545" s="45"/>
      <c r="AD545" s="44"/>
      <c r="AE545" s="44"/>
      <c r="AF545" s="44"/>
      <c r="AG545" s="45"/>
      <c r="AH545" s="44"/>
      <c r="AI545" s="81"/>
      <c r="AJ545" s="43"/>
      <c r="AK545" s="43"/>
      <c r="AL545" s="43"/>
      <c r="AM545" s="43"/>
    </row>
    <row r="546" spans="2:39" x14ac:dyDescent="0.25">
      <c r="B546" s="48"/>
      <c r="C546" s="47"/>
      <c r="D546" s="47"/>
      <c r="E546" s="47"/>
      <c r="F546" s="44"/>
      <c r="G546" s="44"/>
      <c r="H546" s="46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5"/>
      <c r="T546" s="44"/>
      <c r="U546" s="44"/>
      <c r="V546" s="44"/>
      <c r="W546" s="44"/>
      <c r="X546" s="44"/>
      <c r="Y546" s="44"/>
      <c r="Z546" s="44"/>
      <c r="AA546" s="44"/>
      <c r="AB546" s="44"/>
      <c r="AC546" s="45"/>
      <c r="AD546" s="44"/>
      <c r="AE546" s="44"/>
      <c r="AF546" s="44"/>
      <c r="AG546" s="45"/>
      <c r="AH546" s="44"/>
      <c r="AI546" s="81"/>
      <c r="AJ546" s="43"/>
      <c r="AK546" s="43"/>
      <c r="AL546" s="43"/>
      <c r="AM546" s="43"/>
    </row>
    <row r="547" spans="2:39" x14ac:dyDescent="0.25">
      <c r="B547" s="48"/>
      <c r="C547" s="47"/>
      <c r="D547" s="47"/>
      <c r="E547" s="47"/>
      <c r="F547" s="44"/>
      <c r="G547" s="44"/>
      <c r="H547" s="46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5"/>
      <c r="T547" s="44"/>
      <c r="U547" s="44"/>
      <c r="V547" s="44"/>
      <c r="W547" s="44"/>
      <c r="X547" s="44"/>
      <c r="Y547" s="44"/>
      <c r="Z547" s="44"/>
      <c r="AA547" s="44"/>
      <c r="AB547" s="44"/>
      <c r="AC547" s="45"/>
      <c r="AD547" s="44"/>
      <c r="AE547" s="44"/>
      <c r="AF547" s="44"/>
      <c r="AG547" s="45"/>
      <c r="AH547" s="44"/>
      <c r="AI547" s="81"/>
      <c r="AJ547" s="43"/>
      <c r="AK547" s="43"/>
      <c r="AL547" s="43"/>
      <c r="AM547" s="43"/>
    </row>
    <row r="548" spans="2:39" x14ac:dyDescent="0.25">
      <c r="B548" s="48"/>
      <c r="C548" s="47"/>
      <c r="D548" s="47"/>
      <c r="E548" s="47"/>
      <c r="F548" s="44"/>
      <c r="G548" s="44"/>
      <c r="H548" s="46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5"/>
      <c r="T548" s="44"/>
      <c r="U548" s="44"/>
      <c r="V548" s="44"/>
      <c r="W548" s="44"/>
      <c r="X548" s="44"/>
      <c r="Y548" s="44"/>
      <c r="Z548" s="44"/>
      <c r="AA548" s="44"/>
      <c r="AB548" s="44"/>
      <c r="AC548" s="45"/>
      <c r="AD548" s="44"/>
      <c r="AE548" s="44"/>
      <c r="AF548" s="44"/>
      <c r="AG548" s="45"/>
      <c r="AH548" s="44"/>
      <c r="AI548" s="81"/>
      <c r="AJ548" s="43"/>
      <c r="AK548" s="43"/>
      <c r="AL548" s="43"/>
      <c r="AM548" s="43"/>
    </row>
    <row r="549" spans="2:39" x14ac:dyDescent="0.25">
      <c r="B549" s="48"/>
      <c r="C549" s="47"/>
      <c r="D549" s="47"/>
      <c r="E549" s="47"/>
      <c r="F549" s="44"/>
      <c r="G549" s="44"/>
      <c r="H549" s="46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5"/>
      <c r="T549" s="44"/>
      <c r="U549" s="44"/>
      <c r="V549" s="44"/>
      <c r="W549" s="44"/>
      <c r="X549" s="44"/>
      <c r="Y549" s="44"/>
      <c r="Z549" s="44"/>
      <c r="AA549" s="44"/>
      <c r="AB549" s="44"/>
      <c r="AC549" s="45"/>
      <c r="AD549" s="44"/>
      <c r="AE549" s="44"/>
      <c r="AF549" s="44"/>
      <c r="AG549" s="45"/>
      <c r="AH549" s="44"/>
      <c r="AI549" s="81"/>
      <c r="AJ549" s="43"/>
      <c r="AK549" s="43"/>
      <c r="AL549" s="43"/>
      <c r="AM549" s="43"/>
    </row>
    <row r="550" spans="2:39" x14ac:dyDescent="0.25">
      <c r="B550" s="48"/>
      <c r="C550" s="47"/>
      <c r="D550" s="47"/>
      <c r="E550" s="47"/>
      <c r="F550" s="44"/>
      <c r="G550" s="44"/>
      <c r="H550" s="46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5"/>
      <c r="T550" s="44"/>
      <c r="U550" s="44"/>
      <c r="V550" s="44"/>
      <c r="W550" s="44"/>
      <c r="X550" s="44"/>
      <c r="Y550" s="44"/>
      <c r="Z550" s="44"/>
      <c r="AA550" s="44"/>
      <c r="AB550" s="44"/>
      <c r="AC550" s="45"/>
      <c r="AD550" s="44"/>
      <c r="AE550" s="44"/>
      <c r="AF550" s="44"/>
      <c r="AG550" s="45"/>
      <c r="AH550" s="44"/>
      <c r="AI550" s="81"/>
      <c r="AJ550" s="43"/>
      <c r="AK550" s="43"/>
      <c r="AL550" s="43"/>
      <c r="AM550" s="43"/>
    </row>
    <row r="551" spans="2:39" x14ac:dyDescent="0.25">
      <c r="B551" s="48"/>
      <c r="C551" s="47"/>
      <c r="D551" s="47"/>
      <c r="E551" s="47"/>
      <c r="F551" s="44"/>
      <c r="G551" s="44"/>
      <c r="H551" s="46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5"/>
      <c r="T551" s="44"/>
      <c r="U551" s="44"/>
      <c r="V551" s="44"/>
      <c r="W551" s="44"/>
      <c r="X551" s="44"/>
      <c r="Y551" s="44"/>
      <c r="Z551" s="44"/>
      <c r="AA551" s="44"/>
      <c r="AB551" s="44"/>
      <c r="AC551" s="45"/>
      <c r="AD551" s="44"/>
      <c r="AE551" s="44"/>
      <c r="AF551" s="44"/>
      <c r="AG551" s="45"/>
      <c r="AH551" s="44"/>
      <c r="AI551" s="81"/>
      <c r="AJ551" s="43"/>
      <c r="AK551" s="43"/>
      <c r="AL551" s="43"/>
      <c r="AM551" s="43"/>
    </row>
    <row r="552" spans="2:39" x14ac:dyDescent="0.25">
      <c r="B552" s="48"/>
      <c r="C552" s="47"/>
      <c r="D552" s="47"/>
      <c r="E552" s="47"/>
      <c r="F552" s="44"/>
      <c r="G552" s="44"/>
      <c r="H552" s="46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5"/>
      <c r="T552" s="44"/>
      <c r="U552" s="44"/>
      <c r="V552" s="44"/>
      <c r="W552" s="44"/>
      <c r="X552" s="44"/>
      <c r="Y552" s="44"/>
      <c r="Z552" s="44"/>
      <c r="AA552" s="44"/>
      <c r="AB552" s="44"/>
      <c r="AC552" s="45"/>
      <c r="AD552" s="44"/>
      <c r="AE552" s="44"/>
      <c r="AF552" s="44"/>
      <c r="AG552" s="45"/>
      <c r="AH552" s="44"/>
      <c r="AI552" s="81"/>
      <c r="AJ552" s="43"/>
      <c r="AK552" s="43"/>
      <c r="AL552" s="43"/>
      <c r="AM552" s="43"/>
    </row>
    <row r="553" spans="2:39" x14ac:dyDescent="0.25">
      <c r="B553" s="48"/>
      <c r="C553" s="47"/>
      <c r="D553" s="47"/>
      <c r="E553" s="47"/>
      <c r="F553" s="44"/>
      <c r="G553" s="44"/>
      <c r="H553" s="46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5"/>
      <c r="T553" s="44"/>
      <c r="U553" s="44"/>
      <c r="V553" s="44"/>
      <c r="W553" s="44"/>
      <c r="X553" s="44"/>
      <c r="Y553" s="44"/>
      <c r="Z553" s="44"/>
      <c r="AA553" s="44"/>
      <c r="AB553" s="44"/>
      <c r="AC553" s="45"/>
      <c r="AD553" s="44"/>
      <c r="AE553" s="44"/>
      <c r="AF553" s="44"/>
      <c r="AG553" s="45"/>
      <c r="AH553" s="44"/>
      <c r="AI553" s="81"/>
      <c r="AJ553" s="43"/>
      <c r="AK553" s="43"/>
      <c r="AL553" s="43"/>
      <c r="AM553" s="43"/>
    </row>
    <row r="554" spans="2:39" x14ac:dyDescent="0.25">
      <c r="B554" s="48"/>
      <c r="C554" s="47"/>
      <c r="D554" s="47"/>
      <c r="E554" s="47"/>
      <c r="F554" s="44"/>
      <c r="G554" s="44"/>
      <c r="H554" s="46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5"/>
      <c r="T554" s="44"/>
      <c r="U554" s="44"/>
      <c r="V554" s="44"/>
      <c r="W554" s="44"/>
      <c r="X554" s="44"/>
      <c r="Y554" s="44"/>
      <c r="Z554" s="44"/>
      <c r="AA554" s="44"/>
      <c r="AB554" s="44"/>
      <c r="AC554" s="45"/>
      <c r="AD554" s="44"/>
      <c r="AE554" s="44"/>
      <c r="AF554" s="44"/>
      <c r="AG554" s="45"/>
      <c r="AH554" s="44"/>
      <c r="AI554" s="81"/>
      <c r="AJ554" s="43"/>
      <c r="AK554" s="43"/>
      <c r="AL554" s="43"/>
      <c r="AM554" s="43"/>
    </row>
    <row r="555" spans="2:39" x14ac:dyDescent="0.25">
      <c r="B555" s="48"/>
      <c r="C555" s="47"/>
      <c r="D555" s="47"/>
      <c r="E555" s="47"/>
      <c r="F555" s="44"/>
      <c r="G555" s="44"/>
      <c r="H555" s="46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5"/>
      <c r="T555" s="44"/>
      <c r="U555" s="44"/>
      <c r="V555" s="44"/>
      <c r="W555" s="44"/>
      <c r="X555" s="44"/>
      <c r="Y555" s="44"/>
      <c r="Z555" s="44"/>
      <c r="AA555" s="44"/>
      <c r="AB555" s="44"/>
      <c r="AC555" s="45"/>
      <c r="AD555" s="44"/>
      <c r="AE555" s="44"/>
      <c r="AF555" s="44"/>
      <c r="AG555" s="45"/>
      <c r="AH555" s="44"/>
      <c r="AI555" s="81"/>
      <c r="AJ555" s="43"/>
      <c r="AK555" s="43"/>
      <c r="AL555" s="43"/>
      <c r="AM555" s="43"/>
    </row>
    <row r="556" spans="2:39" x14ac:dyDescent="0.25">
      <c r="B556" s="48"/>
      <c r="C556" s="47"/>
      <c r="D556" s="47"/>
      <c r="E556" s="47"/>
      <c r="F556" s="44"/>
      <c r="G556" s="44"/>
      <c r="H556" s="46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5"/>
      <c r="T556" s="44"/>
      <c r="U556" s="44"/>
      <c r="V556" s="44"/>
      <c r="W556" s="44"/>
      <c r="X556" s="44"/>
      <c r="Y556" s="44"/>
      <c r="Z556" s="44"/>
      <c r="AA556" s="44"/>
      <c r="AB556" s="44"/>
      <c r="AC556" s="45"/>
      <c r="AD556" s="44"/>
      <c r="AE556" s="44"/>
      <c r="AF556" s="44"/>
      <c r="AG556" s="45"/>
      <c r="AH556" s="44"/>
      <c r="AI556" s="81"/>
      <c r="AJ556" s="43"/>
      <c r="AK556" s="43"/>
      <c r="AL556" s="43"/>
      <c r="AM556" s="43"/>
    </row>
    <row r="557" spans="2:39" x14ac:dyDescent="0.25">
      <c r="B557" s="48"/>
      <c r="C557" s="47"/>
      <c r="D557" s="47"/>
      <c r="E557" s="47"/>
      <c r="F557" s="44"/>
      <c r="G557" s="44"/>
      <c r="H557" s="46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5"/>
      <c r="T557" s="44"/>
      <c r="U557" s="44"/>
      <c r="V557" s="44"/>
      <c r="W557" s="44"/>
      <c r="X557" s="44"/>
      <c r="Y557" s="44"/>
      <c r="Z557" s="44"/>
      <c r="AA557" s="44"/>
      <c r="AB557" s="44"/>
      <c r="AC557" s="45"/>
      <c r="AD557" s="44"/>
      <c r="AE557" s="44"/>
      <c r="AF557" s="44"/>
      <c r="AG557" s="45"/>
      <c r="AH557" s="44"/>
      <c r="AI557" s="81"/>
      <c r="AJ557" s="43"/>
      <c r="AK557" s="43"/>
      <c r="AL557" s="43"/>
      <c r="AM557" s="43"/>
    </row>
    <row r="558" spans="2:39" x14ac:dyDescent="0.25">
      <c r="B558" s="48"/>
      <c r="C558" s="47"/>
      <c r="D558" s="47"/>
      <c r="E558" s="47"/>
      <c r="F558" s="44"/>
      <c r="G558" s="44"/>
      <c r="H558" s="46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5"/>
      <c r="T558" s="44"/>
      <c r="U558" s="44"/>
      <c r="V558" s="44"/>
      <c r="W558" s="44"/>
      <c r="X558" s="44"/>
      <c r="Y558" s="44"/>
      <c r="Z558" s="44"/>
      <c r="AA558" s="44"/>
      <c r="AB558" s="44"/>
      <c r="AC558" s="45"/>
      <c r="AD558" s="44"/>
      <c r="AE558" s="44"/>
      <c r="AF558" s="44"/>
      <c r="AG558" s="45"/>
      <c r="AH558" s="44"/>
      <c r="AI558" s="81"/>
      <c r="AJ558" s="43"/>
      <c r="AK558" s="43"/>
      <c r="AL558" s="43"/>
      <c r="AM558" s="43"/>
    </row>
    <row r="559" spans="2:39" x14ac:dyDescent="0.25">
      <c r="B559" s="48"/>
      <c r="C559" s="47"/>
      <c r="D559" s="47"/>
      <c r="E559" s="47"/>
      <c r="F559" s="44"/>
      <c r="G559" s="44"/>
      <c r="H559" s="46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5"/>
      <c r="T559" s="44"/>
      <c r="U559" s="44"/>
      <c r="V559" s="44"/>
      <c r="W559" s="44"/>
      <c r="X559" s="44"/>
      <c r="Y559" s="44"/>
      <c r="Z559" s="44"/>
      <c r="AA559" s="44"/>
      <c r="AB559" s="44"/>
      <c r="AC559" s="45"/>
      <c r="AD559" s="44"/>
      <c r="AE559" s="44"/>
      <c r="AF559" s="44"/>
      <c r="AG559" s="45"/>
      <c r="AH559" s="44"/>
      <c r="AI559" s="81"/>
      <c r="AJ559" s="43"/>
      <c r="AK559" s="43"/>
      <c r="AL559" s="43"/>
      <c r="AM559" s="43"/>
    </row>
    <row r="560" spans="2:39" x14ac:dyDescent="0.25">
      <c r="B560" s="48"/>
      <c r="C560" s="47"/>
      <c r="D560" s="47"/>
      <c r="E560" s="47"/>
      <c r="F560" s="44"/>
      <c r="G560" s="44"/>
      <c r="H560" s="46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5"/>
      <c r="T560" s="44"/>
      <c r="U560" s="44"/>
      <c r="V560" s="44"/>
      <c r="W560" s="44"/>
      <c r="X560" s="44"/>
      <c r="Y560" s="44"/>
      <c r="Z560" s="44"/>
      <c r="AA560" s="44"/>
      <c r="AB560" s="44"/>
      <c r="AC560" s="45"/>
      <c r="AD560" s="44"/>
      <c r="AE560" s="44"/>
      <c r="AF560" s="44"/>
      <c r="AG560" s="45"/>
      <c r="AH560" s="44"/>
      <c r="AI560" s="81"/>
      <c r="AJ560" s="43"/>
      <c r="AK560" s="43"/>
      <c r="AL560" s="43"/>
      <c r="AM560" s="43"/>
    </row>
    <row r="561" spans="2:39" x14ac:dyDescent="0.25">
      <c r="B561" s="48"/>
      <c r="C561" s="47"/>
      <c r="D561" s="47"/>
      <c r="E561" s="47"/>
      <c r="F561" s="44"/>
      <c r="G561" s="44"/>
      <c r="H561" s="46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5"/>
      <c r="T561" s="44"/>
      <c r="U561" s="44"/>
      <c r="V561" s="44"/>
      <c r="W561" s="44"/>
      <c r="X561" s="44"/>
      <c r="Y561" s="44"/>
      <c r="Z561" s="44"/>
      <c r="AA561" s="44"/>
      <c r="AB561" s="44"/>
      <c r="AC561" s="45"/>
      <c r="AD561" s="44"/>
      <c r="AE561" s="44"/>
      <c r="AF561" s="44"/>
      <c r="AG561" s="45"/>
      <c r="AH561" s="44"/>
      <c r="AI561" s="81"/>
      <c r="AJ561" s="43"/>
      <c r="AK561" s="43"/>
      <c r="AL561" s="43"/>
      <c r="AM561" s="43"/>
    </row>
    <row r="562" spans="2:39" x14ac:dyDescent="0.25">
      <c r="B562" s="48"/>
      <c r="C562" s="47"/>
      <c r="D562" s="47"/>
      <c r="E562" s="47"/>
      <c r="F562" s="44"/>
      <c r="G562" s="44"/>
      <c r="H562" s="46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5"/>
      <c r="T562" s="44"/>
      <c r="U562" s="44"/>
      <c r="V562" s="44"/>
      <c r="W562" s="44"/>
      <c r="X562" s="44"/>
      <c r="Y562" s="44"/>
      <c r="Z562" s="44"/>
      <c r="AA562" s="44"/>
      <c r="AB562" s="44"/>
      <c r="AC562" s="45"/>
      <c r="AD562" s="44"/>
      <c r="AE562" s="44"/>
      <c r="AF562" s="44"/>
      <c r="AG562" s="45"/>
      <c r="AH562" s="44"/>
      <c r="AI562" s="81"/>
      <c r="AJ562" s="43"/>
      <c r="AK562" s="43"/>
      <c r="AL562" s="43"/>
      <c r="AM562" s="43"/>
    </row>
    <row r="563" spans="2:39" x14ac:dyDescent="0.25">
      <c r="B563" s="48"/>
      <c r="C563" s="47"/>
      <c r="D563" s="47"/>
      <c r="E563" s="47"/>
      <c r="F563" s="44"/>
      <c r="G563" s="44"/>
      <c r="H563" s="46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5"/>
      <c r="T563" s="44"/>
      <c r="U563" s="44"/>
      <c r="V563" s="44"/>
      <c r="W563" s="44"/>
      <c r="X563" s="44"/>
      <c r="Y563" s="44"/>
      <c r="Z563" s="44"/>
      <c r="AA563" s="44"/>
      <c r="AB563" s="44"/>
      <c r="AC563" s="45"/>
      <c r="AD563" s="44"/>
      <c r="AE563" s="44"/>
      <c r="AF563" s="44"/>
      <c r="AG563" s="45"/>
      <c r="AH563" s="44"/>
      <c r="AI563" s="81"/>
      <c r="AJ563" s="43"/>
      <c r="AK563" s="43"/>
      <c r="AL563" s="43"/>
      <c r="AM563" s="43"/>
    </row>
    <row r="564" spans="2:39" x14ac:dyDescent="0.25">
      <c r="B564" s="48"/>
      <c r="C564" s="47"/>
      <c r="D564" s="47"/>
      <c r="E564" s="47"/>
      <c r="F564" s="44"/>
      <c r="G564" s="44"/>
      <c r="H564" s="46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5"/>
      <c r="T564" s="44"/>
      <c r="U564" s="44"/>
      <c r="V564" s="44"/>
      <c r="W564" s="44"/>
      <c r="X564" s="44"/>
      <c r="Y564" s="44"/>
      <c r="Z564" s="44"/>
      <c r="AA564" s="44"/>
      <c r="AB564" s="44"/>
      <c r="AC564" s="45"/>
      <c r="AD564" s="44"/>
      <c r="AE564" s="44"/>
      <c r="AF564" s="44"/>
      <c r="AG564" s="45"/>
      <c r="AH564" s="44"/>
      <c r="AI564" s="81"/>
      <c r="AJ564" s="43"/>
      <c r="AK564" s="43"/>
      <c r="AL564" s="43"/>
      <c r="AM564" s="43"/>
    </row>
    <row r="565" spans="2:39" x14ac:dyDescent="0.25">
      <c r="B565" s="48"/>
      <c r="C565" s="47"/>
      <c r="D565" s="47"/>
      <c r="E565" s="47"/>
      <c r="F565" s="44"/>
      <c r="G565" s="44"/>
      <c r="H565" s="46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5"/>
      <c r="T565" s="44"/>
      <c r="U565" s="44"/>
      <c r="V565" s="44"/>
      <c r="W565" s="44"/>
      <c r="X565" s="44"/>
      <c r="Y565" s="44"/>
      <c r="Z565" s="44"/>
      <c r="AA565" s="44"/>
      <c r="AB565" s="44"/>
      <c r="AC565" s="45"/>
      <c r="AD565" s="44"/>
      <c r="AE565" s="44"/>
      <c r="AF565" s="44"/>
      <c r="AG565" s="45"/>
      <c r="AH565" s="44"/>
      <c r="AI565" s="81"/>
      <c r="AJ565" s="43"/>
      <c r="AK565" s="43"/>
      <c r="AL565" s="43"/>
      <c r="AM565" s="43"/>
    </row>
    <row r="566" spans="2:39" x14ac:dyDescent="0.25">
      <c r="B566" s="48"/>
      <c r="C566" s="47"/>
      <c r="D566" s="47"/>
      <c r="E566" s="47"/>
      <c r="F566" s="44"/>
      <c r="G566" s="44"/>
      <c r="H566" s="46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5"/>
      <c r="T566" s="44"/>
      <c r="U566" s="44"/>
      <c r="V566" s="44"/>
      <c r="W566" s="44"/>
      <c r="X566" s="44"/>
      <c r="Y566" s="44"/>
      <c r="Z566" s="44"/>
      <c r="AA566" s="44"/>
      <c r="AB566" s="44"/>
      <c r="AC566" s="45"/>
      <c r="AD566" s="44"/>
      <c r="AE566" s="44"/>
      <c r="AF566" s="44"/>
      <c r="AG566" s="45"/>
      <c r="AH566" s="44"/>
      <c r="AI566" s="81"/>
      <c r="AJ566" s="43"/>
      <c r="AK566" s="43"/>
      <c r="AL566" s="43"/>
      <c r="AM566" s="43"/>
    </row>
    <row r="567" spans="2:39" x14ac:dyDescent="0.25">
      <c r="B567" s="48"/>
      <c r="C567" s="47"/>
      <c r="D567" s="47"/>
      <c r="E567" s="47"/>
      <c r="F567" s="44"/>
      <c r="G567" s="44"/>
      <c r="H567" s="46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5"/>
      <c r="T567" s="44"/>
      <c r="U567" s="44"/>
      <c r="V567" s="44"/>
      <c r="W567" s="44"/>
      <c r="X567" s="44"/>
      <c r="Y567" s="44"/>
      <c r="Z567" s="44"/>
      <c r="AA567" s="44"/>
      <c r="AB567" s="44"/>
      <c r="AC567" s="45"/>
      <c r="AD567" s="44"/>
      <c r="AE567" s="44"/>
      <c r="AF567" s="44"/>
      <c r="AG567" s="45"/>
      <c r="AH567" s="44"/>
      <c r="AI567" s="81"/>
      <c r="AJ567" s="43"/>
      <c r="AK567" s="43"/>
      <c r="AL567" s="43"/>
      <c r="AM567" s="43"/>
    </row>
    <row r="568" spans="2:39" x14ac:dyDescent="0.25">
      <c r="B568" s="48"/>
      <c r="C568" s="47"/>
      <c r="D568" s="47"/>
      <c r="E568" s="47"/>
      <c r="F568" s="44"/>
      <c r="G568" s="44"/>
      <c r="H568" s="46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5"/>
      <c r="T568" s="44"/>
      <c r="U568" s="44"/>
      <c r="V568" s="44"/>
      <c r="W568" s="44"/>
      <c r="X568" s="44"/>
      <c r="Y568" s="44"/>
      <c r="Z568" s="44"/>
      <c r="AA568" s="44"/>
      <c r="AB568" s="44"/>
      <c r="AC568" s="45"/>
      <c r="AD568" s="44"/>
      <c r="AE568" s="44"/>
      <c r="AF568" s="44"/>
      <c r="AG568" s="45"/>
      <c r="AH568" s="44"/>
      <c r="AI568" s="81"/>
      <c r="AJ568" s="43"/>
      <c r="AK568" s="43"/>
      <c r="AL568" s="43"/>
      <c r="AM568" s="43"/>
    </row>
    <row r="569" spans="2:39" x14ac:dyDescent="0.25">
      <c r="B569" s="48"/>
      <c r="C569" s="47"/>
      <c r="D569" s="47"/>
      <c r="E569" s="47"/>
      <c r="F569" s="44"/>
      <c r="G569" s="44"/>
      <c r="H569" s="46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5"/>
      <c r="T569" s="44"/>
      <c r="U569" s="44"/>
      <c r="V569" s="44"/>
      <c r="W569" s="44"/>
      <c r="X569" s="44"/>
      <c r="Y569" s="44"/>
      <c r="Z569" s="44"/>
      <c r="AA569" s="44"/>
      <c r="AB569" s="44"/>
      <c r="AC569" s="45"/>
      <c r="AD569" s="44"/>
      <c r="AE569" s="44"/>
      <c r="AF569" s="44"/>
      <c r="AG569" s="45"/>
      <c r="AH569" s="44"/>
      <c r="AI569" s="81"/>
      <c r="AJ569" s="43"/>
      <c r="AK569" s="43"/>
      <c r="AL569" s="43"/>
      <c r="AM569" s="43"/>
    </row>
    <row r="570" spans="2:39" x14ac:dyDescent="0.25">
      <c r="B570" s="48"/>
      <c r="C570" s="47"/>
      <c r="D570" s="47"/>
      <c r="E570" s="47"/>
      <c r="F570" s="44"/>
      <c r="G570" s="44"/>
      <c r="H570" s="46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5"/>
      <c r="T570" s="44"/>
      <c r="U570" s="44"/>
      <c r="V570" s="44"/>
      <c r="W570" s="44"/>
      <c r="X570" s="44"/>
      <c r="Y570" s="44"/>
      <c r="Z570" s="44"/>
      <c r="AA570" s="44"/>
      <c r="AB570" s="44"/>
      <c r="AC570" s="45"/>
      <c r="AD570" s="44"/>
      <c r="AE570" s="44"/>
      <c r="AF570" s="44"/>
      <c r="AG570" s="45"/>
      <c r="AH570" s="44"/>
      <c r="AI570" s="81"/>
      <c r="AJ570" s="43"/>
      <c r="AK570" s="43"/>
      <c r="AL570" s="43"/>
      <c r="AM570" s="43"/>
    </row>
    <row r="571" spans="2:39" x14ac:dyDescent="0.25">
      <c r="B571" s="48"/>
      <c r="C571" s="47"/>
      <c r="D571" s="47"/>
      <c r="E571" s="47"/>
      <c r="F571" s="44"/>
      <c r="G571" s="44"/>
      <c r="H571" s="46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5"/>
      <c r="T571" s="44"/>
      <c r="U571" s="44"/>
      <c r="V571" s="44"/>
      <c r="W571" s="44"/>
      <c r="X571" s="44"/>
      <c r="Y571" s="44"/>
      <c r="Z571" s="44"/>
      <c r="AA571" s="44"/>
      <c r="AB571" s="44"/>
      <c r="AC571" s="45"/>
      <c r="AD571" s="44"/>
      <c r="AE571" s="44"/>
      <c r="AF571" s="44"/>
      <c r="AG571" s="45"/>
      <c r="AH571" s="44"/>
      <c r="AI571" s="81"/>
      <c r="AJ571" s="43"/>
      <c r="AK571" s="43"/>
      <c r="AL571" s="43"/>
      <c r="AM571" s="43"/>
    </row>
    <row r="572" spans="2:39" x14ac:dyDescent="0.25">
      <c r="B572" s="48"/>
      <c r="C572" s="47"/>
      <c r="D572" s="47"/>
      <c r="E572" s="47"/>
      <c r="F572" s="44"/>
      <c r="G572" s="44"/>
      <c r="H572" s="46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5"/>
      <c r="T572" s="44"/>
      <c r="U572" s="44"/>
      <c r="V572" s="44"/>
      <c r="W572" s="44"/>
      <c r="X572" s="44"/>
      <c r="Y572" s="44"/>
      <c r="Z572" s="44"/>
      <c r="AA572" s="44"/>
      <c r="AB572" s="44"/>
      <c r="AC572" s="45"/>
      <c r="AD572" s="44"/>
      <c r="AE572" s="44"/>
      <c r="AF572" s="44"/>
      <c r="AG572" s="45"/>
      <c r="AH572" s="44"/>
      <c r="AI572" s="81"/>
      <c r="AJ572" s="43"/>
      <c r="AK572" s="43"/>
      <c r="AL572" s="43"/>
      <c r="AM572" s="43"/>
    </row>
    <row r="573" spans="2:39" x14ac:dyDescent="0.25">
      <c r="B573" s="48"/>
      <c r="C573" s="47"/>
      <c r="D573" s="47"/>
      <c r="E573" s="47"/>
      <c r="F573" s="44"/>
      <c r="G573" s="44"/>
      <c r="H573" s="46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5"/>
      <c r="T573" s="44"/>
      <c r="U573" s="44"/>
      <c r="V573" s="44"/>
      <c r="W573" s="44"/>
      <c r="X573" s="44"/>
      <c r="Y573" s="44"/>
      <c r="Z573" s="44"/>
      <c r="AA573" s="44"/>
      <c r="AB573" s="44"/>
      <c r="AC573" s="45"/>
      <c r="AD573" s="44"/>
      <c r="AE573" s="44"/>
      <c r="AF573" s="44"/>
      <c r="AG573" s="45"/>
      <c r="AH573" s="44"/>
      <c r="AI573" s="81"/>
      <c r="AJ573" s="43"/>
      <c r="AK573" s="43"/>
      <c r="AL573" s="43"/>
      <c r="AM573" s="43"/>
    </row>
    <row r="574" spans="2:39" x14ac:dyDescent="0.25">
      <c r="B574" s="48"/>
      <c r="C574" s="47"/>
      <c r="D574" s="47"/>
      <c r="E574" s="47"/>
      <c r="F574" s="44"/>
      <c r="G574" s="44"/>
      <c r="H574" s="46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5"/>
      <c r="T574" s="44"/>
      <c r="U574" s="44"/>
      <c r="V574" s="44"/>
      <c r="W574" s="44"/>
      <c r="X574" s="44"/>
      <c r="Y574" s="44"/>
      <c r="Z574" s="44"/>
      <c r="AA574" s="44"/>
      <c r="AB574" s="44"/>
      <c r="AC574" s="45"/>
      <c r="AD574" s="44"/>
      <c r="AE574" s="44"/>
      <c r="AF574" s="44"/>
      <c r="AG574" s="45"/>
      <c r="AH574" s="44"/>
      <c r="AI574" s="81"/>
      <c r="AJ574" s="43"/>
      <c r="AK574" s="43"/>
      <c r="AL574" s="43"/>
      <c r="AM574" s="43"/>
    </row>
    <row r="575" spans="2:39" x14ac:dyDescent="0.25">
      <c r="B575" s="48"/>
      <c r="C575" s="47"/>
      <c r="D575" s="47"/>
      <c r="E575" s="47"/>
      <c r="F575" s="44"/>
      <c r="G575" s="44"/>
      <c r="H575" s="46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5"/>
      <c r="T575" s="44"/>
      <c r="U575" s="44"/>
      <c r="V575" s="44"/>
      <c r="W575" s="44"/>
      <c r="X575" s="44"/>
      <c r="Y575" s="44"/>
      <c r="Z575" s="44"/>
      <c r="AA575" s="44"/>
      <c r="AB575" s="44"/>
      <c r="AC575" s="45"/>
      <c r="AD575" s="44"/>
      <c r="AE575" s="44"/>
      <c r="AF575" s="44"/>
      <c r="AG575" s="45"/>
      <c r="AH575" s="44"/>
      <c r="AI575" s="81"/>
      <c r="AJ575" s="43"/>
      <c r="AK575" s="43"/>
      <c r="AL575" s="43"/>
      <c r="AM575" s="43"/>
    </row>
    <row r="576" spans="2:39" x14ac:dyDescent="0.25">
      <c r="B576" s="48"/>
      <c r="C576" s="47"/>
      <c r="D576" s="47"/>
      <c r="E576" s="47"/>
      <c r="F576" s="44"/>
      <c r="G576" s="44"/>
      <c r="H576" s="46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5"/>
      <c r="T576" s="44"/>
      <c r="U576" s="44"/>
      <c r="V576" s="44"/>
      <c r="W576" s="44"/>
      <c r="X576" s="44"/>
      <c r="Y576" s="44"/>
      <c r="Z576" s="44"/>
      <c r="AA576" s="44"/>
      <c r="AB576" s="44"/>
      <c r="AC576" s="45"/>
      <c r="AD576" s="44"/>
      <c r="AE576" s="44"/>
      <c r="AF576" s="44"/>
      <c r="AG576" s="45"/>
      <c r="AH576" s="44"/>
      <c r="AI576" s="81"/>
      <c r="AJ576" s="43"/>
      <c r="AK576" s="43"/>
      <c r="AL576" s="43"/>
      <c r="AM576" s="43"/>
    </row>
    <row r="577" spans="2:39" x14ac:dyDescent="0.25">
      <c r="B577" s="48"/>
      <c r="C577" s="47"/>
      <c r="D577" s="47"/>
      <c r="E577" s="47"/>
      <c r="F577" s="44"/>
      <c r="G577" s="44"/>
      <c r="H577" s="46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5"/>
      <c r="T577" s="44"/>
      <c r="U577" s="44"/>
      <c r="V577" s="44"/>
      <c r="W577" s="44"/>
      <c r="X577" s="44"/>
      <c r="Y577" s="44"/>
      <c r="Z577" s="44"/>
      <c r="AA577" s="44"/>
      <c r="AB577" s="44"/>
      <c r="AC577" s="45"/>
      <c r="AD577" s="44"/>
      <c r="AE577" s="44"/>
      <c r="AF577" s="44"/>
      <c r="AG577" s="45"/>
      <c r="AH577" s="44"/>
      <c r="AI577" s="81"/>
      <c r="AJ577" s="43"/>
      <c r="AK577" s="43"/>
      <c r="AL577" s="43"/>
      <c r="AM577" s="43"/>
    </row>
    <row r="578" spans="2:39" x14ac:dyDescent="0.25">
      <c r="B578" s="48"/>
      <c r="C578" s="47"/>
      <c r="D578" s="47"/>
      <c r="E578" s="47"/>
      <c r="F578" s="44"/>
      <c r="G578" s="44"/>
      <c r="H578" s="46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5"/>
      <c r="T578" s="44"/>
      <c r="U578" s="44"/>
      <c r="V578" s="44"/>
      <c r="W578" s="44"/>
      <c r="X578" s="44"/>
      <c r="Y578" s="44"/>
      <c r="Z578" s="44"/>
      <c r="AA578" s="44"/>
      <c r="AB578" s="44"/>
      <c r="AC578" s="45"/>
      <c r="AD578" s="44"/>
      <c r="AE578" s="44"/>
      <c r="AF578" s="44"/>
      <c r="AG578" s="45"/>
      <c r="AH578" s="44"/>
      <c r="AI578" s="81"/>
      <c r="AJ578" s="43"/>
      <c r="AK578" s="43"/>
      <c r="AL578" s="43"/>
      <c r="AM578" s="43"/>
    </row>
    <row r="579" spans="2:39" x14ac:dyDescent="0.25">
      <c r="B579" s="48"/>
      <c r="C579" s="47"/>
      <c r="D579" s="47"/>
      <c r="E579" s="47"/>
      <c r="F579" s="44"/>
      <c r="G579" s="44"/>
      <c r="H579" s="46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5"/>
      <c r="T579" s="44"/>
      <c r="U579" s="44"/>
      <c r="V579" s="44"/>
      <c r="W579" s="44"/>
      <c r="X579" s="44"/>
      <c r="Y579" s="44"/>
      <c r="Z579" s="44"/>
      <c r="AA579" s="44"/>
      <c r="AB579" s="44"/>
      <c r="AC579" s="45"/>
      <c r="AD579" s="44"/>
      <c r="AE579" s="44"/>
      <c r="AF579" s="44"/>
      <c r="AG579" s="45"/>
      <c r="AH579" s="44"/>
      <c r="AI579" s="81"/>
      <c r="AJ579" s="43"/>
      <c r="AK579" s="43"/>
      <c r="AL579" s="43"/>
      <c r="AM579" s="43"/>
    </row>
    <row r="580" spans="2:39" x14ac:dyDescent="0.25">
      <c r="B580" s="48"/>
      <c r="C580" s="47"/>
      <c r="D580" s="47"/>
      <c r="E580" s="47"/>
      <c r="F580" s="44"/>
      <c r="G580" s="44"/>
      <c r="H580" s="46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5"/>
      <c r="T580" s="44"/>
      <c r="U580" s="44"/>
      <c r="V580" s="44"/>
      <c r="W580" s="44"/>
      <c r="X580" s="44"/>
      <c r="Y580" s="44"/>
      <c r="Z580" s="44"/>
      <c r="AA580" s="44"/>
      <c r="AB580" s="44"/>
      <c r="AC580" s="45"/>
      <c r="AD580" s="44"/>
      <c r="AE580" s="44"/>
      <c r="AF580" s="44"/>
      <c r="AG580" s="45"/>
      <c r="AH580" s="44"/>
      <c r="AI580" s="81"/>
      <c r="AJ580" s="43"/>
      <c r="AK580" s="43"/>
      <c r="AL580" s="43"/>
      <c r="AM580" s="43"/>
    </row>
    <row r="581" spans="2:39" x14ac:dyDescent="0.25">
      <c r="B581" s="48"/>
      <c r="C581" s="47"/>
      <c r="D581" s="47"/>
      <c r="E581" s="47"/>
      <c r="F581" s="44"/>
      <c r="G581" s="44"/>
      <c r="H581" s="46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5"/>
      <c r="T581" s="44"/>
      <c r="U581" s="44"/>
      <c r="V581" s="44"/>
      <c r="W581" s="44"/>
      <c r="X581" s="44"/>
      <c r="Y581" s="44"/>
      <c r="Z581" s="44"/>
      <c r="AA581" s="44"/>
      <c r="AB581" s="44"/>
      <c r="AC581" s="45"/>
      <c r="AD581" s="44"/>
      <c r="AE581" s="44"/>
      <c r="AF581" s="44"/>
      <c r="AG581" s="45"/>
      <c r="AH581" s="44"/>
      <c r="AI581" s="81"/>
      <c r="AJ581" s="43"/>
      <c r="AK581" s="43"/>
      <c r="AL581" s="43"/>
      <c r="AM581" s="43"/>
    </row>
    <row r="582" spans="2:39" x14ac:dyDescent="0.25">
      <c r="B582" s="48"/>
      <c r="C582" s="47"/>
      <c r="D582" s="47"/>
      <c r="E582" s="47"/>
      <c r="F582" s="44"/>
      <c r="G582" s="44"/>
      <c r="H582" s="46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5"/>
      <c r="T582" s="44"/>
      <c r="U582" s="44"/>
      <c r="V582" s="44"/>
      <c r="W582" s="44"/>
      <c r="X582" s="44"/>
      <c r="Y582" s="44"/>
      <c r="Z582" s="44"/>
      <c r="AA582" s="44"/>
      <c r="AB582" s="44"/>
      <c r="AC582" s="45"/>
      <c r="AD582" s="44"/>
      <c r="AE582" s="44"/>
      <c r="AF582" s="44"/>
      <c r="AG582" s="45"/>
      <c r="AH582" s="44"/>
      <c r="AI582" s="81"/>
      <c r="AJ582" s="43"/>
      <c r="AK582" s="43"/>
      <c r="AL582" s="43"/>
      <c r="AM582" s="43"/>
    </row>
    <row r="583" spans="2:39" x14ac:dyDescent="0.25">
      <c r="B583" s="48"/>
      <c r="C583" s="47"/>
      <c r="D583" s="47"/>
      <c r="E583" s="47"/>
      <c r="F583" s="44"/>
      <c r="G583" s="44"/>
      <c r="H583" s="46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5"/>
      <c r="T583" s="44"/>
      <c r="U583" s="44"/>
      <c r="V583" s="44"/>
      <c r="W583" s="44"/>
      <c r="X583" s="44"/>
      <c r="Y583" s="44"/>
      <c r="Z583" s="44"/>
      <c r="AA583" s="44"/>
      <c r="AB583" s="44"/>
      <c r="AC583" s="45"/>
      <c r="AD583" s="44"/>
      <c r="AE583" s="44"/>
      <c r="AF583" s="44"/>
      <c r="AG583" s="45"/>
      <c r="AH583" s="44"/>
      <c r="AI583" s="81"/>
      <c r="AJ583" s="43"/>
      <c r="AK583" s="43"/>
      <c r="AL583" s="43"/>
      <c r="AM583" s="43"/>
    </row>
    <row r="584" spans="2:39" x14ac:dyDescent="0.25">
      <c r="B584" s="48"/>
      <c r="C584" s="47"/>
      <c r="D584" s="47"/>
      <c r="E584" s="47"/>
      <c r="F584" s="44"/>
      <c r="G584" s="44"/>
      <c r="H584" s="46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5"/>
      <c r="T584" s="44"/>
      <c r="U584" s="44"/>
      <c r="V584" s="44"/>
      <c r="W584" s="44"/>
      <c r="X584" s="44"/>
      <c r="Y584" s="44"/>
      <c r="Z584" s="44"/>
      <c r="AA584" s="44"/>
      <c r="AB584" s="44"/>
      <c r="AC584" s="45"/>
      <c r="AD584" s="44"/>
      <c r="AE584" s="44"/>
      <c r="AF584" s="44"/>
      <c r="AG584" s="45"/>
      <c r="AH584" s="44"/>
      <c r="AI584" s="81"/>
      <c r="AJ584" s="43"/>
      <c r="AK584" s="43"/>
      <c r="AL584" s="43"/>
      <c r="AM584" s="43"/>
    </row>
    <row r="585" spans="2:39" x14ac:dyDescent="0.25">
      <c r="B585" s="48"/>
      <c r="C585" s="47"/>
      <c r="D585" s="47"/>
      <c r="E585" s="47"/>
      <c r="F585" s="44"/>
      <c r="G585" s="44"/>
      <c r="H585" s="46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5"/>
      <c r="T585" s="44"/>
      <c r="U585" s="44"/>
      <c r="V585" s="44"/>
      <c r="W585" s="44"/>
      <c r="X585" s="44"/>
      <c r="Y585" s="44"/>
      <c r="Z585" s="44"/>
      <c r="AA585" s="44"/>
      <c r="AB585" s="44"/>
      <c r="AC585" s="45"/>
      <c r="AD585" s="44"/>
      <c r="AE585" s="44"/>
      <c r="AF585" s="44"/>
      <c r="AG585" s="45"/>
      <c r="AH585" s="44"/>
      <c r="AI585" s="81"/>
      <c r="AJ585" s="43"/>
      <c r="AK585" s="43"/>
      <c r="AL585" s="43"/>
      <c r="AM585" s="43"/>
    </row>
    <row r="586" spans="2:39" x14ac:dyDescent="0.25">
      <c r="B586" s="48"/>
      <c r="C586" s="47"/>
      <c r="D586" s="47"/>
      <c r="E586" s="47"/>
      <c r="F586" s="44"/>
      <c r="G586" s="44"/>
      <c r="H586" s="46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5"/>
      <c r="T586" s="44"/>
      <c r="U586" s="44"/>
      <c r="V586" s="44"/>
      <c r="W586" s="44"/>
      <c r="X586" s="44"/>
      <c r="Y586" s="44"/>
      <c r="Z586" s="44"/>
      <c r="AA586" s="44"/>
      <c r="AB586" s="44"/>
      <c r="AC586" s="45"/>
      <c r="AD586" s="44"/>
      <c r="AE586" s="44"/>
      <c r="AF586" s="44"/>
      <c r="AG586" s="45"/>
      <c r="AH586" s="44"/>
      <c r="AI586" s="81"/>
      <c r="AJ586" s="43"/>
      <c r="AK586" s="43"/>
      <c r="AL586" s="43"/>
      <c r="AM586" s="43"/>
    </row>
    <row r="587" spans="2:39" x14ac:dyDescent="0.25">
      <c r="B587" s="48"/>
      <c r="C587" s="47"/>
      <c r="D587" s="47"/>
      <c r="E587" s="47"/>
      <c r="F587" s="44"/>
      <c r="G587" s="44"/>
      <c r="H587" s="46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5"/>
      <c r="T587" s="44"/>
      <c r="U587" s="44"/>
      <c r="V587" s="44"/>
      <c r="W587" s="44"/>
      <c r="X587" s="44"/>
      <c r="Y587" s="44"/>
      <c r="Z587" s="44"/>
      <c r="AA587" s="44"/>
      <c r="AB587" s="44"/>
      <c r="AC587" s="45"/>
      <c r="AD587" s="44"/>
      <c r="AE587" s="44"/>
      <c r="AF587" s="44"/>
      <c r="AG587" s="45"/>
      <c r="AH587" s="44"/>
      <c r="AI587" s="81"/>
      <c r="AJ587" s="43"/>
      <c r="AK587" s="43"/>
      <c r="AL587" s="43"/>
      <c r="AM587" s="43"/>
    </row>
    <row r="588" spans="2:39" x14ac:dyDescent="0.25">
      <c r="B588" s="48"/>
      <c r="C588" s="47"/>
      <c r="D588" s="47"/>
      <c r="E588" s="47"/>
      <c r="F588" s="44"/>
      <c r="G588" s="44"/>
      <c r="H588" s="46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5"/>
      <c r="T588" s="44"/>
      <c r="U588" s="44"/>
      <c r="V588" s="44"/>
      <c r="W588" s="44"/>
      <c r="X588" s="44"/>
      <c r="Y588" s="44"/>
      <c r="Z588" s="44"/>
      <c r="AA588" s="44"/>
      <c r="AB588" s="44"/>
      <c r="AC588" s="45"/>
      <c r="AD588" s="44"/>
      <c r="AE588" s="44"/>
      <c r="AF588" s="44"/>
      <c r="AG588" s="45"/>
      <c r="AH588" s="44"/>
      <c r="AI588" s="81"/>
      <c r="AJ588" s="43"/>
      <c r="AK588" s="43"/>
      <c r="AL588" s="43"/>
      <c r="AM588" s="43"/>
    </row>
    <row r="589" spans="2:39" x14ac:dyDescent="0.25">
      <c r="B589" s="48"/>
      <c r="C589" s="47"/>
      <c r="D589" s="47"/>
      <c r="E589" s="47"/>
      <c r="F589" s="44"/>
      <c r="G589" s="44"/>
      <c r="H589" s="46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5"/>
      <c r="T589" s="44"/>
      <c r="U589" s="44"/>
      <c r="V589" s="44"/>
      <c r="W589" s="44"/>
      <c r="X589" s="44"/>
      <c r="Y589" s="44"/>
      <c r="Z589" s="44"/>
      <c r="AA589" s="44"/>
      <c r="AB589" s="44"/>
      <c r="AC589" s="45"/>
      <c r="AD589" s="44"/>
      <c r="AE589" s="44"/>
      <c r="AF589" s="44"/>
      <c r="AG589" s="45"/>
      <c r="AH589" s="44"/>
      <c r="AI589" s="81"/>
      <c r="AJ589" s="43"/>
      <c r="AK589" s="43"/>
      <c r="AL589" s="43"/>
      <c r="AM589" s="43"/>
    </row>
    <row r="590" spans="2:39" x14ac:dyDescent="0.25">
      <c r="B590" s="48"/>
      <c r="C590" s="47"/>
      <c r="D590" s="47"/>
      <c r="E590" s="47"/>
      <c r="F590" s="44"/>
      <c r="G590" s="44"/>
      <c r="H590" s="46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5"/>
      <c r="T590" s="44"/>
      <c r="U590" s="44"/>
      <c r="V590" s="44"/>
      <c r="W590" s="44"/>
      <c r="X590" s="44"/>
      <c r="Y590" s="44"/>
      <c r="Z590" s="44"/>
      <c r="AA590" s="44"/>
      <c r="AB590" s="44"/>
      <c r="AC590" s="45"/>
      <c r="AD590" s="44"/>
      <c r="AE590" s="44"/>
      <c r="AF590" s="44"/>
      <c r="AG590" s="45"/>
      <c r="AH590" s="44"/>
      <c r="AI590" s="81"/>
      <c r="AJ590" s="43"/>
      <c r="AK590" s="43"/>
      <c r="AL590" s="43"/>
      <c r="AM590" s="43"/>
    </row>
    <row r="591" spans="2:39" x14ac:dyDescent="0.25">
      <c r="B591" s="48"/>
      <c r="C591" s="47"/>
      <c r="D591" s="47"/>
      <c r="E591" s="47"/>
      <c r="F591" s="44"/>
      <c r="G591" s="44"/>
      <c r="H591" s="46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5"/>
      <c r="T591" s="44"/>
      <c r="U591" s="44"/>
      <c r="V591" s="44"/>
      <c r="W591" s="44"/>
      <c r="X591" s="44"/>
      <c r="Y591" s="44"/>
      <c r="Z591" s="44"/>
      <c r="AA591" s="44"/>
      <c r="AB591" s="44"/>
      <c r="AC591" s="45"/>
      <c r="AD591" s="44"/>
      <c r="AE591" s="44"/>
      <c r="AF591" s="44"/>
      <c r="AG591" s="45"/>
      <c r="AH591" s="44"/>
      <c r="AI591" s="81"/>
      <c r="AJ591" s="43"/>
      <c r="AK591" s="43"/>
      <c r="AL591" s="43"/>
      <c r="AM591" s="43"/>
    </row>
    <row r="592" spans="2:39" x14ac:dyDescent="0.25">
      <c r="B592" s="48"/>
      <c r="C592" s="47"/>
      <c r="D592" s="47"/>
      <c r="E592" s="47"/>
      <c r="F592" s="44"/>
      <c r="G592" s="44"/>
      <c r="H592" s="46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5"/>
      <c r="T592" s="44"/>
      <c r="U592" s="44"/>
      <c r="V592" s="44"/>
      <c r="W592" s="44"/>
      <c r="X592" s="44"/>
      <c r="Y592" s="44"/>
      <c r="Z592" s="44"/>
      <c r="AA592" s="44"/>
      <c r="AB592" s="44"/>
      <c r="AC592" s="45"/>
      <c r="AD592" s="44"/>
      <c r="AE592" s="44"/>
      <c r="AF592" s="44"/>
      <c r="AG592" s="45"/>
      <c r="AH592" s="44"/>
      <c r="AI592" s="81"/>
      <c r="AJ592" s="43"/>
      <c r="AK592" s="43"/>
      <c r="AL592" s="43"/>
      <c r="AM592" s="43"/>
    </row>
    <row r="593" spans="2:39" x14ac:dyDescent="0.25">
      <c r="B593" s="48"/>
      <c r="C593" s="47"/>
      <c r="D593" s="47"/>
      <c r="E593" s="47"/>
      <c r="F593" s="44"/>
      <c r="G593" s="44"/>
      <c r="H593" s="46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5"/>
      <c r="T593" s="44"/>
      <c r="U593" s="44"/>
      <c r="V593" s="44"/>
      <c r="W593" s="44"/>
      <c r="X593" s="44"/>
      <c r="Y593" s="44"/>
      <c r="Z593" s="44"/>
      <c r="AA593" s="44"/>
      <c r="AB593" s="44"/>
      <c r="AC593" s="45"/>
      <c r="AD593" s="44"/>
      <c r="AE593" s="44"/>
      <c r="AF593" s="44"/>
      <c r="AG593" s="45"/>
      <c r="AH593" s="44"/>
      <c r="AI593" s="81"/>
      <c r="AJ593" s="43"/>
      <c r="AK593" s="43"/>
      <c r="AL593" s="43"/>
      <c r="AM593" s="43"/>
    </row>
    <row r="594" spans="2:39" x14ac:dyDescent="0.25">
      <c r="B594" s="48"/>
      <c r="C594" s="47"/>
      <c r="D594" s="47"/>
      <c r="E594" s="47"/>
      <c r="F594" s="44"/>
      <c r="G594" s="44"/>
      <c r="H594" s="46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5"/>
      <c r="T594" s="44"/>
      <c r="U594" s="44"/>
      <c r="V594" s="44"/>
      <c r="W594" s="44"/>
      <c r="X594" s="44"/>
      <c r="Y594" s="44"/>
      <c r="Z594" s="44"/>
      <c r="AA594" s="44"/>
      <c r="AB594" s="44"/>
      <c r="AC594" s="45"/>
      <c r="AD594" s="44"/>
      <c r="AE594" s="44"/>
      <c r="AF594" s="44"/>
      <c r="AG594" s="45"/>
      <c r="AH594" s="44"/>
      <c r="AI594" s="81"/>
      <c r="AJ594" s="43"/>
      <c r="AK594" s="43"/>
      <c r="AL594" s="43"/>
      <c r="AM594" s="43"/>
    </row>
    <row r="595" spans="2:39" x14ac:dyDescent="0.25">
      <c r="B595" s="48"/>
      <c r="C595" s="47"/>
      <c r="D595" s="47"/>
      <c r="E595" s="47"/>
      <c r="F595" s="44"/>
      <c r="G595" s="44"/>
      <c r="H595" s="46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5"/>
      <c r="T595" s="44"/>
      <c r="U595" s="44"/>
      <c r="V595" s="44"/>
      <c r="W595" s="44"/>
      <c r="X595" s="44"/>
      <c r="Y595" s="44"/>
      <c r="Z595" s="44"/>
      <c r="AA595" s="44"/>
      <c r="AB595" s="44"/>
      <c r="AC595" s="45"/>
      <c r="AD595" s="44"/>
      <c r="AE595" s="44"/>
      <c r="AF595" s="44"/>
      <c r="AG595" s="45"/>
      <c r="AH595" s="44"/>
      <c r="AI595" s="81"/>
      <c r="AJ595" s="43"/>
      <c r="AK595" s="43"/>
      <c r="AL595" s="43"/>
      <c r="AM595" s="43"/>
    </row>
    <row r="596" spans="2:39" x14ac:dyDescent="0.25">
      <c r="B596" s="48"/>
      <c r="C596" s="47"/>
      <c r="D596" s="47"/>
      <c r="E596" s="47"/>
      <c r="F596" s="44"/>
      <c r="G596" s="44"/>
      <c r="H596" s="46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5"/>
      <c r="T596" s="44"/>
      <c r="U596" s="44"/>
      <c r="V596" s="44"/>
      <c r="W596" s="44"/>
      <c r="X596" s="44"/>
      <c r="Y596" s="44"/>
      <c r="Z596" s="44"/>
      <c r="AA596" s="44"/>
      <c r="AB596" s="44"/>
      <c r="AC596" s="45"/>
      <c r="AD596" s="44"/>
      <c r="AE596" s="44"/>
      <c r="AF596" s="44"/>
      <c r="AG596" s="45"/>
      <c r="AH596" s="44"/>
      <c r="AI596" s="81"/>
      <c r="AJ596" s="43"/>
      <c r="AK596" s="43"/>
      <c r="AL596" s="43"/>
      <c r="AM596" s="43"/>
    </row>
    <row r="597" spans="2:39" x14ac:dyDescent="0.25">
      <c r="B597" s="48"/>
      <c r="C597" s="47"/>
      <c r="D597" s="47"/>
      <c r="E597" s="47"/>
      <c r="F597" s="44"/>
      <c r="G597" s="44"/>
      <c r="H597" s="46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5"/>
      <c r="T597" s="44"/>
      <c r="U597" s="44"/>
      <c r="V597" s="44"/>
      <c r="W597" s="44"/>
      <c r="X597" s="44"/>
      <c r="Y597" s="44"/>
      <c r="Z597" s="44"/>
      <c r="AA597" s="44"/>
      <c r="AB597" s="44"/>
      <c r="AC597" s="45"/>
      <c r="AD597" s="44"/>
      <c r="AE597" s="44"/>
      <c r="AF597" s="44"/>
      <c r="AG597" s="45"/>
      <c r="AH597" s="44"/>
      <c r="AI597" s="81"/>
      <c r="AJ597" s="43"/>
      <c r="AK597" s="43"/>
      <c r="AL597" s="43"/>
      <c r="AM597" s="43"/>
    </row>
    <row r="598" spans="2:39" x14ac:dyDescent="0.25">
      <c r="B598" s="48"/>
      <c r="C598" s="47"/>
      <c r="D598" s="47"/>
      <c r="E598" s="47"/>
      <c r="F598" s="44"/>
      <c r="G598" s="44"/>
      <c r="H598" s="46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5"/>
      <c r="T598" s="44"/>
      <c r="U598" s="44"/>
      <c r="V598" s="44"/>
      <c r="W598" s="44"/>
      <c r="X598" s="44"/>
      <c r="Y598" s="44"/>
      <c r="Z598" s="44"/>
      <c r="AA598" s="44"/>
      <c r="AB598" s="44"/>
      <c r="AC598" s="45"/>
      <c r="AD598" s="44"/>
      <c r="AE598" s="44"/>
      <c r="AF598" s="44"/>
      <c r="AG598" s="45"/>
      <c r="AH598" s="44"/>
      <c r="AI598" s="81"/>
      <c r="AJ598" s="43"/>
      <c r="AK598" s="43"/>
      <c r="AL598" s="43"/>
      <c r="AM598" s="43"/>
    </row>
    <row r="599" spans="2:39" x14ac:dyDescent="0.25">
      <c r="B599" s="48"/>
      <c r="C599" s="47"/>
      <c r="D599" s="47"/>
      <c r="E599" s="47"/>
      <c r="F599" s="44"/>
      <c r="G599" s="44"/>
      <c r="H599" s="46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5"/>
      <c r="T599" s="44"/>
      <c r="U599" s="44"/>
      <c r="V599" s="44"/>
      <c r="W599" s="44"/>
      <c r="X599" s="44"/>
      <c r="Y599" s="44"/>
      <c r="Z599" s="44"/>
      <c r="AA599" s="44"/>
      <c r="AB599" s="44"/>
      <c r="AC599" s="45"/>
      <c r="AD599" s="44"/>
      <c r="AE599" s="44"/>
      <c r="AF599" s="44"/>
      <c r="AG599" s="45"/>
      <c r="AH599" s="44"/>
      <c r="AI599" s="81"/>
      <c r="AJ599" s="43"/>
      <c r="AK599" s="43"/>
      <c r="AL599" s="43"/>
      <c r="AM599" s="43"/>
    </row>
    <row r="600" spans="2:39" x14ac:dyDescent="0.25">
      <c r="B600" s="48"/>
      <c r="C600" s="47"/>
      <c r="D600" s="47"/>
      <c r="E600" s="47"/>
      <c r="F600" s="44"/>
      <c r="G600" s="44"/>
      <c r="H600" s="46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5"/>
      <c r="T600" s="44"/>
      <c r="U600" s="44"/>
      <c r="V600" s="44"/>
      <c r="W600" s="44"/>
      <c r="X600" s="44"/>
      <c r="Y600" s="44"/>
      <c r="Z600" s="44"/>
      <c r="AA600" s="44"/>
      <c r="AB600" s="44"/>
      <c r="AC600" s="45"/>
      <c r="AD600" s="44"/>
      <c r="AE600" s="44"/>
      <c r="AF600" s="44"/>
      <c r="AG600" s="45"/>
      <c r="AH600" s="44"/>
      <c r="AI600" s="81"/>
      <c r="AJ600" s="43"/>
      <c r="AK600" s="43"/>
      <c r="AL600" s="43"/>
      <c r="AM600" s="43"/>
    </row>
    <row r="601" spans="2:39" x14ac:dyDescent="0.25">
      <c r="B601" s="48"/>
      <c r="C601" s="47"/>
      <c r="D601" s="47"/>
      <c r="E601" s="47"/>
      <c r="F601" s="44"/>
      <c r="G601" s="44"/>
      <c r="H601" s="46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5"/>
      <c r="T601" s="44"/>
      <c r="U601" s="44"/>
      <c r="V601" s="44"/>
      <c r="W601" s="44"/>
      <c r="X601" s="44"/>
      <c r="Y601" s="44"/>
      <c r="Z601" s="44"/>
      <c r="AA601" s="44"/>
      <c r="AB601" s="44"/>
      <c r="AC601" s="45"/>
      <c r="AD601" s="44"/>
      <c r="AE601" s="44"/>
      <c r="AF601" s="44"/>
      <c r="AG601" s="45"/>
      <c r="AH601" s="44"/>
      <c r="AI601" s="81"/>
      <c r="AJ601" s="43"/>
      <c r="AK601" s="43"/>
      <c r="AL601" s="43"/>
      <c r="AM601" s="43"/>
    </row>
    <row r="602" spans="2:39" x14ac:dyDescent="0.25">
      <c r="B602" s="48"/>
      <c r="C602" s="47"/>
      <c r="D602" s="47"/>
      <c r="E602" s="47"/>
      <c r="F602" s="44"/>
      <c r="G602" s="44"/>
      <c r="H602" s="46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5"/>
      <c r="T602" s="44"/>
      <c r="U602" s="44"/>
      <c r="V602" s="44"/>
      <c r="W602" s="44"/>
      <c r="X602" s="44"/>
      <c r="Y602" s="44"/>
      <c r="Z602" s="44"/>
      <c r="AA602" s="44"/>
      <c r="AB602" s="44"/>
      <c r="AC602" s="45"/>
      <c r="AD602" s="44"/>
      <c r="AE602" s="44"/>
      <c r="AF602" s="44"/>
      <c r="AG602" s="45"/>
      <c r="AH602" s="44"/>
      <c r="AI602" s="81"/>
      <c r="AJ602" s="43"/>
      <c r="AK602" s="43"/>
      <c r="AL602" s="43"/>
      <c r="AM602" s="43"/>
    </row>
    <row r="603" spans="2:39" x14ac:dyDescent="0.25">
      <c r="B603" s="48"/>
      <c r="C603" s="47"/>
      <c r="D603" s="47"/>
      <c r="E603" s="47"/>
      <c r="F603" s="44"/>
      <c r="G603" s="44"/>
      <c r="H603" s="46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5"/>
      <c r="T603" s="44"/>
      <c r="U603" s="44"/>
      <c r="V603" s="44"/>
      <c r="W603" s="44"/>
      <c r="X603" s="44"/>
      <c r="Y603" s="44"/>
      <c r="Z603" s="44"/>
      <c r="AA603" s="44"/>
      <c r="AB603" s="44"/>
      <c r="AC603" s="45"/>
      <c r="AD603" s="44"/>
      <c r="AE603" s="44"/>
      <c r="AF603" s="44"/>
      <c r="AG603" s="45"/>
      <c r="AH603" s="44"/>
      <c r="AI603" s="81"/>
      <c r="AJ603" s="43"/>
      <c r="AK603" s="43"/>
      <c r="AL603" s="43"/>
      <c r="AM603" s="43"/>
    </row>
    <row r="604" spans="2:39" x14ac:dyDescent="0.25">
      <c r="B604" s="48"/>
      <c r="C604" s="47"/>
      <c r="D604" s="47"/>
      <c r="E604" s="47"/>
      <c r="F604" s="44"/>
      <c r="G604" s="44"/>
      <c r="H604" s="46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5"/>
      <c r="T604" s="44"/>
      <c r="U604" s="44"/>
      <c r="V604" s="44"/>
      <c r="W604" s="44"/>
      <c r="X604" s="44"/>
      <c r="Y604" s="44"/>
      <c r="Z604" s="44"/>
      <c r="AA604" s="44"/>
      <c r="AB604" s="44"/>
      <c r="AC604" s="45"/>
      <c r="AD604" s="44"/>
      <c r="AE604" s="44"/>
      <c r="AF604" s="44"/>
      <c r="AG604" s="45"/>
      <c r="AH604" s="44"/>
      <c r="AI604" s="81"/>
      <c r="AJ604" s="43"/>
      <c r="AK604" s="43"/>
      <c r="AL604" s="43"/>
      <c r="AM604" s="43"/>
    </row>
    <row r="605" spans="2:39" x14ac:dyDescent="0.25">
      <c r="B605" s="48"/>
      <c r="C605" s="47"/>
      <c r="D605" s="47"/>
      <c r="E605" s="47"/>
      <c r="F605" s="44"/>
      <c r="G605" s="44"/>
      <c r="H605" s="46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5"/>
      <c r="T605" s="44"/>
      <c r="U605" s="44"/>
      <c r="V605" s="44"/>
      <c r="W605" s="44"/>
      <c r="X605" s="44"/>
      <c r="Y605" s="44"/>
      <c r="Z605" s="44"/>
      <c r="AA605" s="44"/>
      <c r="AB605" s="44"/>
      <c r="AC605" s="45"/>
      <c r="AD605" s="44"/>
      <c r="AE605" s="44"/>
      <c r="AF605" s="44"/>
      <c r="AG605" s="45"/>
      <c r="AH605" s="44"/>
      <c r="AI605" s="81"/>
      <c r="AJ605" s="43"/>
      <c r="AK605" s="43"/>
      <c r="AL605" s="43"/>
      <c r="AM605" s="43"/>
    </row>
    <row r="606" spans="2:39" x14ac:dyDescent="0.25">
      <c r="B606" s="48"/>
      <c r="C606" s="47"/>
      <c r="D606" s="47"/>
      <c r="E606" s="47"/>
      <c r="F606" s="44"/>
      <c r="G606" s="44"/>
      <c r="H606" s="46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5"/>
      <c r="T606" s="44"/>
      <c r="U606" s="44"/>
      <c r="V606" s="44"/>
      <c r="W606" s="44"/>
      <c r="X606" s="44"/>
      <c r="Y606" s="44"/>
      <c r="Z606" s="44"/>
      <c r="AA606" s="44"/>
      <c r="AB606" s="44"/>
      <c r="AC606" s="45"/>
      <c r="AD606" s="44"/>
      <c r="AE606" s="44"/>
      <c r="AF606" s="44"/>
      <c r="AG606" s="45"/>
      <c r="AH606" s="44"/>
      <c r="AI606" s="81"/>
      <c r="AJ606" s="43"/>
      <c r="AK606" s="43"/>
      <c r="AL606" s="43"/>
      <c r="AM606" s="43"/>
    </row>
    <row r="607" spans="2:39" x14ac:dyDescent="0.25">
      <c r="B607" s="48"/>
      <c r="C607" s="47"/>
      <c r="D607" s="47"/>
      <c r="E607" s="47"/>
      <c r="F607" s="44"/>
      <c r="G607" s="44"/>
      <c r="H607" s="46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5"/>
      <c r="T607" s="44"/>
      <c r="U607" s="44"/>
      <c r="V607" s="44"/>
      <c r="W607" s="44"/>
      <c r="X607" s="44"/>
      <c r="Y607" s="44"/>
      <c r="Z607" s="44"/>
      <c r="AA607" s="44"/>
      <c r="AB607" s="44"/>
      <c r="AC607" s="45"/>
      <c r="AD607" s="44"/>
      <c r="AE607" s="44"/>
      <c r="AF607" s="44"/>
      <c r="AG607" s="45"/>
      <c r="AH607" s="44"/>
      <c r="AI607" s="81"/>
      <c r="AJ607" s="43"/>
      <c r="AK607" s="43"/>
      <c r="AL607" s="43"/>
      <c r="AM607" s="43"/>
    </row>
    <row r="608" spans="2:39" x14ac:dyDescent="0.25">
      <c r="B608" s="48"/>
      <c r="C608" s="47"/>
      <c r="D608" s="47"/>
      <c r="E608" s="47"/>
      <c r="F608" s="44"/>
      <c r="G608" s="44"/>
      <c r="H608" s="46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5"/>
      <c r="T608" s="44"/>
      <c r="U608" s="44"/>
      <c r="V608" s="44"/>
      <c r="W608" s="44"/>
      <c r="X608" s="44"/>
      <c r="Y608" s="44"/>
      <c r="Z608" s="44"/>
      <c r="AA608" s="44"/>
      <c r="AB608" s="44"/>
      <c r="AC608" s="45"/>
      <c r="AD608" s="44"/>
      <c r="AE608" s="44"/>
      <c r="AF608" s="44"/>
      <c r="AG608" s="45"/>
      <c r="AH608" s="44"/>
      <c r="AI608" s="81"/>
      <c r="AJ608" s="43"/>
      <c r="AK608" s="43"/>
      <c r="AL608" s="43"/>
      <c r="AM608" s="43"/>
    </row>
    <row r="609" spans="2:39" x14ac:dyDescent="0.25">
      <c r="B609" s="48"/>
      <c r="C609" s="47"/>
      <c r="D609" s="47"/>
      <c r="E609" s="47"/>
      <c r="F609" s="44"/>
      <c r="G609" s="44"/>
      <c r="H609" s="46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5"/>
      <c r="T609" s="44"/>
      <c r="U609" s="44"/>
      <c r="V609" s="44"/>
      <c r="W609" s="44"/>
      <c r="X609" s="44"/>
      <c r="Y609" s="44"/>
      <c r="Z609" s="44"/>
      <c r="AA609" s="44"/>
      <c r="AB609" s="44"/>
      <c r="AC609" s="45"/>
      <c r="AD609" s="44"/>
      <c r="AE609" s="44"/>
      <c r="AF609" s="44"/>
      <c r="AG609" s="45"/>
      <c r="AH609" s="44"/>
      <c r="AI609" s="81"/>
      <c r="AJ609" s="43"/>
      <c r="AK609" s="43"/>
      <c r="AL609" s="43"/>
      <c r="AM609" s="43"/>
    </row>
    <row r="610" spans="2:39" x14ac:dyDescent="0.25">
      <c r="B610" s="48"/>
      <c r="C610" s="47"/>
      <c r="D610" s="47"/>
      <c r="E610" s="47"/>
      <c r="F610" s="44"/>
      <c r="G610" s="44"/>
      <c r="H610" s="46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5"/>
      <c r="T610" s="44"/>
      <c r="U610" s="44"/>
      <c r="V610" s="44"/>
      <c r="W610" s="44"/>
      <c r="X610" s="44"/>
      <c r="Y610" s="44"/>
      <c r="Z610" s="44"/>
      <c r="AA610" s="44"/>
      <c r="AB610" s="44"/>
      <c r="AC610" s="45"/>
      <c r="AD610" s="44"/>
      <c r="AE610" s="44"/>
      <c r="AF610" s="44"/>
      <c r="AG610" s="45"/>
      <c r="AH610" s="44"/>
      <c r="AI610" s="81"/>
      <c r="AJ610" s="43"/>
      <c r="AK610" s="43"/>
      <c r="AL610" s="43"/>
      <c r="AM610" s="43"/>
    </row>
    <row r="611" spans="2:39" x14ac:dyDescent="0.25">
      <c r="B611" s="48"/>
      <c r="C611" s="47"/>
      <c r="D611" s="47"/>
      <c r="E611" s="47"/>
      <c r="F611" s="44"/>
      <c r="G611" s="44"/>
      <c r="H611" s="46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5"/>
      <c r="T611" s="44"/>
      <c r="U611" s="44"/>
      <c r="V611" s="44"/>
      <c r="W611" s="44"/>
      <c r="X611" s="44"/>
      <c r="Y611" s="44"/>
      <c r="Z611" s="44"/>
      <c r="AA611" s="44"/>
      <c r="AB611" s="44"/>
      <c r="AC611" s="45"/>
      <c r="AD611" s="44"/>
      <c r="AE611" s="44"/>
      <c r="AF611" s="44"/>
      <c r="AG611" s="45"/>
      <c r="AH611" s="44"/>
      <c r="AI611" s="81"/>
      <c r="AJ611" s="43"/>
      <c r="AK611" s="43"/>
      <c r="AL611" s="43"/>
      <c r="AM611" s="43"/>
    </row>
    <row r="612" spans="2:39" x14ac:dyDescent="0.25">
      <c r="B612" s="48"/>
      <c r="C612" s="47"/>
      <c r="D612" s="47"/>
      <c r="E612" s="47"/>
      <c r="F612" s="44"/>
      <c r="G612" s="44"/>
      <c r="H612" s="46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5"/>
      <c r="T612" s="44"/>
      <c r="U612" s="44"/>
      <c r="V612" s="44"/>
      <c r="W612" s="44"/>
      <c r="X612" s="44"/>
      <c r="Y612" s="44"/>
      <c r="Z612" s="44"/>
      <c r="AA612" s="44"/>
      <c r="AB612" s="44"/>
      <c r="AC612" s="45"/>
      <c r="AD612" s="44"/>
      <c r="AE612" s="44"/>
      <c r="AF612" s="44"/>
      <c r="AG612" s="45"/>
      <c r="AH612" s="44"/>
      <c r="AI612" s="81"/>
      <c r="AJ612" s="43"/>
      <c r="AK612" s="43"/>
      <c r="AL612" s="43"/>
      <c r="AM612" s="43"/>
    </row>
    <row r="613" spans="2:39" x14ac:dyDescent="0.25">
      <c r="B613" s="48"/>
      <c r="C613" s="47"/>
      <c r="D613" s="47"/>
      <c r="E613" s="47"/>
      <c r="F613" s="44"/>
      <c r="G613" s="44"/>
      <c r="H613" s="46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5"/>
      <c r="T613" s="44"/>
      <c r="U613" s="44"/>
      <c r="V613" s="44"/>
      <c r="W613" s="44"/>
      <c r="X613" s="44"/>
      <c r="Y613" s="44"/>
      <c r="Z613" s="44"/>
      <c r="AA613" s="44"/>
      <c r="AB613" s="44"/>
      <c r="AC613" s="45"/>
      <c r="AD613" s="44"/>
      <c r="AE613" s="44"/>
      <c r="AF613" s="44"/>
      <c r="AG613" s="45"/>
      <c r="AH613" s="44"/>
      <c r="AI613" s="81"/>
      <c r="AJ613" s="43"/>
      <c r="AK613" s="43"/>
      <c r="AL613" s="43"/>
      <c r="AM613" s="43"/>
    </row>
    <row r="614" spans="2:39" x14ac:dyDescent="0.25">
      <c r="B614" s="48"/>
      <c r="C614" s="47"/>
      <c r="D614" s="47"/>
      <c r="E614" s="47"/>
      <c r="F614" s="44"/>
      <c r="G614" s="44"/>
      <c r="H614" s="46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5"/>
      <c r="T614" s="44"/>
      <c r="U614" s="44"/>
      <c r="V614" s="44"/>
      <c r="W614" s="44"/>
      <c r="X614" s="44"/>
      <c r="Y614" s="44"/>
      <c r="Z614" s="44"/>
      <c r="AA614" s="44"/>
      <c r="AB614" s="44"/>
      <c r="AC614" s="45"/>
      <c r="AD614" s="44"/>
      <c r="AE614" s="44"/>
      <c r="AF614" s="44"/>
      <c r="AG614" s="45"/>
      <c r="AH614" s="44"/>
      <c r="AI614" s="81"/>
      <c r="AJ614" s="43"/>
      <c r="AK614" s="43"/>
      <c r="AL614" s="43"/>
      <c r="AM614" s="43"/>
    </row>
    <row r="615" spans="2:39" x14ac:dyDescent="0.25">
      <c r="B615" s="48"/>
      <c r="C615" s="47"/>
      <c r="D615" s="47"/>
      <c r="E615" s="47"/>
      <c r="F615" s="44"/>
      <c r="G615" s="44"/>
      <c r="H615" s="46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5"/>
      <c r="T615" s="44"/>
      <c r="U615" s="44"/>
      <c r="V615" s="44"/>
      <c r="W615" s="44"/>
      <c r="X615" s="44"/>
      <c r="Y615" s="44"/>
      <c r="Z615" s="44"/>
      <c r="AA615" s="44"/>
      <c r="AB615" s="44"/>
      <c r="AC615" s="45"/>
      <c r="AD615" s="44"/>
      <c r="AE615" s="44"/>
      <c r="AF615" s="44"/>
      <c r="AG615" s="45"/>
      <c r="AH615" s="44"/>
      <c r="AI615" s="81"/>
      <c r="AJ615" s="43"/>
      <c r="AK615" s="43"/>
      <c r="AL615" s="43"/>
      <c r="AM615" s="43"/>
    </row>
    <row r="616" spans="2:39" x14ac:dyDescent="0.25">
      <c r="B616" s="48"/>
      <c r="C616" s="47"/>
      <c r="D616" s="47"/>
      <c r="E616" s="47"/>
      <c r="F616" s="44"/>
      <c r="G616" s="44"/>
      <c r="H616" s="46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5"/>
      <c r="T616" s="44"/>
      <c r="U616" s="44"/>
      <c r="V616" s="44"/>
      <c r="W616" s="44"/>
      <c r="X616" s="44"/>
      <c r="Y616" s="44"/>
      <c r="Z616" s="44"/>
      <c r="AA616" s="44"/>
      <c r="AB616" s="44"/>
      <c r="AC616" s="45"/>
      <c r="AD616" s="44"/>
      <c r="AE616" s="44"/>
      <c r="AF616" s="44"/>
      <c r="AG616" s="45"/>
      <c r="AH616" s="44"/>
      <c r="AI616" s="81"/>
      <c r="AJ616" s="43"/>
      <c r="AK616" s="43"/>
      <c r="AL616" s="43"/>
      <c r="AM616" s="43"/>
    </row>
    <row r="617" spans="2:39" x14ac:dyDescent="0.25">
      <c r="B617" s="48"/>
      <c r="C617" s="47"/>
      <c r="D617" s="47"/>
      <c r="E617" s="47"/>
      <c r="F617" s="44"/>
      <c r="G617" s="44"/>
      <c r="H617" s="46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5"/>
      <c r="T617" s="44"/>
      <c r="U617" s="44"/>
      <c r="V617" s="44"/>
      <c r="W617" s="44"/>
      <c r="X617" s="44"/>
      <c r="Y617" s="44"/>
      <c r="Z617" s="44"/>
      <c r="AA617" s="44"/>
      <c r="AB617" s="44"/>
      <c r="AC617" s="45"/>
      <c r="AD617" s="44"/>
      <c r="AE617" s="44"/>
      <c r="AF617" s="44"/>
      <c r="AG617" s="45"/>
      <c r="AH617" s="44"/>
      <c r="AI617" s="81"/>
      <c r="AJ617" s="43"/>
      <c r="AK617" s="43"/>
      <c r="AL617" s="43"/>
      <c r="AM617" s="43"/>
    </row>
    <row r="618" spans="2:39" x14ac:dyDescent="0.25">
      <c r="B618" s="48"/>
      <c r="C618" s="47"/>
      <c r="D618" s="47"/>
      <c r="E618" s="47"/>
      <c r="F618" s="44"/>
      <c r="G618" s="44"/>
      <c r="H618" s="46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5"/>
      <c r="T618" s="44"/>
      <c r="U618" s="44"/>
      <c r="V618" s="44"/>
      <c r="W618" s="44"/>
      <c r="X618" s="44"/>
      <c r="Y618" s="44"/>
      <c r="Z618" s="44"/>
      <c r="AA618" s="44"/>
      <c r="AB618" s="44"/>
      <c r="AC618" s="45"/>
      <c r="AD618" s="44"/>
      <c r="AE618" s="44"/>
      <c r="AF618" s="44"/>
      <c r="AG618" s="45"/>
      <c r="AH618" s="44"/>
      <c r="AI618" s="81"/>
      <c r="AJ618" s="43"/>
      <c r="AK618" s="43"/>
      <c r="AL618" s="43"/>
      <c r="AM618" s="43"/>
    </row>
    <row r="619" spans="2:39" x14ac:dyDescent="0.25">
      <c r="B619" s="48"/>
      <c r="C619" s="47"/>
      <c r="D619" s="47"/>
      <c r="E619" s="47"/>
      <c r="F619" s="44"/>
      <c r="G619" s="44"/>
      <c r="H619" s="46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5"/>
      <c r="T619" s="44"/>
      <c r="U619" s="44"/>
      <c r="V619" s="44"/>
      <c r="W619" s="44"/>
      <c r="X619" s="44"/>
      <c r="Y619" s="44"/>
      <c r="Z619" s="44"/>
      <c r="AA619" s="44"/>
      <c r="AB619" s="44"/>
      <c r="AC619" s="45"/>
      <c r="AD619" s="44"/>
      <c r="AE619" s="44"/>
      <c r="AF619" s="44"/>
      <c r="AG619" s="45"/>
      <c r="AH619" s="44"/>
      <c r="AI619" s="81"/>
      <c r="AJ619" s="43"/>
      <c r="AK619" s="43"/>
      <c r="AL619" s="43"/>
      <c r="AM619" s="43"/>
    </row>
    <row r="620" spans="2:39" x14ac:dyDescent="0.25">
      <c r="B620" s="48"/>
      <c r="C620" s="47"/>
      <c r="D620" s="47"/>
      <c r="E620" s="47"/>
      <c r="F620" s="44"/>
      <c r="G620" s="44"/>
      <c r="H620" s="46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5"/>
      <c r="T620" s="44"/>
      <c r="U620" s="44"/>
      <c r="V620" s="44"/>
      <c r="W620" s="44"/>
      <c r="X620" s="44"/>
      <c r="Y620" s="44"/>
      <c r="Z620" s="44"/>
      <c r="AA620" s="44"/>
      <c r="AB620" s="44"/>
      <c r="AC620" s="45"/>
      <c r="AD620" s="44"/>
      <c r="AE620" s="44"/>
      <c r="AF620" s="44"/>
      <c r="AG620" s="45"/>
      <c r="AH620" s="44"/>
      <c r="AI620" s="81"/>
      <c r="AJ620" s="43"/>
      <c r="AK620" s="43"/>
      <c r="AL620" s="43"/>
      <c r="AM620" s="43"/>
    </row>
    <row r="621" spans="2:39" x14ac:dyDescent="0.25">
      <c r="B621" s="48"/>
      <c r="C621" s="47"/>
      <c r="D621" s="47"/>
      <c r="E621" s="47"/>
      <c r="F621" s="44"/>
      <c r="G621" s="44"/>
      <c r="H621" s="46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5"/>
      <c r="T621" s="44"/>
      <c r="U621" s="44"/>
      <c r="V621" s="44"/>
      <c r="W621" s="44"/>
      <c r="X621" s="44"/>
      <c r="Y621" s="44"/>
      <c r="Z621" s="44"/>
      <c r="AA621" s="44"/>
      <c r="AB621" s="44"/>
      <c r="AC621" s="45"/>
      <c r="AD621" s="44"/>
      <c r="AE621" s="44"/>
      <c r="AF621" s="44"/>
      <c r="AG621" s="45"/>
      <c r="AH621" s="44"/>
      <c r="AI621" s="81"/>
      <c r="AJ621" s="43"/>
      <c r="AK621" s="43"/>
      <c r="AL621" s="43"/>
      <c r="AM621" s="43"/>
    </row>
    <row r="622" spans="2:39" x14ac:dyDescent="0.25">
      <c r="B622" s="48"/>
      <c r="C622" s="47"/>
      <c r="D622" s="47"/>
      <c r="E622" s="47"/>
      <c r="F622" s="44"/>
      <c r="G622" s="44"/>
      <c r="H622" s="46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5"/>
      <c r="T622" s="44"/>
      <c r="U622" s="44"/>
      <c r="V622" s="44"/>
      <c r="W622" s="44"/>
      <c r="X622" s="44"/>
      <c r="Y622" s="44"/>
      <c r="Z622" s="44"/>
      <c r="AA622" s="44"/>
      <c r="AB622" s="44"/>
      <c r="AC622" s="45"/>
      <c r="AD622" s="44"/>
      <c r="AE622" s="44"/>
      <c r="AF622" s="44"/>
      <c r="AG622" s="45"/>
      <c r="AH622" s="44"/>
      <c r="AI622" s="81"/>
      <c r="AJ622" s="43"/>
      <c r="AK622" s="43"/>
      <c r="AL622" s="43"/>
      <c r="AM622" s="43"/>
    </row>
    <row r="623" spans="2:39" x14ac:dyDescent="0.25">
      <c r="B623" s="48"/>
      <c r="C623" s="47"/>
      <c r="D623" s="47"/>
      <c r="E623" s="47"/>
      <c r="F623" s="44"/>
      <c r="G623" s="44"/>
      <c r="H623" s="46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5"/>
      <c r="T623" s="44"/>
      <c r="U623" s="44"/>
      <c r="V623" s="44"/>
      <c r="W623" s="44"/>
      <c r="X623" s="44"/>
      <c r="Y623" s="44"/>
      <c r="Z623" s="44"/>
      <c r="AA623" s="44"/>
      <c r="AB623" s="44"/>
      <c r="AC623" s="45"/>
      <c r="AD623" s="44"/>
      <c r="AE623" s="44"/>
      <c r="AF623" s="44"/>
      <c r="AG623" s="45"/>
      <c r="AH623" s="44"/>
      <c r="AI623" s="81"/>
      <c r="AJ623" s="43"/>
      <c r="AK623" s="43"/>
      <c r="AL623" s="43"/>
      <c r="AM623" s="43"/>
    </row>
    <row r="624" spans="2:39" x14ac:dyDescent="0.25">
      <c r="B624" s="48"/>
      <c r="C624" s="47"/>
      <c r="D624" s="47"/>
      <c r="E624" s="47"/>
      <c r="F624" s="44"/>
      <c r="G624" s="44"/>
      <c r="H624" s="46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5"/>
      <c r="T624" s="44"/>
      <c r="U624" s="44"/>
      <c r="V624" s="44"/>
      <c r="W624" s="44"/>
      <c r="X624" s="44"/>
      <c r="Y624" s="44"/>
      <c r="Z624" s="44"/>
      <c r="AA624" s="44"/>
      <c r="AB624" s="44"/>
      <c r="AC624" s="45"/>
      <c r="AD624" s="44"/>
      <c r="AE624" s="44"/>
      <c r="AF624" s="44"/>
      <c r="AG624" s="45"/>
      <c r="AH624" s="44"/>
      <c r="AI624" s="81"/>
      <c r="AJ624" s="43"/>
      <c r="AK624" s="43"/>
      <c r="AL624" s="43"/>
      <c r="AM624" s="43"/>
    </row>
    <row r="625" spans="2:39" x14ac:dyDescent="0.25">
      <c r="B625" s="48"/>
      <c r="C625" s="47"/>
      <c r="D625" s="47"/>
      <c r="E625" s="47"/>
      <c r="F625" s="44"/>
      <c r="G625" s="44"/>
      <c r="H625" s="46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5"/>
      <c r="T625" s="44"/>
      <c r="U625" s="44"/>
      <c r="V625" s="44"/>
      <c r="W625" s="44"/>
      <c r="X625" s="44"/>
      <c r="Y625" s="44"/>
      <c r="Z625" s="44"/>
      <c r="AA625" s="44"/>
      <c r="AB625" s="44"/>
      <c r="AC625" s="45"/>
      <c r="AD625" s="44"/>
      <c r="AE625" s="44"/>
      <c r="AF625" s="44"/>
      <c r="AG625" s="45"/>
      <c r="AH625" s="44"/>
      <c r="AI625" s="81"/>
      <c r="AJ625" s="43"/>
      <c r="AK625" s="43"/>
      <c r="AL625" s="43"/>
      <c r="AM625" s="43"/>
    </row>
    <row r="626" spans="2:39" x14ac:dyDescent="0.25">
      <c r="B626" s="48"/>
      <c r="C626" s="47"/>
      <c r="D626" s="47"/>
      <c r="E626" s="47"/>
      <c r="F626" s="44"/>
      <c r="G626" s="44"/>
      <c r="H626" s="46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5"/>
      <c r="T626" s="44"/>
      <c r="U626" s="44"/>
      <c r="V626" s="44"/>
      <c r="W626" s="44"/>
      <c r="X626" s="44"/>
      <c r="Y626" s="44"/>
      <c r="Z626" s="44"/>
      <c r="AA626" s="44"/>
      <c r="AB626" s="44"/>
      <c r="AC626" s="45"/>
      <c r="AD626" s="44"/>
      <c r="AE626" s="44"/>
      <c r="AF626" s="44"/>
      <c r="AG626" s="45"/>
      <c r="AH626" s="44"/>
      <c r="AI626" s="81"/>
      <c r="AJ626" s="43"/>
      <c r="AK626" s="43"/>
      <c r="AL626" s="43"/>
      <c r="AM626" s="43"/>
    </row>
    <row r="627" spans="2:39" x14ac:dyDescent="0.25">
      <c r="B627" s="48"/>
      <c r="C627" s="47"/>
      <c r="D627" s="47"/>
      <c r="E627" s="47"/>
      <c r="F627" s="44"/>
      <c r="G627" s="44"/>
      <c r="H627" s="46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5"/>
      <c r="T627" s="44"/>
      <c r="U627" s="44"/>
      <c r="V627" s="44"/>
      <c r="W627" s="44"/>
      <c r="X627" s="44"/>
      <c r="Y627" s="44"/>
      <c r="Z627" s="44"/>
      <c r="AA627" s="44"/>
      <c r="AB627" s="44"/>
      <c r="AC627" s="45"/>
      <c r="AD627" s="44"/>
      <c r="AE627" s="44"/>
      <c r="AF627" s="44"/>
      <c r="AG627" s="45"/>
      <c r="AH627" s="44"/>
      <c r="AI627" s="81"/>
      <c r="AJ627" s="43"/>
      <c r="AK627" s="43"/>
      <c r="AL627" s="43"/>
      <c r="AM627" s="43"/>
    </row>
    <row r="628" spans="2:39" x14ac:dyDescent="0.25">
      <c r="B628" s="48"/>
      <c r="C628" s="47"/>
      <c r="D628" s="47"/>
      <c r="E628" s="47"/>
      <c r="F628" s="44"/>
      <c r="G628" s="44"/>
      <c r="H628" s="46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5"/>
      <c r="T628" s="44"/>
      <c r="U628" s="44"/>
      <c r="V628" s="44"/>
      <c r="W628" s="44"/>
      <c r="X628" s="44"/>
      <c r="Y628" s="44"/>
      <c r="Z628" s="44"/>
      <c r="AA628" s="44"/>
      <c r="AB628" s="44"/>
      <c r="AC628" s="45"/>
      <c r="AD628" s="44"/>
      <c r="AE628" s="44"/>
      <c r="AF628" s="44"/>
      <c r="AG628" s="45"/>
      <c r="AH628" s="44"/>
      <c r="AI628" s="81"/>
      <c r="AJ628" s="43"/>
      <c r="AK628" s="43"/>
      <c r="AL628" s="43"/>
      <c r="AM628" s="43"/>
    </row>
    <row r="629" spans="2:39" x14ac:dyDescent="0.25">
      <c r="B629" s="48"/>
      <c r="C629" s="47"/>
      <c r="D629" s="47"/>
      <c r="E629" s="47"/>
      <c r="F629" s="44"/>
      <c r="G629" s="44"/>
      <c r="H629" s="46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5"/>
      <c r="T629" s="44"/>
      <c r="U629" s="44"/>
      <c r="V629" s="44"/>
      <c r="W629" s="44"/>
      <c r="X629" s="44"/>
      <c r="Y629" s="44"/>
      <c r="Z629" s="44"/>
      <c r="AA629" s="44"/>
      <c r="AB629" s="44"/>
      <c r="AC629" s="45"/>
      <c r="AD629" s="44"/>
      <c r="AE629" s="44"/>
      <c r="AF629" s="44"/>
      <c r="AG629" s="45"/>
      <c r="AH629" s="44"/>
      <c r="AI629" s="81"/>
      <c r="AJ629" s="43"/>
      <c r="AK629" s="43"/>
      <c r="AL629" s="43"/>
      <c r="AM629" s="43"/>
    </row>
    <row r="630" spans="2:39" x14ac:dyDescent="0.25">
      <c r="B630" s="48"/>
      <c r="C630" s="47"/>
      <c r="D630" s="47"/>
      <c r="E630" s="47"/>
      <c r="F630" s="44"/>
      <c r="G630" s="44"/>
      <c r="H630" s="46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5"/>
      <c r="T630" s="44"/>
      <c r="U630" s="44"/>
      <c r="V630" s="44"/>
      <c r="W630" s="44"/>
      <c r="X630" s="44"/>
      <c r="Y630" s="44"/>
      <c r="Z630" s="44"/>
      <c r="AA630" s="44"/>
      <c r="AB630" s="44"/>
      <c r="AC630" s="45"/>
      <c r="AD630" s="44"/>
      <c r="AE630" s="44"/>
      <c r="AF630" s="44"/>
      <c r="AG630" s="45"/>
      <c r="AH630" s="44"/>
      <c r="AI630" s="81"/>
      <c r="AJ630" s="43"/>
      <c r="AK630" s="43"/>
      <c r="AL630" s="43"/>
      <c r="AM630" s="43"/>
    </row>
    <row r="631" spans="2:39" x14ac:dyDescent="0.25">
      <c r="B631" s="48"/>
      <c r="C631" s="47"/>
      <c r="D631" s="47"/>
      <c r="E631" s="47"/>
      <c r="F631" s="44"/>
      <c r="G631" s="44"/>
      <c r="H631" s="46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5"/>
      <c r="T631" s="44"/>
      <c r="U631" s="44"/>
      <c r="V631" s="44"/>
      <c r="W631" s="44"/>
      <c r="X631" s="44"/>
      <c r="Y631" s="44"/>
      <c r="Z631" s="44"/>
      <c r="AA631" s="44"/>
      <c r="AB631" s="44"/>
      <c r="AC631" s="45"/>
      <c r="AD631" s="44"/>
      <c r="AE631" s="44"/>
      <c r="AF631" s="44"/>
      <c r="AG631" s="45"/>
      <c r="AH631" s="44"/>
      <c r="AI631" s="81"/>
      <c r="AJ631" s="43"/>
      <c r="AK631" s="43"/>
      <c r="AL631" s="43"/>
      <c r="AM631" s="43"/>
    </row>
    <row r="632" spans="2:39" x14ac:dyDescent="0.25">
      <c r="B632" s="48"/>
      <c r="C632" s="47"/>
      <c r="D632" s="47"/>
      <c r="E632" s="47"/>
      <c r="F632" s="44"/>
      <c r="G632" s="44"/>
      <c r="H632" s="46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5"/>
      <c r="T632" s="44"/>
      <c r="U632" s="44"/>
      <c r="V632" s="44"/>
      <c r="W632" s="44"/>
      <c r="X632" s="44"/>
      <c r="Y632" s="44"/>
      <c r="Z632" s="44"/>
      <c r="AA632" s="44"/>
      <c r="AB632" s="44"/>
      <c r="AC632" s="45"/>
      <c r="AD632" s="44"/>
      <c r="AE632" s="44"/>
      <c r="AF632" s="44"/>
      <c r="AG632" s="45"/>
      <c r="AH632" s="44"/>
      <c r="AI632" s="81"/>
      <c r="AJ632" s="43"/>
      <c r="AK632" s="43"/>
      <c r="AL632" s="43"/>
      <c r="AM632" s="43"/>
    </row>
    <row r="633" spans="2:39" x14ac:dyDescent="0.25">
      <c r="B633" s="48"/>
      <c r="C633" s="47"/>
      <c r="D633" s="47"/>
      <c r="E633" s="47"/>
      <c r="F633" s="44"/>
      <c r="G633" s="44"/>
      <c r="H633" s="46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5"/>
      <c r="T633" s="44"/>
      <c r="U633" s="44"/>
      <c r="V633" s="44"/>
      <c r="W633" s="44"/>
      <c r="X633" s="44"/>
      <c r="Y633" s="44"/>
      <c r="Z633" s="44"/>
      <c r="AA633" s="44"/>
      <c r="AB633" s="44"/>
      <c r="AC633" s="45"/>
      <c r="AD633" s="44"/>
      <c r="AE633" s="44"/>
      <c r="AF633" s="44"/>
      <c r="AG633" s="45"/>
      <c r="AH633" s="44"/>
      <c r="AI633" s="81"/>
      <c r="AJ633" s="43"/>
      <c r="AK633" s="43"/>
      <c r="AL633" s="43"/>
      <c r="AM633" s="43"/>
    </row>
    <row r="634" spans="2:39" x14ac:dyDescent="0.25">
      <c r="B634" s="48"/>
      <c r="C634" s="47"/>
      <c r="D634" s="47"/>
      <c r="E634" s="47"/>
      <c r="F634" s="44"/>
      <c r="G634" s="44"/>
      <c r="H634" s="46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5"/>
      <c r="T634" s="44"/>
      <c r="U634" s="44"/>
      <c r="V634" s="44"/>
      <c r="W634" s="44"/>
      <c r="X634" s="44"/>
      <c r="Y634" s="44"/>
      <c r="Z634" s="44"/>
      <c r="AA634" s="44"/>
      <c r="AB634" s="44"/>
      <c r="AC634" s="45"/>
      <c r="AD634" s="44"/>
      <c r="AE634" s="44"/>
      <c r="AF634" s="44"/>
      <c r="AG634" s="45"/>
      <c r="AH634" s="44"/>
      <c r="AI634" s="81"/>
      <c r="AJ634" s="43"/>
      <c r="AK634" s="43"/>
      <c r="AL634" s="43"/>
      <c r="AM634" s="43"/>
    </row>
    <row r="635" spans="2:39" x14ac:dyDescent="0.25">
      <c r="B635" s="48"/>
      <c r="C635" s="47"/>
      <c r="D635" s="47"/>
      <c r="E635" s="47"/>
      <c r="F635" s="44"/>
      <c r="G635" s="44"/>
      <c r="H635" s="46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5"/>
      <c r="T635" s="44"/>
      <c r="U635" s="44"/>
      <c r="V635" s="44"/>
      <c r="W635" s="44"/>
      <c r="X635" s="44"/>
      <c r="Y635" s="44"/>
      <c r="Z635" s="44"/>
      <c r="AA635" s="44"/>
      <c r="AB635" s="44"/>
      <c r="AC635" s="45"/>
      <c r="AD635" s="44"/>
      <c r="AE635" s="44"/>
      <c r="AF635" s="44"/>
      <c r="AG635" s="45"/>
      <c r="AH635" s="44"/>
      <c r="AI635" s="81"/>
      <c r="AJ635" s="43"/>
      <c r="AK635" s="43"/>
      <c r="AL635" s="43"/>
      <c r="AM635" s="43"/>
    </row>
    <row r="636" spans="2:39" x14ac:dyDescent="0.25">
      <c r="B636" s="48"/>
      <c r="C636" s="47"/>
      <c r="D636" s="47"/>
      <c r="E636" s="47"/>
      <c r="F636" s="44"/>
      <c r="G636" s="44"/>
      <c r="H636" s="46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5"/>
      <c r="T636" s="44"/>
      <c r="U636" s="44"/>
      <c r="V636" s="44"/>
      <c r="W636" s="44"/>
      <c r="X636" s="44"/>
      <c r="Y636" s="44"/>
      <c r="Z636" s="44"/>
      <c r="AA636" s="44"/>
      <c r="AB636" s="44"/>
      <c r="AC636" s="45"/>
      <c r="AD636" s="44"/>
      <c r="AE636" s="44"/>
      <c r="AF636" s="44"/>
      <c r="AG636" s="45"/>
      <c r="AH636" s="44"/>
      <c r="AI636" s="81"/>
      <c r="AJ636" s="43"/>
      <c r="AK636" s="43"/>
      <c r="AL636" s="43"/>
      <c r="AM636" s="43"/>
    </row>
    <row r="637" spans="2:39" x14ac:dyDescent="0.25">
      <c r="B637" s="48"/>
      <c r="C637" s="47"/>
      <c r="D637" s="47"/>
      <c r="E637" s="47"/>
      <c r="F637" s="44"/>
      <c r="G637" s="44"/>
      <c r="H637" s="46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5"/>
      <c r="T637" s="44"/>
      <c r="U637" s="44"/>
      <c r="V637" s="44"/>
      <c r="W637" s="44"/>
      <c r="X637" s="44"/>
      <c r="Y637" s="44"/>
      <c r="Z637" s="44"/>
      <c r="AA637" s="44"/>
      <c r="AB637" s="44"/>
      <c r="AC637" s="45"/>
      <c r="AD637" s="44"/>
      <c r="AE637" s="44"/>
      <c r="AF637" s="44"/>
      <c r="AG637" s="45"/>
      <c r="AH637" s="44"/>
      <c r="AI637" s="81"/>
      <c r="AJ637" s="43"/>
      <c r="AK637" s="43"/>
      <c r="AL637" s="43"/>
      <c r="AM637" s="43"/>
    </row>
    <row r="638" spans="2:39" x14ac:dyDescent="0.25">
      <c r="B638" s="48"/>
      <c r="C638" s="47"/>
      <c r="D638" s="47"/>
      <c r="E638" s="47"/>
      <c r="F638" s="44"/>
      <c r="G638" s="44"/>
      <c r="H638" s="46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5"/>
      <c r="T638" s="44"/>
      <c r="U638" s="44"/>
      <c r="V638" s="44"/>
      <c r="W638" s="44"/>
      <c r="X638" s="44"/>
      <c r="Y638" s="44"/>
      <c r="Z638" s="44"/>
      <c r="AA638" s="44"/>
      <c r="AB638" s="44"/>
      <c r="AC638" s="45"/>
      <c r="AD638" s="44"/>
      <c r="AE638" s="44"/>
      <c r="AF638" s="44"/>
      <c r="AG638" s="45"/>
      <c r="AH638" s="44"/>
      <c r="AI638" s="81"/>
      <c r="AJ638" s="43"/>
      <c r="AK638" s="43"/>
      <c r="AL638" s="43"/>
      <c r="AM638" s="43"/>
    </row>
    <row r="639" spans="2:39" x14ac:dyDescent="0.25">
      <c r="B639" s="48"/>
      <c r="C639" s="47"/>
      <c r="D639" s="47"/>
      <c r="E639" s="47"/>
      <c r="F639" s="44"/>
      <c r="G639" s="44"/>
      <c r="H639" s="46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5"/>
      <c r="T639" s="44"/>
      <c r="U639" s="44"/>
      <c r="V639" s="44"/>
      <c r="W639" s="44"/>
      <c r="X639" s="44"/>
      <c r="Y639" s="44"/>
      <c r="Z639" s="44"/>
      <c r="AA639" s="44"/>
      <c r="AB639" s="44"/>
      <c r="AC639" s="45"/>
      <c r="AD639" s="44"/>
      <c r="AE639" s="44"/>
      <c r="AF639" s="44"/>
      <c r="AG639" s="45"/>
      <c r="AH639" s="44"/>
      <c r="AI639" s="81"/>
      <c r="AJ639" s="43"/>
      <c r="AK639" s="43"/>
      <c r="AL639" s="43"/>
      <c r="AM639" s="43"/>
    </row>
    <row r="640" spans="2:39" x14ac:dyDescent="0.25">
      <c r="B640" s="48"/>
      <c r="C640" s="47"/>
      <c r="D640" s="47"/>
      <c r="E640" s="47"/>
      <c r="F640" s="44"/>
      <c r="G640" s="44"/>
      <c r="H640" s="46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5"/>
      <c r="T640" s="44"/>
      <c r="U640" s="44"/>
      <c r="V640" s="44"/>
      <c r="W640" s="44"/>
      <c r="X640" s="44"/>
      <c r="Y640" s="44"/>
      <c r="Z640" s="44"/>
      <c r="AA640" s="44"/>
      <c r="AB640" s="44"/>
      <c r="AC640" s="45"/>
      <c r="AD640" s="44"/>
      <c r="AE640" s="44"/>
      <c r="AF640" s="44"/>
      <c r="AG640" s="45"/>
      <c r="AH640" s="44"/>
      <c r="AI640" s="81"/>
      <c r="AJ640" s="43"/>
      <c r="AK640" s="43"/>
      <c r="AL640" s="43"/>
      <c r="AM640" s="43"/>
    </row>
    <row r="641" spans="2:39" x14ac:dyDescent="0.25">
      <c r="B641" s="48"/>
      <c r="C641" s="47"/>
      <c r="D641" s="47"/>
      <c r="E641" s="47"/>
      <c r="F641" s="44"/>
      <c r="G641" s="44"/>
      <c r="H641" s="46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5"/>
      <c r="T641" s="44"/>
      <c r="U641" s="44"/>
      <c r="V641" s="44"/>
      <c r="W641" s="44"/>
      <c r="X641" s="44"/>
      <c r="Y641" s="44"/>
      <c r="Z641" s="44"/>
      <c r="AA641" s="44"/>
      <c r="AB641" s="44"/>
      <c r="AC641" s="45"/>
      <c r="AD641" s="44"/>
      <c r="AE641" s="44"/>
      <c r="AF641" s="44"/>
      <c r="AG641" s="45"/>
      <c r="AH641" s="44"/>
      <c r="AI641" s="81"/>
      <c r="AJ641" s="43"/>
      <c r="AK641" s="43"/>
      <c r="AL641" s="43"/>
      <c r="AM641" s="43"/>
    </row>
    <row r="642" spans="2:39" x14ac:dyDescent="0.25">
      <c r="B642" s="48"/>
      <c r="C642" s="47"/>
      <c r="D642" s="47"/>
      <c r="E642" s="47"/>
      <c r="F642" s="44"/>
      <c r="G642" s="44"/>
      <c r="H642" s="46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5"/>
      <c r="T642" s="44"/>
      <c r="U642" s="44"/>
      <c r="V642" s="44"/>
      <c r="W642" s="44"/>
      <c r="X642" s="44"/>
      <c r="Y642" s="44"/>
      <c r="Z642" s="44"/>
      <c r="AA642" s="44"/>
      <c r="AB642" s="44"/>
      <c r="AC642" s="45"/>
      <c r="AD642" s="44"/>
      <c r="AE642" s="44"/>
      <c r="AF642" s="44"/>
      <c r="AG642" s="45"/>
      <c r="AH642" s="44"/>
      <c r="AI642" s="81"/>
      <c r="AJ642" s="43"/>
      <c r="AK642" s="43"/>
      <c r="AL642" s="43"/>
      <c r="AM642" s="43"/>
    </row>
    <row r="643" spans="2:39" x14ac:dyDescent="0.25">
      <c r="B643" s="48"/>
      <c r="C643" s="47"/>
      <c r="D643" s="47"/>
      <c r="E643" s="47"/>
      <c r="F643" s="44"/>
      <c r="G643" s="44"/>
      <c r="H643" s="46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5"/>
      <c r="T643" s="44"/>
      <c r="U643" s="44"/>
      <c r="V643" s="44"/>
      <c r="W643" s="44"/>
      <c r="X643" s="44"/>
      <c r="Y643" s="44"/>
      <c r="Z643" s="44"/>
      <c r="AA643" s="44"/>
      <c r="AB643" s="44"/>
      <c r="AC643" s="45"/>
      <c r="AD643" s="44"/>
      <c r="AE643" s="44"/>
      <c r="AF643" s="44"/>
      <c r="AG643" s="45"/>
      <c r="AH643" s="44"/>
      <c r="AI643" s="81"/>
      <c r="AJ643" s="43"/>
      <c r="AK643" s="43"/>
      <c r="AL643" s="43"/>
      <c r="AM643" s="43"/>
    </row>
    <row r="644" spans="2:39" x14ac:dyDescent="0.25">
      <c r="B644" s="48"/>
      <c r="C644" s="47"/>
      <c r="D644" s="47"/>
      <c r="E644" s="47"/>
      <c r="F644" s="44"/>
      <c r="G644" s="44"/>
      <c r="H644" s="46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5"/>
      <c r="T644" s="44"/>
      <c r="U644" s="44"/>
      <c r="V644" s="44"/>
      <c r="W644" s="44"/>
      <c r="X644" s="44"/>
      <c r="Y644" s="44"/>
      <c r="Z644" s="44"/>
      <c r="AA644" s="44"/>
      <c r="AB644" s="44"/>
      <c r="AC644" s="45"/>
      <c r="AD644" s="44"/>
      <c r="AE644" s="44"/>
      <c r="AF644" s="44"/>
      <c r="AG644" s="45"/>
      <c r="AH644" s="44"/>
      <c r="AI644" s="81"/>
      <c r="AJ644" s="43"/>
      <c r="AK644" s="43"/>
      <c r="AL644" s="43"/>
      <c r="AM644" s="43"/>
    </row>
    <row r="645" spans="2:39" x14ac:dyDescent="0.25">
      <c r="B645" s="48"/>
      <c r="C645" s="47"/>
      <c r="D645" s="47"/>
      <c r="E645" s="47"/>
      <c r="F645" s="44"/>
      <c r="G645" s="44"/>
      <c r="H645" s="46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5"/>
      <c r="T645" s="44"/>
      <c r="U645" s="44"/>
      <c r="V645" s="44"/>
      <c r="W645" s="44"/>
      <c r="X645" s="44"/>
      <c r="Y645" s="44"/>
      <c r="Z645" s="44"/>
      <c r="AA645" s="44"/>
      <c r="AB645" s="44"/>
      <c r="AC645" s="45"/>
      <c r="AD645" s="44"/>
      <c r="AE645" s="44"/>
      <c r="AF645" s="44"/>
      <c r="AG645" s="45"/>
      <c r="AH645" s="44"/>
      <c r="AI645" s="81"/>
      <c r="AJ645" s="43"/>
      <c r="AK645" s="43"/>
      <c r="AL645" s="43"/>
      <c r="AM645" s="43"/>
    </row>
    <row r="646" spans="2:39" x14ac:dyDescent="0.25">
      <c r="B646" s="48"/>
      <c r="C646" s="47"/>
      <c r="D646" s="47"/>
      <c r="E646" s="47"/>
      <c r="F646" s="44"/>
      <c r="G646" s="44"/>
      <c r="H646" s="46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5"/>
      <c r="T646" s="44"/>
      <c r="U646" s="44"/>
      <c r="V646" s="44"/>
      <c r="W646" s="44"/>
      <c r="X646" s="44"/>
      <c r="Y646" s="44"/>
      <c r="Z646" s="44"/>
      <c r="AA646" s="44"/>
      <c r="AB646" s="44"/>
      <c r="AC646" s="45"/>
      <c r="AD646" s="44"/>
      <c r="AE646" s="44"/>
      <c r="AF646" s="44"/>
      <c r="AG646" s="45"/>
      <c r="AH646" s="44"/>
      <c r="AI646" s="81"/>
      <c r="AJ646" s="43"/>
      <c r="AK646" s="43"/>
      <c r="AL646" s="43"/>
      <c r="AM646" s="43"/>
    </row>
    <row r="647" spans="2:39" x14ac:dyDescent="0.25">
      <c r="B647" s="48"/>
      <c r="C647" s="47"/>
      <c r="D647" s="47"/>
      <c r="E647" s="47"/>
      <c r="F647" s="44"/>
      <c r="G647" s="44"/>
      <c r="H647" s="46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5"/>
      <c r="T647" s="44"/>
      <c r="U647" s="44"/>
      <c r="V647" s="44"/>
      <c r="W647" s="44"/>
      <c r="X647" s="44"/>
      <c r="Y647" s="44"/>
      <c r="Z647" s="44"/>
      <c r="AA647" s="44"/>
      <c r="AB647" s="44"/>
      <c r="AC647" s="45"/>
      <c r="AD647" s="44"/>
      <c r="AE647" s="44"/>
      <c r="AF647" s="44"/>
      <c r="AG647" s="45"/>
      <c r="AH647" s="44"/>
      <c r="AI647" s="81"/>
      <c r="AJ647" s="43"/>
      <c r="AK647" s="43"/>
      <c r="AL647" s="43"/>
      <c r="AM647" s="43"/>
    </row>
    <row r="648" spans="2:39" x14ac:dyDescent="0.25">
      <c r="B648" s="48"/>
      <c r="C648" s="47"/>
      <c r="D648" s="47"/>
      <c r="E648" s="47"/>
      <c r="F648" s="44"/>
      <c r="G648" s="44"/>
      <c r="H648" s="46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5"/>
      <c r="T648" s="44"/>
      <c r="U648" s="44"/>
      <c r="V648" s="44"/>
      <c r="W648" s="44"/>
      <c r="X648" s="44"/>
      <c r="Y648" s="44"/>
      <c r="Z648" s="44"/>
      <c r="AA648" s="44"/>
      <c r="AB648" s="44"/>
      <c r="AC648" s="45"/>
      <c r="AD648" s="44"/>
      <c r="AE648" s="44"/>
      <c r="AF648" s="44"/>
      <c r="AG648" s="45"/>
      <c r="AH648" s="44"/>
      <c r="AI648" s="81"/>
      <c r="AJ648" s="43"/>
      <c r="AK648" s="43"/>
      <c r="AL648" s="43"/>
      <c r="AM648" s="43"/>
    </row>
    <row r="649" spans="2:39" x14ac:dyDescent="0.25">
      <c r="B649" s="48"/>
      <c r="C649" s="47"/>
      <c r="D649" s="47"/>
      <c r="E649" s="47"/>
      <c r="F649" s="44"/>
      <c r="G649" s="44"/>
      <c r="H649" s="46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5"/>
      <c r="T649" s="44"/>
      <c r="U649" s="44"/>
      <c r="V649" s="44"/>
      <c r="W649" s="44"/>
      <c r="X649" s="44"/>
      <c r="Y649" s="44"/>
      <c r="Z649" s="44"/>
      <c r="AA649" s="44"/>
      <c r="AB649" s="44"/>
      <c r="AC649" s="45"/>
      <c r="AD649" s="44"/>
      <c r="AE649" s="44"/>
      <c r="AF649" s="44"/>
      <c r="AG649" s="45"/>
      <c r="AH649" s="44"/>
      <c r="AI649" s="81"/>
      <c r="AJ649" s="43"/>
      <c r="AK649" s="43"/>
      <c r="AL649" s="43"/>
      <c r="AM649" s="43"/>
    </row>
    <row r="650" spans="2:39" x14ac:dyDescent="0.25">
      <c r="B650" s="48"/>
      <c r="C650" s="47"/>
      <c r="D650" s="47"/>
      <c r="E650" s="47"/>
      <c r="F650" s="44"/>
      <c r="G650" s="44"/>
      <c r="H650" s="46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5"/>
      <c r="T650" s="44"/>
      <c r="U650" s="44"/>
      <c r="V650" s="44"/>
      <c r="W650" s="44"/>
      <c r="X650" s="44"/>
      <c r="Y650" s="44"/>
      <c r="Z650" s="44"/>
      <c r="AA650" s="44"/>
      <c r="AB650" s="44"/>
      <c r="AC650" s="45"/>
      <c r="AD650" s="44"/>
      <c r="AE650" s="44"/>
      <c r="AF650" s="44"/>
      <c r="AG650" s="45"/>
      <c r="AH650" s="44"/>
      <c r="AI650" s="81"/>
      <c r="AJ650" s="43"/>
      <c r="AK650" s="43"/>
      <c r="AL650" s="43"/>
      <c r="AM650" s="43"/>
    </row>
    <row r="651" spans="2:39" x14ac:dyDescent="0.25">
      <c r="B651" s="48"/>
      <c r="C651" s="47"/>
      <c r="D651" s="47"/>
      <c r="E651" s="47"/>
      <c r="F651" s="44"/>
      <c r="G651" s="44"/>
      <c r="H651" s="46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5"/>
      <c r="T651" s="44"/>
      <c r="U651" s="44"/>
      <c r="V651" s="44"/>
      <c r="W651" s="44"/>
      <c r="X651" s="44"/>
      <c r="Y651" s="44"/>
      <c r="Z651" s="44"/>
      <c r="AA651" s="44"/>
      <c r="AB651" s="44"/>
      <c r="AC651" s="45"/>
      <c r="AD651" s="44"/>
      <c r="AE651" s="44"/>
      <c r="AF651" s="44"/>
      <c r="AG651" s="45"/>
      <c r="AH651" s="44"/>
      <c r="AI651" s="81"/>
      <c r="AJ651" s="43"/>
      <c r="AK651" s="43"/>
      <c r="AL651" s="43"/>
      <c r="AM651" s="43"/>
    </row>
    <row r="652" spans="2:39" x14ac:dyDescent="0.25">
      <c r="B652" s="48"/>
      <c r="C652" s="47"/>
      <c r="D652" s="47"/>
      <c r="E652" s="47"/>
      <c r="F652" s="44"/>
      <c r="G652" s="44"/>
      <c r="H652" s="46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5"/>
      <c r="T652" s="44"/>
      <c r="U652" s="44"/>
      <c r="V652" s="44"/>
      <c r="W652" s="44"/>
      <c r="X652" s="44"/>
      <c r="Y652" s="44"/>
      <c r="Z652" s="44"/>
      <c r="AA652" s="44"/>
      <c r="AB652" s="44"/>
      <c r="AC652" s="45"/>
      <c r="AD652" s="44"/>
      <c r="AE652" s="44"/>
      <c r="AF652" s="44"/>
      <c r="AG652" s="45"/>
      <c r="AH652" s="44"/>
      <c r="AI652" s="81"/>
      <c r="AJ652" s="43"/>
      <c r="AK652" s="43"/>
      <c r="AL652" s="43"/>
      <c r="AM652" s="43"/>
    </row>
    <row r="653" spans="2:39" x14ac:dyDescent="0.25">
      <c r="B653" s="48"/>
      <c r="C653" s="47"/>
      <c r="D653" s="47"/>
      <c r="E653" s="47"/>
      <c r="F653" s="44"/>
      <c r="G653" s="44"/>
      <c r="H653" s="46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5"/>
      <c r="T653" s="44"/>
      <c r="U653" s="44"/>
      <c r="V653" s="44"/>
      <c r="W653" s="44"/>
      <c r="X653" s="44"/>
      <c r="Y653" s="44"/>
      <c r="Z653" s="44"/>
      <c r="AA653" s="44"/>
      <c r="AB653" s="44"/>
      <c r="AC653" s="45"/>
      <c r="AD653" s="44"/>
      <c r="AE653" s="44"/>
      <c r="AF653" s="44"/>
      <c r="AG653" s="45"/>
      <c r="AH653" s="44"/>
      <c r="AI653" s="81"/>
      <c r="AJ653" s="43"/>
      <c r="AK653" s="43"/>
      <c r="AL653" s="43"/>
      <c r="AM653" s="43"/>
    </row>
    <row r="654" spans="2:39" x14ac:dyDescent="0.25">
      <c r="B654" s="48"/>
      <c r="C654" s="47"/>
      <c r="D654" s="47"/>
      <c r="E654" s="47"/>
      <c r="F654" s="44"/>
      <c r="G654" s="44"/>
      <c r="H654" s="46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5"/>
      <c r="T654" s="44"/>
      <c r="U654" s="44"/>
      <c r="V654" s="44"/>
      <c r="W654" s="44"/>
      <c r="X654" s="44"/>
      <c r="Y654" s="44"/>
      <c r="Z654" s="44"/>
      <c r="AA654" s="44"/>
      <c r="AB654" s="44"/>
      <c r="AC654" s="45"/>
      <c r="AD654" s="44"/>
      <c r="AE654" s="44"/>
      <c r="AF654" s="44"/>
      <c r="AG654" s="45"/>
      <c r="AH654" s="44"/>
      <c r="AI654" s="81"/>
      <c r="AJ654" s="43"/>
      <c r="AK654" s="43"/>
      <c r="AL654" s="43"/>
      <c r="AM654" s="43"/>
    </row>
    <row r="655" spans="2:39" x14ac:dyDescent="0.25">
      <c r="B655" s="48"/>
      <c r="C655" s="47"/>
      <c r="D655" s="47"/>
      <c r="E655" s="47"/>
      <c r="F655" s="44"/>
      <c r="G655" s="44"/>
      <c r="H655" s="46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5"/>
      <c r="T655" s="44"/>
      <c r="U655" s="44"/>
      <c r="V655" s="44"/>
      <c r="W655" s="44"/>
      <c r="X655" s="44"/>
      <c r="Y655" s="44"/>
      <c r="Z655" s="44"/>
      <c r="AA655" s="44"/>
      <c r="AB655" s="44"/>
      <c r="AC655" s="45"/>
      <c r="AD655" s="44"/>
      <c r="AE655" s="44"/>
      <c r="AF655" s="44"/>
      <c r="AG655" s="45"/>
      <c r="AH655" s="44"/>
      <c r="AI655" s="81"/>
      <c r="AJ655" s="43"/>
      <c r="AK655" s="43"/>
      <c r="AL655" s="43"/>
      <c r="AM655" s="43"/>
    </row>
    <row r="656" spans="2:39" x14ac:dyDescent="0.25">
      <c r="B656" s="48"/>
      <c r="C656" s="47"/>
      <c r="D656" s="47"/>
      <c r="E656" s="47"/>
      <c r="F656" s="44"/>
      <c r="G656" s="44"/>
      <c r="H656" s="46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5"/>
      <c r="T656" s="44"/>
      <c r="U656" s="44"/>
      <c r="V656" s="44"/>
      <c r="W656" s="44"/>
      <c r="X656" s="44"/>
      <c r="Y656" s="44"/>
      <c r="Z656" s="44"/>
      <c r="AA656" s="44"/>
      <c r="AB656" s="44"/>
      <c r="AC656" s="45"/>
      <c r="AD656" s="44"/>
      <c r="AE656" s="44"/>
      <c r="AF656" s="44"/>
      <c r="AG656" s="45"/>
      <c r="AH656" s="44"/>
      <c r="AI656" s="81"/>
      <c r="AJ656" s="43"/>
      <c r="AK656" s="43"/>
      <c r="AL656" s="43"/>
      <c r="AM656" s="43"/>
    </row>
    <row r="657" spans="2:39" x14ac:dyDescent="0.25">
      <c r="B657" s="48"/>
      <c r="C657" s="47"/>
      <c r="D657" s="47"/>
      <c r="E657" s="47"/>
      <c r="F657" s="44"/>
      <c r="G657" s="44"/>
      <c r="H657" s="46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5"/>
      <c r="T657" s="44"/>
      <c r="U657" s="44"/>
      <c r="V657" s="44"/>
      <c r="W657" s="44"/>
      <c r="X657" s="44"/>
      <c r="Y657" s="44"/>
      <c r="Z657" s="44"/>
      <c r="AA657" s="44"/>
      <c r="AB657" s="44"/>
      <c r="AC657" s="45"/>
      <c r="AD657" s="44"/>
      <c r="AE657" s="44"/>
      <c r="AF657" s="44"/>
      <c r="AG657" s="45"/>
      <c r="AH657" s="44"/>
      <c r="AI657" s="81"/>
      <c r="AJ657" s="43"/>
      <c r="AK657" s="43"/>
      <c r="AL657" s="43"/>
      <c r="AM657" s="43"/>
    </row>
    <row r="658" spans="2:39" x14ac:dyDescent="0.25">
      <c r="B658" s="48"/>
      <c r="C658" s="47"/>
      <c r="D658" s="47"/>
      <c r="E658" s="47"/>
      <c r="F658" s="44"/>
      <c r="G658" s="44"/>
      <c r="H658" s="46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5"/>
      <c r="T658" s="44"/>
      <c r="U658" s="44"/>
      <c r="V658" s="44"/>
      <c r="W658" s="44"/>
      <c r="X658" s="44"/>
      <c r="Y658" s="44"/>
      <c r="Z658" s="44"/>
      <c r="AA658" s="44"/>
      <c r="AB658" s="44"/>
      <c r="AC658" s="45"/>
      <c r="AD658" s="44"/>
      <c r="AE658" s="44"/>
      <c r="AF658" s="44"/>
      <c r="AG658" s="45"/>
      <c r="AH658" s="44"/>
      <c r="AI658" s="81"/>
      <c r="AJ658" s="43"/>
      <c r="AK658" s="43"/>
      <c r="AL658" s="43"/>
      <c r="AM658" s="43"/>
    </row>
    <row r="659" spans="2:39" x14ac:dyDescent="0.25">
      <c r="B659" s="48"/>
      <c r="C659" s="47"/>
      <c r="D659" s="47"/>
      <c r="E659" s="47"/>
      <c r="F659" s="44"/>
      <c r="G659" s="44"/>
      <c r="H659" s="46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5"/>
      <c r="T659" s="44"/>
      <c r="U659" s="44"/>
      <c r="V659" s="44"/>
      <c r="W659" s="44"/>
      <c r="X659" s="44"/>
      <c r="Y659" s="44"/>
      <c r="Z659" s="44"/>
      <c r="AA659" s="44"/>
      <c r="AB659" s="44"/>
      <c r="AC659" s="45"/>
      <c r="AD659" s="44"/>
      <c r="AE659" s="44"/>
      <c r="AF659" s="44"/>
      <c r="AG659" s="45"/>
      <c r="AH659" s="44"/>
      <c r="AI659" s="81"/>
      <c r="AJ659" s="43"/>
      <c r="AK659" s="43"/>
      <c r="AL659" s="43"/>
      <c r="AM659" s="43"/>
    </row>
    <row r="660" spans="2:39" x14ac:dyDescent="0.25">
      <c r="B660" s="48"/>
      <c r="C660" s="47"/>
      <c r="D660" s="47"/>
      <c r="E660" s="47"/>
      <c r="F660" s="44"/>
      <c r="G660" s="44"/>
      <c r="H660" s="46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5"/>
      <c r="T660" s="44"/>
      <c r="U660" s="44"/>
      <c r="V660" s="44"/>
      <c r="W660" s="44"/>
      <c r="X660" s="44"/>
      <c r="Y660" s="44"/>
      <c r="Z660" s="44"/>
      <c r="AA660" s="44"/>
      <c r="AB660" s="44"/>
      <c r="AC660" s="45"/>
      <c r="AD660" s="44"/>
      <c r="AE660" s="44"/>
      <c r="AF660" s="44"/>
      <c r="AG660" s="45"/>
      <c r="AH660" s="44"/>
      <c r="AI660" s="81"/>
      <c r="AJ660" s="43"/>
      <c r="AK660" s="43"/>
      <c r="AL660" s="43"/>
      <c r="AM660" s="43"/>
    </row>
    <row r="661" spans="2:39" x14ac:dyDescent="0.25">
      <c r="B661" s="48"/>
      <c r="C661" s="47"/>
      <c r="D661" s="47"/>
      <c r="E661" s="47"/>
      <c r="F661" s="44"/>
      <c r="G661" s="44"/>
      <c r="H661" s="46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5"/>
      <c r="T661" s="44"/>
      <c r="U661" s="44"/>
      <c r="V661" s="44"/>
      <c r="W661" s="44"/>
      <c r="X661" s="44"/>
      <c r="Y661" s="44"/>
      <c r="Z661" s="44"/>
      <c r="AA661" s="44"/>
      <c r="AB661" s="44"/>
      <c r="AC661" s="45"/>
      <c r="AD661" s="44"/>
      <c r="AE661" s="44"/>
      <c r="AF661" s="44"/>
      <c r="AG661" s="45"/>
      <c r="AH661" s="44"/>
      <c r="AI661" s="81"/>
      <c r="AJ661" s="43"/>
      <c r="AK661" s="43"/>
      <c r="AL661" s="43"/>
      <c r="AM661" s="43"/>
    </row>
    <row r="662" spans="2:39" x14ac:dyDescent="0.25">
      <c r="B662" s="48"/>
      <c r="C662" s="47"/>
      <c r="D662" s="47"/>
      <c r="E662" s="47"/>
      <c r="F662" s="44"/>
      <c r="G662" s="44"/>
      <c r="H662" s="46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5"/>
      <c r="T662" s="44"/>
      <c r="U662" s="44"/>
      <c r="V662" s="44"/>
      <c r="W662" s="44"/>
      <c r="X662" s="44"/>
      <c r="Y662" s="44"/>
      <c r="Z662" s="44"/>
      <c r="AA662" s="44"/>
      <c r="AB662" s="44"/>
      <c r="AC662" s="45"/>
      <c r="AD662" s="44"/>
      <c r="AE662" s="44"/>
      <c r="AF662" s="44"/>
      <c r="AG662" s="45"/>
      <c r="AH662" s="44"/>
      <c r="AI662" s="81"/>
      <c r="AJ662" s="43"/>
      <c r="AK662" s="43"/>
      <c r="AL662" s="43"/>
      <c r="AM662" s="43"/>
    </row>
    <row r="663" spans="2:39" x14ac:dyDescent="0.25">
      <c r="B663" s="48"/>
      <c r="C663" s="47"/>
      <c r="D663" s="47"/>
      <c r="E663" s="47"/>
      <c r="F663" s="44"/>
      <c r="G663" s="44"/>
      <c r="H663" s="46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5"/>
      <c r="T663" s="44"/>
      <c r="U663" s="44"/>
      <c r="V663" s="44"/>
      <c r="W663" s="44"/>
      <c r="X663" s="44"/>
      <c r="Y663" s="44"/>
      <c r="Z663" s="44"/>
      <c r="AA663" s="44"/>
      <c r="AB663" s="44"/>
      <c r="AC663" s="45"/>
      <c r="AD663" s="44"/>
      <c r="AE663" s="44"/>
      <c r="AF663" s="44"/>
      <c r="AG663" s="45"/>
      <c r="AH663" s="44"/>
      <c r="AI663" s="81"/>
      <c r="AJ663" s="43"/>
      <c r="AK663" s="43"/>
      <c r="AL663" s="43"/>
      <c r="AM663" s="43"/>
    </row>
    <row r="664" spans="2:39" x14ac:dyDescent="0.25">
      <c r="B664" s="48"/>
      <c r="C664" s="47"/>
      <c r="D664" s="47"/>
      <c r="E664" s="47"/>
      <c r="F664" s="44"/>
      <c r="G664" s="44"/>
      <c r="H664" s="46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5"/>
      <c r="T664" s="44"/>
      <c r="U664" s="44"/>
      <c r="V664" s="44"/>
      <c r="W664" s="44"/>
      <c r="X664" s="44"/>
      <c r="Y664" s="44"/>
      <c r="Z664" s="44"/>
      <c r="AA664" s="44"/>
      <c r="AB664" s="44"/>
      <c r="AC664" s="45"/>
      <c r="AD664" s="44"/>
      <c r="AE664" s="44"/>
      <c r="AF664" s="44"/>
      <c r="AG664" s="45"/>
      <c r="AH664" s="44"/>
      <c r="AI664" s="81"/>
      <c r="AJ664" s="43"/>
      <c r="AK664" s="43"/>
      <c r="AL664" s="43"/>
      <c r="AM664" s="43"/>
    </row>
    <row r="665" spans="2:39" x14ac:dyDescent="0.25">
      <c r="B665" s="48"/>
      <c r="C665" s="47"/>
      <c r="D665" s="47"/>
      <c r="E665" s="47"/>
      <c r="F665" s="44"/>
      <c r="G665" s="44"/>
      <c r="H665" s="46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5"/>
      <c r="T665" s="44"/>
      <c r="U665" s="44"/>
      <c r="V665" s="44"/>
      <c r="W665" s="44"/>
      <c r="X665" s="44"/>
      <c r="Y665" s="44"/>
      <c r="Z665" s="44"/>
      <c r="AA665" s="44"/>
      <c r="AB665" s="44"/>
      <c r="AC665" s="45"/>
      <c r="AD665" s="44"/>
      <c r="AE665" s="44"/>
      <c r="AF665" s="44"/>
      <c r="AG665" s="45"/>
      <c r="AH665" s="44"/>
      <c r="AI665" s="81"/>
      <c r="AJ665" s="43"/>
      <c r="AK665" s="43"/>
      <c r="AL665" s="43"/>
      <c r="AM665" s="43"/>
    </row>
    <row r="666" spans="2:39" x14ac:dyDescent="0.25">
      <c r="B666" s="48"/>
      <c r="C666" s="47"/>
      <c r="D666" s="47"/>
      <c r="E666" s="47"/>
      <c r="F666" s="44"/>
      <c r="G666" s="44"/>
      <c r="H666" s="46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5"/>
      <c r="T666" s="44"/>
      <c r="U666" s="44"/>
      <c r="V666" s="44"/>
      <c r="W666" s="44"/>
      <c r="X666" s="44"/>
      <c r="Y666" s="44"/>
      <c r="Z666" s="44"/>
      <c r="AA666" s="44"/>
      <c r="AB666" s="44"/>
      <c r="AC666" s="45"/>
      <c r="AD666" s="44"/>
      <c r="AE666" s="44"/>
      <c r="AF666" s="44"/>
      <c r="AG666" s="45"/>
      <c r="AH666" s="44"/>
      <c r="AI666" s="81"/>
      <c r="AJ666" s="43"/>
      <c r="AK666" s="43"/>
      <c r="AL666" s="43"/>
      <c r="AM666" s="43"/>
    </row>
    <row r="667" spans="2:39" x14ac:dyDescent="0.25">
      <c r="B667" s="48"/>
      <c r="C667" s="47"/>
      <c r="D667" s="47"/>
      <c r="E667" s="47"/>
      <c r="F667" s="44"/>
      <c r="G667" s="44"/>
      <c r="H667" s="46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5"/>
      <c r="T667" s="44"/>
      <c r="U667" s="44"/>
      <c r="V667" s="44"/>
      <c r="W667" s="44"/>
      <c r="X667" s="44"/>
      <c r="Y667" s="44"/>
      <c r="Z667" s="44"/>
      <c r="AA667" s="44"/>
      <c r="AB667" s="44"/>
      <c r="AC667" s="45"/>
      <c r="AD667" s="44"/>
      <c r="AE667" s="44"/>
      <c r="AF667" s="44"/>
      <c r="AG667" s="45"/>
      <c r="AH667" s="44"/>
      <c r="AI667" s="81"/>
      <c r="AJ667" s="43"/>
      <c r="AK667" s="43"/>
      <c r="AL667" s="43"/>
      <c r="AM667" s="43"/>
    </row>
    <row r="668" spans="2:39" x14ac:dyDescent="0.25">
      <c r="B668" s="48"/>
      <c r="C668" s="47"/>
      <c r="D668" s="47"/>
      <c r="E668" s="47"/>
      <c r="F668" s="44"/>
      <c r="G668" s="44"/>
      <c r="H668" s="46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5"/>
      <c r="T668" s="44"/>
      <c r="U668" s="44"/>
      <c r="V668" s="44"/>
      <c r="W668" s="44"/>
      <c r="X668" s="44"/>
      <c r="Y668" s="44"/>
      <c r="Z668" s="44"/>
      <c r="AA668" s="44"/>
      <c r="AB668" s="44"/>
      <c r="AC668" s="45"/>
      <c r="AD668" s="44"/>
      <c r="AE668" s="44"/>
      <c r="AF668" s="44"/>
      <c r="AG668" s="45"/>
      <c r="AH668" s="44"/>
      <c r="AI668" s="81"/>
      <c r="AJ668" s="43"/>
      <c r="AK668" s="43"/>
      <c r="AL668" s="43"/>
      <c r="AM668" s="43"/>
    </row>
    <row r="669" spans="2:39" x14ac:dyDescent="0.25">
      <c r="B669" s="48"/>
      <c r="C669" s="47"/>
      <c r="D669" s="47"/>
      <c r="E669" s="47"/>
      <c r="F669" s="44"/>
      <c r="G669" s="44"/>
      <c r="H669" s="46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5"/>
      <c r="T669" s="44"/>
      <c r="U669" s="44"/>
      <c r="V669" s="44"/>
      <c r="W669" s="44"/>
      <c r="X669" s="44"/>
      <c r="Y669" s="44"/>
      <c r="Z669" s="44"/>
      <c r="AA669" s="44"/>
      <c r="AB669" s="44"/>
      <c r="AC669" s="45"/>
      <c r="AD669" s="44"/>
      <c r="AE669" s="44"/>
      <c r="AF669" s="44"/>
      <c r="AG669" s="45"/>
      <c r="AH669" s="44"/>
      <c r="AI669" s="81"/>
      <c r="AJ669" s="43"/>
      <c r="AK669" s="43"/>
      <c r="AL669" s="43"/>
      <c r="AM669" s="43"/>
    </row>
    <row r="670" spans="2:39" x14ac:dyDescent="0.25">
      <c r="B670" s="48"/>
      <c r="C670" s="47"/>
      <c r="D670" s="47"/>
      <c r="E670" s="47"/>
      <c r="F670" s="44"/>
      <c r="G670" s="44"/>
      <c r="H670" s="46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5"/>
      <c r="T670" s="44"/>
      <c r="U670" s="44"/>
      <c r="V670" s="44"/>
      <c r="W670" s="44"/>
      <c r="X670" s="44"/>
      <c r="Y670" s="44"/>
      <c r="Z670" s="44"/>
      <c r="AA670" s="44"/>
      <c r="AB670" s="44"/>
      <c r="AC670" s="45"/>
      <c r="AD670" s="44"/>
      <c r="AE670" s="44"/>
      <c r="AF670" s="44"/>
      <c r="AG670" s="45"/>
      <c r="AH670" s="44"/>
      <c r="AI670" s="81"/>
      <c r="AJ670" s="43"/>
      <c r="AK670" s="43"/>
      <c r="AL670" s="43"/>
      <c r="AM670" s="43"/>
    </row>
    <row r="671" spans="2:39" x14ac:dyDescent="0.25">
      <c r="B671" s="48"/>
      <c r="C671" s="47"/>
      <c r="D671" s="47"/>
      <c r="E671" s="47"/>
      <c r="F671" s="44"/>
      <c r="G671" s="44"/>
      <c r="H671" s="46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5"/>
      <c r="T671" s="44"/>
      <c r="U671" s="44"/>
      <c r="V671" s="44"/>
      <c r="W671" s="44"/>
      <c r="X671" s="44"/>
      <c r="Y671" s="44"/>
      <c r="Z671" s="44"/>
      <c r="AA671" s="44"/>
      <c r="AB671" s="44"/>
      <c r="AC671" s="45"/>
      <c r="AD671" s="44"/>
      <c r="AE671" s="44"/>
      <c r="AF671" s="44"/>
      <c r="AG671" s="45"/>
      <c r="AH671" s="44"/>
      <c r="AI671" s="81"/>
      <c r="AJ671" s="43"/>
      <c r="AK671" s="43"/>
      <c r="AL671" s="43"/>
      <c r="AM671" s="43"/>
    </row>
    <row r="672" spans="2:39" x14ac:dyDescent="0.25">
      <c r="B672" s="48"/>
      <c r="C672" s="47"/>
      <c r="D672" s="47"/>
      <c r="E672" s="47"/>
      <c r="F672" s="44"/>
      <c r="G672" s="44"/>
      <c r="H672" s="46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5"/>
      <c r="T672" s="44"/>
      <c r="U672" s="44"/>
      <c r="V672" s="44"/>
      <c r="W672" s="44"/>
      <c r="X672" s="44"/>
      <c r="Y672" s="44"/>
      <c r="Z672" s="44"/>
      <c r="AA672" s="44"/>
      <c r="AB672" s="44"/>
      <c r="AC672" s="45"/>
      <c r="AD672" s="44"/>
      <c r="AE672" s="44"/>
      <c r="AF672" s="44"/>
      <c r="AG672" s="45"/>
      <c r="AH672" s="44"/>
      <c r="AI672" s="81"/>
      <c r="AJ672" s="43"/>
      <c r="AK672" s="43"/>
      <c r="AL672" s="43"/>
      <c r="AM672" s="43"/>
    </row>
    <row r="673" spans="2:39" x14ac:dyDescent="0.25">
      <c r="B673" s="48"/>
      <c r="C673" s="47"/>
      <c r="D673" s="47"/>
      <c r="E673" s="47"/>
      <c r="F673" s="44"/>
      <c r="G673" s="44"/>
      <c r="H673" s="46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5"/>
      <c r="T673" s="44"/>
      <c r="U673" s="44"/>
      <c r="V673" s="44"/>
      <c r="W673" s="44"/>
      <c r="X673" s="44"/>
      <c r="Y673" s="44"/>
      <c r="Z673" s="44"/>
      <c r="AA673" s="44"/>
      <c r="AB673" s="44"/>
      <c r="AC673" s="45"/>
      <c r="AD673" s="44"/>
      <c r="AE673" s="44"/>
      <c r="AF673" s="44"/>
      <c r="AG673" s="45"/>
      <c r="AH673" s="44"/>
      <c r="AI673" s="81"/>
      <c r="AJ673" s="43"/>
      <c r="AK673" s="43"/>
      <c r="AL673" s="43"/>
      <c r="AM673" s="43"/>
    </row>
    <row r="674" spans="2:39" x14ac:dyDescent="0.25">
      <c r="B674" s="48"/>
      <c r="C674" s="47"/>
      <c r="D674" s="47"/>
      <c r="E674" s="47"/>
      <c r="F674" s="44"/>
      <c r="G674" s="44"/>
      <c r="H674" s="46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5"/>
      <c r="T674" s="44"/>
      <c r="U674" s="44"/>
      <c r="V674" s="44"/>
      <c r="W674" s="44"/>
      <c r="X674" s="44"/>
      <c r="Y674" s="44"/>
      <c r="Z674" s="44"/>
      <c r="AA674" s="44"/>
      <c r="AB674" s="44"/>
      <c r="AC674" s="45"/>
      <c r="AD674" s="44"/>
      <c r="AE674" s="44"/>
      <c r="AF674" s="44"/>
      <c r="AG674" s="45"/>
      <c r="AH674" s="44"/>
      <c r="AI674" s="81"/>
      <c r="AJ674" s="43"/>
      <c r="AK674" s="43"/>
      <c r="AL674" s="43"/>
      <c r="AM674" s="43"/>
    </row>
    <row r="675" spans="2:39" x14ac:dyDescent="0.25">
      <c r="B675" s="48"/>
      <c r="C675" s="47"/>
      <c r="D675" s="47"/>
      <c r="E675" s="47"/>
      <c r="F675" s="44"/>
      <c r="G675" s="44"/>
      <c r="H675" s="46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5"/>
      <c r="T675" s="44"/>
      <c r="U675" s="44"/>
      <c r="V675" s="44"/>
      <c r="W675" s="44"/>
      <c r="X675" s="44"/>
      <c r="Y675" s="44"/>
      <c r="Z675" s="44"/>
      <c r="AA675" s="44"/>
      <c r="AB675" s="44"/>
      <c r="AC675" s="45"/>
      <c r="AD675" s="44"/>
      <c r="AE675" s="44"/>
      <c r="AF675" s="44"/>
      <c r="AG675" s="45"/>
      <c r="AH675" s="44"/>
      <c r="AI675" s="81"/>
      <c r="AJ675" s="43"/>
      <c r="AK675" s="43"/>
      <c r="AL675" s="43"/>
      <c r="AM675" s="43"/>
    </row>
    <row r="676" spans="2:39" x14ac:dyDescent="0.25">
      <c r="B676" s="48"/>
      <c r="C676" s="47"/>
      <c r="D676" s="47"/>
      <c r="E676" s="47"/>
      <c r="F676" s="44"/>
      <c r="G676" s="44"/>
      <c r="H676" s="46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5"/>
      <c r="T676" s="44"/>
      <c r="U676" s="44"/>
      <c r="V676" s="44"/>
      <c r="W676" s="44"/>
      <c r="X676" s="44"/>
      <c r="Y676" s="44"/>
      <c r="Z676" s="44"/>
      <c r="AA676" s="44"/>
      <c r="AB676" s="44"/>
      <c r="AC676" s="45"/>
      <c r="AD676" s="44"/>
      <c r="AE676" s="44"/>
      <c r="AF676" s="44"/>
      <c r="AG676" s="45"/>
      <c r="AH676" s="44"/>
      <c r="AI676" s="81"/>
      <c r="AJ676" s="43"/>
      <c r="AK676" s="43"/>
      <c r="AL676" s="43"/>
      <c r="AM676" s="43"/>
    </row>
    <row r="677" spans="2:39" x14ac:dyDescent="0.25">
      <c r="B677" s="48"/>
      <c r="C677" s="47"/>
      <c r="D677" s="47"/>
      <c r="E677" s="47"/>
      <c r="F677" s="44"/>
      <c r="G677" s="44"/>
      <c r="H677" s="46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5"/>
      <c r="T677" s="44"/>
      <c r="U677" s="44"/>
      <c r="V677" s="44"/>
      <c r="W677" s="44"/>
      <c r="X677" s="44"/>
      <c r="Y677" s="44"/>
      <c r="Z677" s="44"/>
      <c r="AA677" s="44"/>
      <c r="AB677" s="44"/>
      <c r="AC677" s="45"/>
      <c r="AD677" s="44"/>
      <c r="AE677" s="44"/>
      <c r="AF677" s="44"/>
      <c r="AG677" s="45"/>
      <c r="AH677" s="44"/>
      <c r="AI677" s="81"/>
      <c r="AJ677" s="43"/>
      <c r="AK677" s="43"/>
      <c r="AL677" s="43"/>
      <c r="AM677" s="43"/>
    </row>
    <row r="678" spans="2:39" x14ac:dyDescent="0.25">
      <c r="B678" s="48"/>
      <c r="C678" s="47"/>
      <c r="D678" s="47"/>
      <c r="E678" s="47"/>
      <c r="F678" s="44"/>
      <c r="G678" s="44"/>
      <c r="H678" s="46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5"/>
      <c r="T678" s="44"/>
      <c r="U678" s="44"/>
      <c r="V678" s="44"/>
      <c r="W678" s="44"/>
      <c r="X678" s="44"/>
      <c r="Y678" s="44"/>
      <c r="Z678" s="44"/>
      <c r="AA678" s="44"/>
      <c r="AB678" s="44"/>
      <c r="AC678" s="45"/>
      <c r="AD678" s="44"/>
      <c r="AE678" s="44"/>
      <c r="AF678" s="44"/>
      <c r="AG678" s="45"/>
      <c r="AH678" s="44"/>
      <c r="AI678" s="81"/>
      <c r="AJ678" s="43"/>
      <c r="AK678" s="43"/>
      <c r="AL678" s="43"/>
      <c r="AM678" s="43"/>
    </row>
    <row r="679" spans="2:39" x14ac:dyDescent="0.25">
      <c r="B679" s="48"/>
      <c r="C679" s="47"/>
      <c r="D679" s="47"/>
      <c r="E679" s="47"/>
      <c r="F679" s="44"/>
      <c r="G679" s="44"/>
      <c r="H679" s="46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5"/>
      <c r="T679" s="44"/>
      <c r="U679" s="44"/>
      <c r="V679" s="44"/>
      <c r="W679" s="44"/>
      <c r="X679" s="44"/>
      <c r="Y679" s="44"/>
      <c r="Z679" s="44"/>
      <c r="AA679" s="44"/>
      <c r="AB679" s="44"/>
      <c r="AC679" s="45"/>
      <c r="AD679" s="44"/>
      <c r="AE679" s="44"/>
      <c r="AF679" s="44"/>
      <c r="AG679" s="45"/>
      <c r="AH679" s="44"/>
      <c r="AI679" s="81"/>
      <c r="AJ679" s="43"/>
      <c r="AK679" s="43"/>
      <c r="AL679" s="43"/>
      <c r="AM679" s="43"/>
    </row>
    <row r="680" spans="2:39" x14ac:dyDescent="0.25">
      <c r="B680" s="48"/>
      <c r="C680" s="47"/>
      <c r="D680" s="47"/>
      <c r="E680" s="47"/>
      <c r="F680" s="44"/>
      <c r="G680" s="44"/>
      <c r="H680" s="46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5"/>
      <c r="T680" s="44"/>
      <c r="U680" s="44"/>
      <c r="V680" s="44"/>
      <c r="W680" s="44"/>
      <c r="X680" s="44"/>
      <c r="Y680" s="44"/>
      <c r="Z680" s="44"/>
      <c r="AA680" s="44"/>
      <c r="AB680" s="44"/>
      <c r="AC680" s="45"/>
      <c r="AD680" s="44"/>
      <c r="AE680" s="44"/>
      <c r="AF680" s="44"/>
      <c r="AG680" s="45"/>
      <c r="AH680" s="44"/>
      <c r="AI680" s="81"/>
      <c r="AJ680" s="43"/>
      <c r="AK680" s="43"/>
      <c r="AL680" s="43"/>
      <c r="AM680" s="43"/>
    </row>
    <row r="681" spans="2:39" x14ac:dyDescent="0.25">
      <c r="B681" s="48"/>
      <c r="C681" s="47"/>
      <c r="D681" s="47"/>
      <c r="E681" s="47"/>
      <c r="F681" s="44"/>
      <c r="G681" s="44"/>
      <c r="H681" s="46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5"/>
      <c r="T681" s="44"/>
      <c r="U681" s="44"/>
      <c r="V681" s="44"/>
      <c r="W681" s="44"/>
      <c r="X681" s="44"/>
      <c r="Y681" s="44"/>
      <c r="Z681" s="44"/>
      <c r="AA681" s="44"/>
      <c r="AB681" s="44"/>
      <c r="AC681" s="45"/>
      <c r="AD681" s="44"/>
      <c r="AE681" s="44"/>
      <c r="AF681" s="44"/>
      <c r="AG681" s="45"/>
      <c r="AH681" s="44"/>
      <c r="AI681" s="81"/>
      <c r="AJ681" s="43"/>
      <c r="AK681" s="43"/>
      <c r="AL681" s="43"/>
      <c r="AM681" s="43"/>
    </row>
    <row r="682" spans="2:39" x14ac:dyDescent="0.25">
      <c r="B682" s="48"/>
      <c r="C682" s="47"/>
      <c r="D682" s="47"/>
      <c r="E682" s="47"/>
      <c r="F682" s="44"/>
      <c r="G682" s="44"/>
      <c r="H682" s="46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5"/>
      <c r="T682" s="44"/>
      <c r="U682" s="44"/>
      <c r="V682" s="44"/>
      <c r="W682" s="44"/>
      <c r="X682" s="44"/>
      <c r="Y682" s="44"/>
      <c r="Z682" s="44"/>
      <c r="AA682" s="44"/>
      <c r="AB682" s="44"/>
      <c r="AC682" s="45"/>
      <c r="AD682" s="44"/>
      <c r="AE682" s="44"/>
      <c r="AF682" s="44"/>
      <c r="AG682" s="45"/>
      <c r="AH682" s="44"/>
      <c r="AI682" s="81"/>
      <c r="AJ682" s="43"/>
      <c r="AK682" s="43"/>
      <c r="AL682" s="43"/>
      <c r="AM682" s="43"/>
    </row>
    <row r="683" spans="2:39" x14ac:dyDescent="0.25">
      <c r="B683" s="48"/>
      <c r="C683" s="47"/>
      <c r="D683" s="47"/>
      <c r="E683" s="47"/>
      <c r="F683" s="44"/>
      <c r="G683" s="44"/>
      <c r="H683" s="46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5"/>
      <c r="T683" s="44"/>
      <c r="U683" s="44"/>
      <c r="V683" s="44"/>
      <c r="W683" s="44"/>
      <c r="X683" s="44"/>
      <c r="Y683" s="44"/>
      <c r="Z683" s="44"/>
      <c r="AA683" s="44"/>
      <c r="AB683" s="44"/>
      <c r="AC683" s="45"/>
      <c r="AD683" s="44"/>
      <c r="AE683" s="44"/>
      <c r="AF683" s="44"/>
      <c r="AG683" s="45"/>
      <c r="AH683" s="44"/>
      <c r="AI683" s="81"/>
      <c r="AJ683" s="43"/>
      <c r="AK683" s="43"/>
      <c r="AL683" s="43"/>
      <c r="AM683" s="43"/>
    </row>
    <row r="684" spans="2:39" x14ac:dyDescent="0.25">
      <c r="B684" s="48"/>
      <c r="C684" s="47"/>
      <c r="D684" s="47"/>
      <c r="E684" s="47"/>
      <c r="F684" s="44"/>
      <c r="G684" s="44"/>
      <c r="H684" s="46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5"/>
      <c r="T684" s="44"/>
      <c r="U684" s="44"/>
      <c r="V684" s="44"/>
      <c r="W684" s="44"/>
      <c r="X684" s="44"/>
      <c r="Y684" s="44"/>
      <c r="Z684" s="44"/>
      <c r="AA684" s="44"/>
      <c r="AB684" s="44"/>
      <c r="AC684" s="45"/>
      <c r="AD684" s="44"/>
      <c r="AE684" s="44"/>
      <c r="AF684" s="44"/>
      <c r="AG684" s="45"/>
      <c r="AH684" s="44"/>
      <c r="AI684" s="81"/>
      <c r="AJ684" s="43"/>
      <c r="AK684" s="43"/>
      <c r="AL684" s="43"/>
      <c r="AM684" s="43"/>
    </row>
    <row r="685" spans="2:39" x14ac:dyDescent="0.25">
      <c r="B685" s="48"/>
      <c r="C685" s="47"/>
      <c r="D685" s="47"/>
      <c r="E685" s="47"/>
      <c r="F685" s="44"/>
      <c r="G685" s="44"/>
      <c r="H685" s="46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5"/>
      <c r="T685" s="44"/>
      <c r="U685" s="44"/>
      <c r="V685" s="44"/>
      <c r="W685" s="44"/>
      <c r="X685" s="44"/>
      <c r="Y685" s="44"/>
      <c r="Z685" s="44"/>
      <c r="AA685" s="44"/>
      <c r="AB685" s="44"/>
      <c r="AC685" s="45"/>
      <c r="AD685" s="44"/>
      <c r="AE685" s="44"/>
      <c r="AF685" s="44"/>
      <c r="AG685" s="45"/>
      <c r="AH685" s="44"/>
      <c r="AI685" s="81"/>
      <c r="AJ685" s="43"/>
      <c r="AK685" s="43"/>
      <c r="AL685" s="43"/>
      <c r="AM685" s="43"/>
    </row>
    <row r="686" spans="2:39" x14ac:dyDescent="0.25">
      <c r="B686" s="48"/>
      <c r="C686" s="47"/>
      <c r="D686" s="47"/>
      <c r="E686" s="47"/>
      <c r="F686" s="44"/>
      <c r="G686" s="44"/>
      <c r="H686" s="46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5"/>
      <c r="T686" s="44"/>
      <c r="U686" s="44"/>
      <c r="V686" s="44"/>
      <c r="W686" s="44"/>
      <c r="X686" s="44"/>
      <c r="Y686" s="44"/>
      <c r="Z686" s="44"/>
      <c r="AA686" s="44"/>
      <c r="AB686" s="44"/>
      <c r="AC686" s="45"/>
      <c r="AD686" s="44"/>
      <c r="AE686" s="44"/>
      <c r="AF686" s="44"/>
      <c r="AG686" s="45"/>
      <c r="AH686" s="44"/>
      <c r="AI686" s="81"/>
      <c r="AJ686" s="43"/>
      <c r="AK686" s="43"/>
      <c r="AL686" s="43"/>
      <c r="AM686" s="43"/>
    </row>
    <row r="687" spans="2:39" x14ac:dyDescent="0.25">
      <c r="B687" s="48"/>
      <c r="C687" s="47"/>
      <c r="D687" s="47"/>
      <c r="E687" s="47"/>
      <c r="F687" s="44"/>
      <c r="G687" s="44"/>
      <c r="H687" s="46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5"/>
      <c r="T687" s="44"/>
      <c r="U687" s="44"/>
      <c r="V687" s="44"/>
      <c r="W687" s="44"/>
      <c r="X687" s="44"/>
      <c r="Y687" s="44"/>
      <c r="Z687" s="44"/>
      <c r="AA687" s="44"/>
      <c r="AB687" s="44"/>
      <c r="AC687" s="45"/>
      <c r="AD687" s="44"/>
      <c r="AE687" s="44"/>
      <c r="AF687" s="44"/>
      <c r="AG687" s="45"/>
      <c r="AH687" s="44"/>
      <c r="AI687" s="81"/>
      <c r="AJ687" s="43"/>
      <c r="AK687" s="43"/>
      <c r="AL687" s="43"/>
      <c r="AM687" s="43"/>
    </row>
    <row r="688" spans="2:39" x14ac:dyDescent="0.25">
      <c r="B688" s="48"/>
      <c r="C688" s="47"/>
      <c r="D688" s="47"/>
      <c r="E688" s="47"/>
      <c r="F688" s="44"/>
      <c r="G688" s="44"/>
      <c r="H688" s="46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5"/>
      <c r="T688" s="44"/>
      <c r="U688" s="44"/>
      <c r="V688" s="44"/>
      <c r="W688" s="44"/>
      <c r="X688" s="44"/>
      <c r="Y688" s="44"/>
      <c r="Z688" s="44"/>
      <c r="AA688" s="44"/>
      <c r="AB688" s="44"/>
      <c r="AC688" s="45"/>
      <c r="AD688" s="44"/>
      <c r="AE688" s="44"/>
      <c r="AF688" s="44"/>
      <c r="AG688" s="45"/>
      <c r="AH688" s="44"/>
      <c r="AI688" s="81"/>
      <c r="AJ688" s="43"/>
      <c r="AK688" s="43"/>
      <c r="AL688" s="43"/>
      <c r="AM688" s="43"/>
    </row>
    <row r="689" spans="2:39" x14ac:dyDescent="0.25">
      <c r="B689" s="48"/>
      <c r="C689" s="47"/>
      <c r="D689" s="47"/>
      <c r="E689" s="47"/>
      <c r="F689" s="44"/>
      <c r="G689" s="44"/>
      <c r="H689" s="46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5"/>
      <c r="T689" s="44"/>
      <c r="U689" s="44"/>
      <c r="V689" s="44"/>
      <c r="W689" s="44"/>
      <c r="X689" s="44"/>
      <c r="Y689" s="44"/>
      <c r="Z689" s="44"/>
      <c r="AA689" s="44"/>
      <c r="AB689" s="44"/>
      <c r="AC689" s="45"/>
      <c r="AD689" s="44"/>
      <c r="AE689" s="44"/>
      <c r="AF689" s="44"/>
      <c r="AG689" s="45"/>
      <c r="AH689" s="44"/>
      <c r="AI689" s="81"/>
      <c r="AJ689" s="43"/>
      <c r="AK689" s="43"/>
      <c r="AL689" s="43"/>
      <c r="AM689" s="43"/>
    </row>
    <row r="690" spans="2:39" x14ac:dyDescent="0.25">
      <c r="B690" s="48"/>
      <c r="C690" s="47"/>
      <c r="D690" s="47"/>
      <c r="E690" s="47"/>
      <c r="F690" s="44"/>
      <c r="G690" s="44"/>
      <c r="H690" s="46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5"/>
      <c r="T690" s="44"/>
      <c r="U690" s="44"/>
      <c r="V690" s="44"/>
      <c r="W690" s="44"/>
      <c r="X690" s="44"/>
      <c r="Y690" s="44"/>
      <c r="Z690" s="44"/>
      <c r="AA690" s="44"/>
      <c r="AB690" s="44"/>
      <c r="AC690" s="45"/>
      <c r="AD690" s="44"/>
      <c r="AE690" s="44"/>
      <c r="AF690" s="44"/>
      <c r="AG690" s="45"/>
      <c r="AH690" s="44"/>
      <c r="AI690" s="81"/>
      <c r="AJ690" s="43"/>
      <c r="AK690" s="43"/>
      <c r="AL690" s="43"/>
      <c r="AM690" s="43"/>
    </row>
    <row r="691" spans="2:39" x14ac:dyDescent="0.25">
      <c r="B691" s="48"/>
      <c r="C691" s="47"/>
      <c r="D691" s="47"/>
      <c r="E691" s="47"/>
      <c r="F691" s="44"/>
      <c r="G691" s="44"/>
      <c r="H691" s="46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5"/>
      <c r="T691" s="44"/>
      <c r="U691" s="44"/>
      <c r="V691" s="44"/>
      <c r="W691" s="44"/>
      <c r="X691" s="44"/>
      <c r="Y691" s="44"/>
      <c r="Z691" s="44"/>
      <c r="AA691" s="44"/>
      <c r="AB691" s="44"/>
      <c r="AC691" s="45"/>
      <c r="AD691" s="44"/>
      <c r="AE691" s="44"/>
      <c r="AF691" s="44"/>
      <c r="AG691" s="45"/>
      <c r="AH691" s="44"/>
      <c r="AI691" s="81"/>
      <c r="AJ691" s="43"/>
      <c r="AK691" s="43"/>
      <c r="AL691" s="43"/>
      <c r="AM691" s="43"/>
    </row>
    <row r="692" spans="2:39" x14ac:dyDescent="0.25">
      <c r="B692" s="48"/>
      <c r="C692" s="47"/>
      <c r="D692" s="47"/>
      <c r="E692" s="47"/>
      <c r="F692" s="44"/>
      <c r="G692" s="44"/>
      <c r="H692" s="46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5"/>
      <c r="T692" s="44"/>
      <c r="U692" s="44"/>
      <c r="V692" s="44"/>
      <c r="W692" s="44"/>
      <c r="X692" s="44"/>
      <c r="Y692" s="44"/>
      <c r="Z692" s="44"/>
      <c r="AA692" s="44"/>
      <c r="AB692" s="44"/>
      <c r="AC692" s="45"/>
      <c r="AD692" s="44"/>
      <c r="AE692" s="44"/>
      <c r="AF692" s="44"/>
      <c r="AG692" s="45"/>
      <c r="AH692" s="44"/>
      <c r="AI692" s="81"/>
      <c r="AJ692" s="43"/>
      <c r="AK692" s="43"/>
      <c r="AL692" s="43"/>
      <c r="AM692" s="43"/>
    </row>
    <row r="693" spans="2:39" x14ac:dyDescent="0.25">
      <c r="B693" s="48"/>
      <c r="C693" s="47"/>
      <c r="D693" s="47"/>
      <c r="E693" s="47"/>
      <c r="F693" s="44"/>
      <c r="G693" s="44"/>
      <c r="H693" s="46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5"/>
      <c r="T693" s="44"/>
      <c r="U693" s="44"/>
      <c r="V693" s="44"/>
      <c r="W693" s="44"/>
      <c r="X693" s="44"/>
      <c r="Y693" s="44"/>
      <c r="Z693" s="44"/>
      <c r="AA693" s="44"/>
      <c r="AB693" s="44"/>
      <c r="AC693" s="45"/>
      <c r="AD693" s="44"/>
      <c r="AE693" s="44"/>
      <c r="AF693" s="44"/>
      <c r="AG693" s="45"/>
      <c r="AH693" s="44"/>
      <c r="AI693" s="81"/>
      <c r="AJ693" s="43"/>
      <c r="AK693" s="43"/>
      <c r="AL693" s="43"/>
      <c r="AM693" s="43"/>
    </row>
    <row r="694" spans="2:39" x14ac:dyDescent="0.25">
      <c r="B694" s="48"/>
      <c r="C694" s="47"/>
      <c r="D694" s="47"/>
      <c r="E694" s="47"/>
      <c r="F694" s="44"/>
      <c r="G694" s="44"/>
      <c r="H694" s="46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5"/>
      <c r="T694" s="44"/>
      <c r="U694" s="44"/>
      <c r="V694" s="44"/>
      <c r="W694" s="44"/>
      <c r="X694" s="44"/>
      <c r="Y694" s="44"/>
      <c r="Z694" s="44"/>
      <c r="AA694" s="44"/>
      <c r="AB694" s="44"/>
      <c r="AC694" s="45"/>
      <c r="AD694" s="44"/>
      <c r="AE694" s="44"/>
      <c r="AF694" s="44"/>
      <c r="AG694" s="45"/>
      <c r="AH694" s="44"/>
      <c r="AI694" s="81"/>
      <c r="AJ694" s="43"/>
      <c r="AK694" s="43"/>
      <c r="AL694" s="43"/>
      <c r="AM694" s="43"/>
    </row>
    <row r="695" spans="2:39" x14ac:dyDescent="0.25">
      <c r="B695" s="48"/>
      <c r="C695" s="47"/>
      <c r="D695" s="47"/>
      <c r="E695" s="47"/>
      <c r="F695" s="44"/>
      <c r="G695" s="44"/>
      <c r="H695" s="46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5"/>
      <c r="T695" s="44"/>
      <c r="U695" s="44"/>
      <c r="V695" s="44"/>
      <c r="W695" s="44"/>
      <c r="X695" s="44"/>
      <c r="Y695" s="44"/>
      <c r="Z695" s="44"/>
      <c r="AA695" s="44"/>
      <c r="AB695" s="44"/>
      <c r="AC695" s="45"/>
      <c r="AD695" s="44"/>
      <c r="AE695" s="44"/>
      <c r="AF695" s="44"/>
      <c r="AG695" s="45"/>
      <c r="AH695" s="44"/>
      <c r="AI695" s="81"/>
      <c r="AJ695" s="43"/>
      <c r="AK695" s="43"/>
      <c r="AL695" s="43"/>
      <c r="AM695" s="43"/>
    </row>
    <row r="696" spans="2:39" x14ac:dyDescent="0.25">
      <c r="B696" s="48"/>
      <c r="C696" s="47"/>
      <c r="D696" s="47"/>
      <c r="E696" s="47"/>
      <c r="F696" s="44"/>
      <c r="G696" s="44"/>
      <c r="H696" s="46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5"/>
      <c r="T696" s="44"/>
      <c r="U696" s="44"/>
      <c r="V696" s="44"/>
      <c r="W696" s="44"/>
      <c r="X696" s="44"/>
      <c r="Y696" s="44"/>
      <c r="Z696" s="44"/>
      <c r="AA696" s="44"/>
      <c r="AB696" s="44"/>
      <c r="AC696" s="45"/>
      <c r="AD696" s="44"/>
      <c r="AE696" s="44"/>
      <c r="AF696" s="44"/>
      <c r="AG696" s="45"/>
      <c r="AH696" s="44"/>
      <c r="AI696" s="81"/>
      <c r="AJ696" s="43"/>
      <c r="AK696" s="43"/>
      <c r="AL696" s="43"/>
      <c r="AM696" s="43"/>
    </row>
    <row r="697" spans="2:39" x14ac:dyDescent="0.25">
      <c r="B697" s="48"/>
      <c r="C697" s="47"/>
      <c r="D697" s="47"/>
      <c r="E697" s="47"/>
      <c r="F697" s="44"/>
      <c r="G697" s="44"/>
      <c r="H697" s="46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5"/>
      <c r="T697" s="44"/>
      <c r="U697" s="44"/>
      <c r="V697" s="44"/>
      <c r="W697" s="44"/>
      <c r="X697" s="44"/>
      <c r="Y697" s="44"/>
      <c r="Z697" s="44"/>
      <c r="AA697" s="44"/>
      <c r="AB697" s="44"/>
      <c r="AC697" s="45"/>
      <c r="AD697" s="44"/>
      <c r="AE697" s="44"/>
      <c r="AF697" s="44"/>
      <c r="AG697" s="45"/>
      <c r="AH697" s="44"/>
      <c r="AI697" s="81"/>
      <c r="AJ697" s="43"/>
      <c r="AK697" s="43"/>
      <c r="AL697" s="43"/>
      <c r="AM697" s="43"/>
    </row>
    <row r="698" spans="2:39" x14ac:dyDescent="0.25">
      <c r="B698" s="48"/>
      <c r="C698" s="47"/>
      <c r="D698" s="47"/>
      <c r="E698" s="47"/>
      <c r="F698" s="44"/>
      <c r="G698" s="44"/>
      <c r="H698" s="46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5"/>
      <c r="T698" s="44"/>
      <c r="U698" s="44"/>
      <c r="V698" s="44"/>
      <c r="W698" s="44"/>
      <c r="X698" s="44"/>
      <c r="Y698" s="44"/>
      <c r="Z698" s="44"/>
      <c r="AA698" s="44"/>
      <c r="AB698" s="44"/>
      <c r="AC698" s="45"/>
      <c r="AD698" s="44"/>
      <c r="AE698" s="44"/>
      <c r="AF698" s="44"/>
      <c r="AG698" s="45"/>
      <c r="AH698" s="44"/>
      <c r="AI698" s="81"/>
      <c r="AJ698" s="43"/>
      <c r="AK698" s="43"/>
      <c r="AL698" s="43"/>
      <c r="AM698" s="43"/>
    </row>
    <row r="699" spans="2:39" x14ac:dyDescent="0.25">
      <c r="B699" s="48"/>
      <c r="C699" s="47"/>
      <c r="D699" s="47"/>
      <c r="E699" s="47"/>
      <c r="F699" s="44"/>
      <c r="G699" s="44"/>
      <c r="H699" s="46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5"/>
      <c r="T699" s="44"/>
      <c r="U699" s="44"/>
      <c r="V699" s="44"/>
      <c r="W699" s="44"/>
      <c r="X699" s="44"/>
      <c r="Y699" s="44"/>
      <c r="Z699" s="44"/>
      <c r="AA699" s="44"/>
      <c r="AB699" s="44"/>
      <c r="AC699" s="45"/>
      <c r="AD699" s="44"/>
      <c r="AE699" s="44"/>
      <c r="AF699" s="44"/>
      <c r="AG699" s="45"/>
      <c r="AH699" s="44"/>
      <c r="AI699" s="81"/>
      <c r="AJ699" s="43"/>
      <c r="AK699" s="43"/>
      <c r="AL699" s="43"/>
      <c r="AM699" s="43"/>
    </row>
    <row r="700" spans="2:39" x14ac:dyDescent="0.25">
      <c r="B700" s="48"/>
      <c r="C700" s="47"/>
      <c r="D700" s="47"/>
      <c r="E700" s="47"/>
      <c r="F700" s="44"/>
      <c r="G700" s="44"/>
      <c r="H700" s="46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5"/>
      <c r="T700" s="44"/>
      <c r="U700" s="44"/>
      <c r="V700" s="44"/>
      <c r="W700" s="44"/>
      <c r="X700" s="44"/>
      <c r="Y700" s="44"/>
      <c r="Z700" s="44"/>
      <c r="AA700" s="44"/>
      <c r="AB700" s="44"/>
      <c r="AC700" s="45"/>
      <c r="AD700" s="44"/>
      <c r="AE700" s="44"/>
      <c r="AF700" s="44"/>
      <c r="AG700" s="45"/>
      <c r="AH700" s="44"/>
      <c r="AI700" s="81"/>
      <c r="AJ700" s="43"/>
      <c r="AK700" s="43"/>
      <c r="AL700" s="43"/>
      <c r="AM700" s="43"/>
    </row>
    <row r="701" spans="2:39" x14ac:dyDescent="0.25">
      <c r="B701" s="48"/>
      <c r="C701" s="47"/>
      <c r="D701" s="47"/>
      <c r="E701" s="47"/>
      <c r="F701" s="44"/>
      <c r="G701" s="44"/>
      <c r="H701" s="46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5"/>
      <c r="T701" s="44"/>
      <c r="U701" s="44"/>
      <c r="V701" s="44"/>
      <c r="W701" s="44"/>
      <c r="X701" s="44"/>
      <c r="Y701" s="44"/>
      <c r="Z701" s="44"/>
      <c r="AA701" s="44"/>
      <c r="AB701" s="44"/>
      <c r="AC701" s="45"/>
      <c r="AD701" s="44"/>
      <c r="AE701" s="44"/>
      <c r="AF701" s="44"/>
      <c r="AG701" s="45"/>
      <c r="AH701" s="44"/>
      <c r="AI701" s="81"/>
      <c r="AJ701" s="43"/>
      <c r="AK701" s="43"/>
      <c r="AL701" s="43"/>
      <c r="AM701" s="43"/>
    </row>
    <row r="702" spans="2:39" x14ac:dyDescent="0.25">
      <c r="B702" s="48"/>
      <c r="C702" s="47"/>
      <c r="D702" s="47"/>
      <c r="E702" s="47"/>
      <c r="F702" s="44"/>
      <c r="G702" s="44"/>
      <c r="H702" s="46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5"/>
      <c r="T702" s="44"/>
      <c r="U702" s="44"/>
      <c r="V702" s="44"/>
      <c r="W702" s="44"/>
      <c r="X702" s="44"/>
      <c r="Y702" s="44"/>
      <c r="Z702" s="44"/>
      <c r="AA702" s="44"/>
      <c r="AB702" s="44"/>
      <c r="AC702" s="45"/>
      <c r="AD702" s="44"/>
      <c r="AE702" s="44"/>
      <c r="AF702" s="44"/>
      <c r="AG702" s="45"/>
      <c r="AH702" s="44"/>
      <c r="AI702" s="81"/>
      <c r="AJ702" s="43"/>
      <c r="AK702" s="43"/>
      <c r="AL702" s="43"/>
      <c r="AM702" s="43"/>
    </row>
    <row r="703" spans="2:39" x14ac:dyDescent="0.25">
      <c r="B703" s="48"/>
      <c r="C703" s="47"/>
      <c r="D703" s="47"/>
      <c r="E703" s="47"/>
      <c r="F703" s="44"/>
      <c r="G703" s="44"/>
      <c r="H703" s="46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5"/>
      <c r="T703" s="44"/>
      <c r="U703" s="44"/>
      <c r="V703" s="44"/>
      <c r="W703" s="44"/>
      <c r="X703" s="44"/>
      <c r="Y703" s="44"/>
      <c r="Z703" s="44"/>
      <c r="AA703" s="44"/>
      <c r="AB703" s="44"/>
      <c r="AC703" s="45"/>
      <c r="AD703" s="44"/>
      <c r="AE703" s="44"/>
      <c r="AF703" s="44"/>
      <c r="AG703" s="45"/>
      <c r="AH703" s="44"/>
      <c r="AI703" s="81"/>
      <c r="AJ703" s="43"/>
      <c r="AK703" s="43"/>
      <c r="AL703" s="43"/>
      <c r="AM703" s="43"/>
    </row>
    <row r="704" spans="2:39" x14ac:dyDescent="0.25">
      <c r="B704" s="48"/>
      <c r="C704" s="47"/>
      <c r="D704" s="47"/>
      <c r="E704" s="47"/>
      <c r="F704" s="44"/>
      <c r="G704" s="44"/>
      <c r="H704" s="46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5"/>
      <c r="T704" s="44"/>
      <c r="U704" s="44"/>
      <c r="V704" s="44"/>
      <c r="W704" s="44"/>
      <c r="X704" s="44"/>
      <c r="Y704" s="44"/>
      <c r="Z704" s="44"/>
      <c r="AA704" s="44"/>
      <c r="AB704" s="44"/>
      <c r="AC704" s="45"/>
      <c r="AD704" s="44"/>
      <c r="AE704" s="44"/>
      <c r="AF704" s="44"/>
      <c r="AG704" s="45"/>
      <c r="AH704" s="44"/>
      <c r="AI704" s="81"/>
      <c r="AJ704" s="43"/>
      <c r="AK704" s="43"/>
      <c r="AL704" s="43"/>
      <c r="AM704" s="43"/>
    </row>
    <row r="705" spans="2:39" x14ac:dyDescent="0.25">
      <c r="B705" s="48"/>
      <c r="C705" s="47"/>
      <c r="D705" s="47"/>
      <c r="E705" s="47"/>
      <c r="F705" s="44"/>
      <c r="G705" s="44"/>
      <c r="H705" s="46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5"/>
      <c r="T705" s="44"/>
      <c r="U705" s="44"/>
      <c r="V705" s="44"/>
      <c r="W705" s="44"/>
      <c r="X705" s="44"/>
      <c r="Y705" s="44"/>
      <c r="Z705" s="44"/>
      <c r="AA705" s="44"/>
      <c r="AB705" s="44"/>
      <c r="AC705" s="45"/>
      <c r="AD705" s="44"/>
      <c r="AE705" s="44"/>
      <c r="AF705" s="44"/>
      <c r="AG705" s="45"/>
      <c r="AH705" s="44"/>
      <c r="AI705" s="81"/>
      <c r="AJ705" s="43"/>
      <c r="AK705" s="43"/>
      <c r="AL705" s="43"/>
      <c r="AM705" s="43"/>
    </row>
    <row r="706" spans="2:39" x14ac:dyDescent="0.25">
      <c r="B706" s="48"/>
      <c r="C706" s="47"/>
      <c r="D706" s="47"/>
      <c r="E706" s="47"/>
      <c r="F706" s="44"/>
      <c r="G706" s="44"/>
      <c r="H706" s="46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5"/>
      <c r="T706" s="44"/>
      <c r="U706" s="44"/>
      <c r="V706" s="44"/>
      <c r="W706" s="44"/>
      <c r="X706" s="44"/>
      <c r="Y706" s="44"/>
      <c r="Z706" s="44"/>
      <c r="AA706" s="44"/>
      <c r="AB706" s="44"/>
      <c r="AC706" s="45"/>
      <c r="AD706" s="44"/>
      <c r="AE706" s="44"/>
      <c r="AF706" s="44"/>
      <c r="AG706" s="45"/>
      <c r="AH706" s="44"/>
      <c r="AI706" s="81"/>
      <c r="AJ706" s="43"/>
      <c r="AK706" s="43"/>
      <c r="AL706" s="43"/>
      <c r="AM706" s="43"/>
    </row>
    <row r="707" spans="2:39" x14ac:dyDescent="0.25">
      <c r="B707" s="48"/>
      <c r="C707" s="47"/>
      <c r="D707" s="47"/>
      <c r="E707" s="47"/>
      <c r="F707" s="44"/>
      <c r="G707" s="44"/>
      <c r="H707" s="46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5"/>
      <c r="T707" s="44"/>
      <c r="U707" s="44"/>
      <c r="V707" s="44"/>
      <c r="W707" s="44"/>
      <c r="X707" s="44"/>
      <c r="Y707" s="44"/>
      <c r="Z707" s="44"/>
      <c r="AA707" s="44"/>
      <c r="AB707" s="44"/>
      <c r="AC707" s="45"/>
      <c r="AD707" s="44"/>
      <c r="AE707" s="44"/>
      <c r="AF707" s="44"/>
      <c r="AG707" s="45"/>
      <c r="AH707" s="44"/>
      <c r="AI707" s="81"/>
      <c r="AJ707" s="43"/>
      <c r="AK707" s="43"/>
      <c r="AL707" s="43"/>
      <c r="AM707" s="43"/>
    </row>
    <row r="708" spans="2:39" x14ac:dyDescent="0.25">
      <c r="B708" s="48"/>
      <c r="C708" s="47"/>
      <c r="D708" s="47"/>
      <c r="E708" s="47"/>
      <c r="F708" s="44"/>
      <c r="G708" s="44"/>
      <c r="H708" s="46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5"/>
      <c r="T708" s="44"/>
      <c r="U708" s="44"/>
      <c r="V708" s="44"/>
      <c r="W708" s="44"/>
      <c r="X708" s="44"/>
      <c r="Y708" s="44"/>
      <c r="Z708" s="44"/>
      <c r="AA708" s="44"/>
      <c r="AB708" s="44"/>
      <c r="AC708" s="45"/>
      <c r="AD708" s="44"/>
      <c r="AE708" s="44"/>
      <c r="AF708" s="44"/>
      <c r="AG708" s="45"/>
      <c r="AH708" s="44"/>
      <c r="AI708" s="81"/>
      <c r="AJ708" s="43"/>
      <c r="AK708" s="43"/>
      <c r="AL708" s="43"/>
      <c r="AM708" s="43"/>
    </row>
    <row r="709" spans="2:39" x14ac:dyDescent="0.25">
      <c r="B709" s="48"/>
      <c r="C709" s="47"/>
      <c r="D709" s="47"/>
      <c r="E709" s="47"/>
      <c r="F709" s="44"/>
      <c r="G709" s="44"/>
      <c r="H709" s="46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5"/>
      <c r="T709" s="44"/>
      <c r="U709" s="44"/>
      <c r="V709" s="44"/>
      <c r="W709" s="44"/>
      <c r="X709" s="44"/>
      <c r="Y709" s="44"/>
      <c r="Z709" s="44"/>
      <c r="AA709" s="44"/>
      <c r="AB709" s="44"/>
      <c r="AC709" s="45"/>
      <c r="AD709" s="44"/>
      <c r="AE709" s="44"/>
      <c r="AF709" s="44"/>
      <c r="AG709" s="45"/>
      <c r="AH709" s="44"/>
      <c r="AI709" s="81"/>
      <c r="AJ709" s="43"/>
      <c r="AK709" s="43"/>
      <c r="AL709" s="43"/>
      <c r="AM709" s="43"/>
    </row>
    <row r="710" spans="2:39" x14ac:dyDescent="0.25">
      <c r="B710" s="48"/>
      <c r="C710" s="47"/>
      <c r="D710" s="47"/>
      <c r="E710" s="47"/>
      <c r="F710" s="44"/>
      <c r="G710" s="44"/>
      <c r="H710" s="46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5"/>
      <c r="T710" s="44"/>
      <c r="U710" s="44"/>
      <c r="V710" s="44"/>
      <c r="W710" s="44"/>
      <c r="X710" s="44"/>
      <c r="Y710" s="44"/>
      <c r="Z710" s="44"/>
      <c r="AA710" s="44"/>
      <c r="AB710" s="44"/>
      <c r="AC710" s="45"/>
      <c r="AD710" s="44"/>
      <c r="AE710" s="44"/>
      <c r="AF710" s="44"/>
      <c r="AG710" s="45"/>
      <c r="AH710" s="44"/>
      <c r="AI710" s="81"/>
      <c r="AJ710" s="43"/>
      <c r="AK710" s="43"/>
      <c r="AL710" s="43"/>
      <c r="AM710" s="43"/>
    </row>
    <row r="711" spans="2:39" x14ac:dyDescent="0.25">
      <c r="B711" s="48"/>
      <c r="C711" s="47"/>
      <c r="D711" s="47"/>
      <c r="E711" s="47"/>
      <c r="F711" s="44"/>
      <c r="G711" s="44"/>
      <c r="H711" s="46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5"/>
      <c r="T711" s="44"/>
      <c r="U711" s="44"/>
      <c r="V711" s="44"/>
      <c r="W711" s="44"/>
      <c r="X711" s="44"/>
      <c r="Y711" s="44"/>
      <c r="Z711" s="44"/>
      <c r="AA711" s="44"/>
      <c r="AB711" s="44"/>
      <c r="AC711" s="45"/>
      <c r="AD711" s="44"/>
      <c r="AE711" s="44"/>
      <c r="AF711" s="44"/>
      <c r="AG711" s="45"/>
      <c r="AH711" s="44"/>
      <c r="AI711" s="81"/>
      <c r="AJ711" s="43"/>
      <c r="AK711" s="43"/>
      <c r="AL711" s="43"/>
      <c r="AM711" s="43"/>
    </row>
    <row r="712" spans="2:39" x14ac:dyDescent="0.25">
      <c r="B712" s="48"/>
      <c r="C712" s="47"/>
      <c r="D712" s="47"/>
      <c r="E712" s="47"/>
      <c r="F712" s="44"/>
      <c r="G712" s="44"/>
      <c r="H712" s="46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5"/>
      <c r="T712" s="44"/>
      <c r="U712" s="44"/>
      <c r="V712" s="44"/>
      <c r="W712" s="44"/>
      <c r="X712" s="44"/>
      <c r="Y712" s="44"/>
      <c r="Z712" s="44"/>
      <c r="AA712" s="44"/>
      <c r="AB712" s="44"/>
      <c r="AC712" s="45"/>
      <c r="AD712" s="44"/>
      <c r="AE712" s="44"/>
      <c r="AF712" s="44"/>
      <c r="AG712" s="45"/>
      <c r="AH712" s="44"/>
      <c r="AI712" s="81"/>
      <c r="AJ712" s="43"/>
      <c r="AK712" s="43"/>
      <c r="AL712" s="43"/>
      <c r="AM712" s="43"/>
    </row>
    <row r="713" spans="2:39" x14ac:dyDescent="0.25">
      <c r="B713" s="48"/>
      <c r="C713" s="47"/>
      <c r="D713" s="47"/>
      <c r="E713" s="47"/>
      <c r="F713" s="44"/>
      <c r="G713" s="44"/>
      <c r="H713" s="46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5"/>
      <c r="T713" s="44"/>
      <c r="U713" s="44"/>
      <c r="V713" s="44"/>
      <c r="W713" s="44"/>
      <c r="X713" s="44"/>
      <c r="Y713" s="44"/>
      <c r="Z713" s="44"/>
      <c r="AA713" s="44"/>
      <c r="AB713" s="44"/>
      <c r="AC713" s="45"/>
      <c r="AD713" s="44"/>
      <c r="AE713" s="44"/>
      <c r="AF713" s="44"/>
      <c r="AG713" s="45"/>
      <c r="AH713" s="44"/>
      <c r="AI713" s="81"/>
      <c r="AJ713" s="43"/>
      <c r="AK713" s="43"/>
      <c r="AL713" s="43"/>
      <c r="AM713" s="43"/>
    </row>
    <row r="714" spans="2:39" x14ac:dyDescent="0.25">
      <c r="B714" s="48"/>
      <c r="C714" s="47"/>
      <c r="D714" s="47"/>
      <c r="E714" s="47"/>
      <c r="F714" s="44"/>
      <c r="G714" s="44"/>
      <c r="H714" s="46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5"/>
      <c r="T714" s="44"/>
      <c r="U714" s="44"/>
      <c r="V714" s="44"/>
      <c r="W714" s="44"/>
      <c r="X714" s="44"/>
      <c r="Y714" s="44"/>
      <c r="Z714" s="44"/>
      <c r="AA714" s="44"/>
      <c r="AB714" s="44"/>
      <c r="AC714" s="45"/>
      <c r="AD714" s="44"/>
      <c r="AE714" s="44"/>
      <c r="AF714" s="44"/>
      <c r="AG714" s="45"/>
      <c r="AH714" s="44"/>
      <c r="AI714" s="81"/>
      <c r="AJ714" s="43"/>
      <c r="AK714" s="43"/>
      <c r="AL714" s="43"/>
      <c r="AM714" s="43"/>
    </row>
    <row r="715" spans="2:39" x14ac:dyDescent="0.25">
      <c r="B715" s="48"/>
      <c r="C715" s="47"/>
      <c r="D715" s="47"/>
      <c r="E715" s="47"/>
      <c r="F715" s="44"/>
      <c r="G715" s="44"/>
      <c r="H715" s="46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5"/>
      <c r="T715" s="44"/>
      <c r="U715" s="44"/>
      <c r="V715" s="44"/>
      <c r="W715" s="44"/>
      <c r="X715" s="44"/>
      <c r="Y715" s="44"/>
      <c r="Z715" s="44"/>
      <c r="AA715" s="44"/>
      <c r="AB715" s="44"/>
      <c r="AC715" s="45"/>
      <c r="AD715" s="44"/>
      <c r="AE715" s="44"/>
      <c r="AF715" s="44"/>
      <c r="AG715" s="45"/>
      <c r="AH715" s="44"/>
      <c r="AI715" s="81"/>
      <c r="AJ715" s="43"/>
      <c r="AK715" s="43"/>
      <c r="AL715" s="43"/>
      <c r="AM715" s="43"/>
    </row>
    <row r="716" spans="2:39" x14ac:dyDescent="0.25">
      <c r="B716" s="48"/>
      <c r="C716" s="47"/>
      <c r="D716" s="47"/>
      <c r="E716" s="47"/>
      <c r="F716" s="44"/>
      <c r="G716" s="44"/>
      <c r="H716" s="46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5"/>
      <c r="T716" s="44"/>
      <c r="U716" s="44"/>
      <c r="V716" s="44"/>
      <c r="W716" s="44"/>
      <c r="X716" s="44"/>
      <c r="Y716" s="44"/>
      <c r="Z716" s="44"/>
      <c r="AA716" s="44"/>
      <c r="AB716" s="44"/>
      <c r="AC716" s="45"/>
      <c r="AD716" s="44"/>
      <c r="AE716" s="44"/>
      <c r="AF716" s="44"/>
      <c r="AG716" s="45"/>
      <c r="AH716" s="44"/>
      <c r="AI716" s="81"/>
      <c r="AJ716" s="43"/>
      <c r="AK716" s="43"/>
      <c r="AL716" s="43"/>
      <c r="AM716" s="43"/>
    </row>
    <row r="717" spans="2:39" x14ac:dyDescent="0.25">
      <c r="B717" s="48"/>
      <c r="C717" s="47"/>
      <c r="D717" s="47"/>
      <c r="E717" s="47"/>
      <c r="F717" s="44"/>
      <c r="G717" s="44"/>
      <c r="H717" s="46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5"/>
      <c r="T717" s="44"/>
      <c r="U717" s="44"/>
      <c r="V717" s="44"/>
      <c r="W717" s="44"/>
      <c r="X717" s="44"/>
      <c r="Y717" s="44"/>
      <c r="Z717" s="44"/>
      <c r="AA717" s="44"/>
      <c r="AB717" s="44"/>
      <c r="AC717" s="45"/>
      <c r="AD717" s="44"/>
      <c r="AE717" s="44"/>
      <c r="AF717" s="44"/>
      <c r="AG717" s="45"/>
      <c r="AH717" s="44"/>
      <c r="AI717" s="81"/>
      <c r="AJ717" s="43"/>
      <c r="AK717" s="43"/>
      <c r="AL717" s="43"/>
      <c r="AM717" s="43"/>
    </row>
    <row r="718" spans="2:39" x14ac:dyDescent="0.25">
      <c r="B718" s="48"/>
      <c r="C718" s="47"/>
      <c r="D718" s="47"/>
      <c r="E718" s="47"/>
      <c r="F718" s="44"/>
      <c r="G718" s="44"/>
      <c r="H718" s="46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5"/>
      <c r="T718" s="44"/>
      <c r="U718" s="44"/>
      <c r="V718" s="44"/>
      <c r="W718" s="44"/>
      <c r="X718" s="44"/>
      <c r="Y718" s="44"/>
      <c r="Z718" s="44"/>
      <c r="AA718" s="44"/>
      <c r="AB718" s="44"/>
      <c r="AC718" s="45"/>
      <c r="AD718" s="44"/>
      <c r="AE718" s="44"/>
      <c r="AF718" s="44"/>
      <c r="AG718" s="45"/>
      <c r="AH718" s="44"/>
      <c r="AI718" s="81"/>
      <c r="AJ718" s="43"/>
      <c r="AK718" s="43"/>
      <c r="AL718" s="43"/>
      <c r="AM718" s="43"/>
    </row>
    <row r="719" spans="2:39" x14ac:dyDescent="0.25">
      <c r="B719" s="48"/>
      <c r="C719" s="47"/>
      <c r="D719" s="47"/>
      <c r="E719" s="47"/>
      <c r="F719" s="44"/>
      <c r="G719" s="44"/>
      <c r="H719" s="46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5"/>
      <c r="T719" s="44"/>
      <c r="U719" s="44"/>
      <c r="V719" s="44"/>
      <c r="W719" s="44"/>
      <c r="X719" s="44"/>
      <c r="Y719" s="44"/>
      <c r="Z719" s="44"/>
      <c r="AA719" s="44"/>
      <c r="AB719" s="44"/>
      <c r="AC719" s="45"/>
      <c r="AD719" s="44"/>
      <c r="AE719" s="44"/>
      <c r="AF719" s="44"/>
      <c r="AG719" s="45"/>
      <c r="AH719" s="44"/>
      <c r="AI719" s="81"/>
      <c r="AJ719" s="43"/>
      <c r="AK719" s="43"/>
      <c r="AL719" s="43"/>
      <c r="AM719" s="43"/>
    </row>
    <row r="720" spans="2:39" x14ac:dyDescent="0.25">
      <c r="B720" s="48"/>
      <c r="C720" s="47"/>
      <c r="D720" s="47"/>
      <c r="E720" s="47"/>
      <c r="F720" s="44"/>
      <c r="G720" s="44"/>
      <c r="H720" s="46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5"/>
      <c r="T720" s="44"/>
      <c r="U720" s="44"/>
      <c r="V720" s="44"/>
      <c r="W720" s="44"/>
      <c r="X720" s="44"/>
      <c r="Y720" s="44"/>
      <c r="Z720" s="44"/>
      <c r="AA720" s="44"/>
      <c r="AB720" s="44"/>
      <c r="AC720" s="45"/>
      <c r="AD720" s="44"/>
      <c r="AE720" s="44"/>
      <c r="AF720" s="44"/>
      <c r="AG720" s="45"/>
      <c r="AH720" s="44"/>
      <c r="AI720" s="81"/>
      <c r="AJ720" s="43"/>
      <c r="AK720" s="43"/>
      <c r="AL720" s="43"/>
      <c r="AM720" s="43"/>
    </row>
    <row r="721" spans="2:39" x14ac:dyDescent="0.25">
      <c r="B721" s="48"/>
      <c r="C721" s="47"/>
      <c r="D721" s="47"/>
      <c r="E721" s="47"/>
      <c r="F721" s="44"/>
      <c r="G721" s="44"/>
      <c r="H721" s="46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5"/>
      <c r="T721" s="44"/>
      <c r="U721" s="44"/>
      <c r="V721" s="44"/>
      <c r="W721" s="44"/>
      <c r="X721" s="44"/>
      <c r="Y721" s="44"/>
      <c r="Z721" s="44"/>
      <c r="AA721" s="44"/>
      <c r="AB721" s="44"/>
      <c r="AC721" s="45"/>
      <c r="AD721" s="44"/>
      <c r="AE721" s="44"/>
      <c r="AF721" s="44"/>
      <c r="AG721" s="45"/>
      <c r="AH721" s="44"/>
      <c r="AI721" s="81"/>
      <c r="AJ721" s="43"/>
      <c r="AK721" s="43"/>
      <c r="AL721" s="43"/>
      <c r="AM721" s="43"/>
    </row>
    <row r="722" spans="2:39" x14ac:dyDescent="0.25">
      <c r="B722" s="48"/>
      <c r="C722" s="47"/>
      <c r="D722" s="47"/>
      <c r="E722" s="47"/>
      <c r="F722" s="44"/>
      <c r="G722" s="44"/>
      <c r="H722" s="46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5"/>
      <c r="T722" s="44"/>
      <c r="U722" s="44"/>
      <c r="V722" s="44"/>
      <c r="W722" s="44"/>
      <c r="X722" s="44"/>
      <c r="Y722" s="44"/>
      <c r="Z722" s="44"/>
      <c r="AA722" s="44"/>
      <c r="AB722" s="44"/>
      <c r="AC722" s="45"/>
      <c r="AD722" s="44"/>
      <c r="AE722" s="44"/>
      <c r="AF722" s="44"/>
      <c r="AG722" s="45"/>
      <c r="AH722" s="44"/>
      <c r="AI722" s="81"/>
      <c r="AJ722" s="43"/>
      <c r="AK722" s="43"/>
      <c r="AL722" s="43"/>
      <c r="AM722" s="43"/>
    </row>
    <row r="723" spans="2:39" x14ac:dyDescent="0.25">
      <c r="B723" s="48"/>
      <c r="C723" s="47"/>
      <c r="D723" s="47"/>
      <c r="E723" s="47"/>
      <c r="F723" s="44"/>
      <c r="G723" s="44"/>
      <c r="H723" s="46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5"/>
      <c r="T723" s="44"/>
      <c r="U723" s="44"/>
      <c r="V723" s="44"/>
      <c r="W723" s="44"/>
      <c r="X723" s="44"/>
      <c r="Y723" s="44"/>
      <c r="Z723" s="44"/>
      <c r="AA723" s="44"/>
      <c r="AB723" s="44"/>
      <c r="AC723" s="45"/>
      <c r="AD723" s="44"/>
      <c r="AE723" s="44"/>
      <c r="AF723" s="44"/>
      <c r="AG723" s="45"/>
      <c r="AH723" s="44"/>
      <c r="AI723" s="81"/>
      <c r="AJ723" s="43"/>
      <c r="AK723" s="43"/>
      <c r="AL723" s="43"/>
      <c r="AM723" s="43"/>
    </row>
    <row r="724" spans="2:39" x14ac:dyDescent="0.25">
      <c r="B724" s="48"/>
      <c r="C724" s="47"/>
      <c r="D724" s="47"/>
      <c r="E724" s="47"/>
      <c r="F724" s="44"/>
      <c r="G724" s="44"/>
      <c r="H724" s="46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5"/>
      <c r="T724" s="44"/>
      <c r="U724" s="44"/>
      <c r="V724" s="44"/>
      <c r="W724" s="44"/>
      <c r="X724" s="44"/>
      <c r="Y724" s="44"/>
      <c r="Z724" s="44"/>
      <c r="AA724" s="44"/>
      <c r="AB724" s="44"/>
      <c r="AC724" s="45"/>
      <c r="AD724" s="44"/>
      <c r="AE724" s="44"/>
      <c r="AF724" s="44"/>
      <c r="AG724" s="45"/>
      <c r="AH724" s="44"/>
      <c r="AI724" s="81"/>
      <c r="AJ724" s="43"/>
      <c r="AK724" s="43"/>
      <c r="AL724" s="43"/>
      <c r="AM724" s="43"/>
    </row>
    <row r="725" spans="2:39" x14ac:dyDescent="0.25">
      <c r="B725" s="48"/>
      <c r="C725" s="47"/>
      <c r="D725" s="47"/>
      <c r="E725" s="47"/>
      <c r="F725" s="44"/>
      <c r="G725" s="44"/>
      <c r="H725" s="46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5"/>
      <c r="T725" s="44"/>
      <c r="U725" s="44"/>
      <c r="V725" s="44"/>
      <c r="W725" s="44"/>
      <c r="X725" s="44"/>
      <c r="Y725" s="44"/>
      <c r="Z725" s="44"/>
      <c r="AA725" s="44"/>
      <c r="AB725" s="44"/>
      <c r="AC725" s="45"/>
      <c r="AD725" s="44"/>
      <c r="AE725" s="44"/>
      <c r="AF725" s="44"/>
      <c r="AG725" s="45"/>
      <c r="AH725" s="44"/>
      <c r="AI725" s="81"/>
      <c r="AJ725" s="43"/>
      <c r="AK725" s="43"/>
      <c r="AL725" s="43"/>
      <c r="AM725" s="43"/>
    </row>
    <row r="726" spans="2:39" x14ac:dyDescent="0.25">
      <c r="B726" s="48"/>
      <c r="C726" s="47"/>
      <c r="D726" s="47"/>
      <c r="E726" s="47"/>
      <c r="F726" s="44"/>
      <c r="G726" s="44"/>
      <c r="H726" s="46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5"/>
      <c r="T726" s="44"/>
      <c r="U726" s="44"/>
      <c r="V726" s="44"/>
      <c r="W726" s="44"/>
      <c r="X726" s="44"/>
      <c r="Y726" s="44"/>
      <c r="Z726" s="44"/>
      <c r="AA726" s="44"/>
      <c r="AB726" s="44"/>
      <c r="AC726" s="45"/>
      <c r="AD726" s="44"/>
      <c r="AE726" s="44"/>
      <c r="AF726" s="44"/>
      <c r="AG726" s="45"/>
      <c r="AH726" s="44"/>
      <c r="AI726" s="81"/>
      <c r="AJ726" s="43"/>
      <c r="AK726" s="43"/>
      <c r="AL726" s="43"/>
      <c r="AM726" s="43"/>
    </row>
    <row r="727" spans="2:39" x14ac:dyDescent="0.25">
      <c r="B727" s="48"/>
      <c r="C727" s="47"/>
      <c r="D727" s="47"/>
      <c r="E727" s="47"/>
      <c r="F727" s="44"/>
      <c r="G727" s="44"/>
      <c r="H727" s="46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5"/>
      <c r="T727" s="44"/>
      <c r="U727" s="44"/>
      <c r="V727" s="44"/>
      <c r="W727" s="44"/>
      <c r="X727" s="44"/>
      <c r="Y727" s="44"/>
      <c r="Z727" s="44"/>
      <c r="AA727" s="44"/>
      <c r="AB727" s="44"/>
      <c r="AC727" s="45"/>
      <c r="AD727" s="44"/>
      <c r="AE727" s="44"/>
      <c r="AF727" s="44"/>
      <c r="AG727" s="45"/>
      <c r="AH727" s="44"/>
      <c r="AI727" s="81"/>
      <c r="AJ727" s="43"/>
      <c r="AK727" s="43"/>
      <c r="AL727" s="43"/>
      <c r="AM727" s="43"/>
    </row>
    <row r="728" spans="2:39" x14ac:dyDescent="0.25">
      <c r="B728" s="48"/>
      <c r="C728" s="47"/>
      <c r="D728" s="47"/>
      <c r="E728" s="47"/>
      <c r="F728" s="44"/>
      <c r="G728" s="44"/>
      <c r="H728" s="46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5"/>
      <c r="T728" s="44"/>
      <c r="U728" s="44"/>
      <c r="V728" s="44"/>
      <c r="W728" s="44"/>
      <c r="X728" s="44"/>
      <c r="Y728" s="44"/>
      <c r="Z728" s="44"/>
      <c r="AA728" s="44"/>
      <c r="AB728" s="44"/>
      <c r="AC728" s="45"/>
      <c r="AD728" s="44"/>
      <c r="AE728" s="44"/>
      <c r="AF728" s="44"/>
      <c r="AG728" s="45"/>
      <c r="AH728" s="44"/>
      <c r="AI728" s="81"/>
      <c r="AJ728" s="43"/>
      <c r="AK728" s="43"/>
      <c r="AL728" s="43"/>
      <c r="AM728" s="43"/>
    </row>
    <row r="729" spans="2:39" x14ac:dyDescent="0.25">
      <c r="B729" s="48"/>
      <c r="C729" s="47"/>
      <c r="D729" s="47"/>
      <c r="E729" s="47"/>
      <c r="F729" s="44"/>
      <c r="G729" s="44"/>
      <c r="H729" s="46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5"/>
      <c r="T729" s="44"/>
      <c r="U729" s="44"/>
      <c r="V729" s="44"/>
      <c r="W729" s="44"/>
      <c r="X729" s="44"/>
      <c r="Y729" s="44"/>
      <c r="Z729" s="44"/>
      <c r="AA729" s="44"/>
      <c r="AB729" s="44"/>
      <c r="AC729" s="45"/>
      <c r="AD729" s="44"/>
      <c r="AE729" s="44"/>
      <c r="AF729" s="44"/>
      <c r="AG729" s="45"/>
      <c r="AH729" s="44"/>
      <c r="AI729" s="81"/>
      <c r="AJ729" s="43"/>
      <c r="AK729" s="43"/>
      <c r="AL729" s="43"/>
      <c r="AM729" s="43"/>
    </row>
    <row r="730" spans="2:39" x14ac:dyDescent="0.25">
      <c r="B730" s="48"/>
      <c r="C730" s="47"/>
      <c r="D730" s="47"/>
      <c r="E730" s="47"/>
      <c r="F730" s="44"/>
      <c r="G730" s="44"/>
      <c r="H730" s="46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5"/>
      <c r="T730" s="44"/>
      <c r="U730" s="44"/>
      <c r="V730" s="44"/>
      <c r="W730" s="44"/>
      <c r="X730" s="44"/>
      <c r="Y730" s="44"/>
      <c r="Z730" s="44"/>
      <c r="AA730" s="44"/>
      <c r="AB730" s="44"/>
      <c r="AC730" s="45"/>
      <c r="AD730" s="44"/>
      <c r="AE730" s="44"/>
      <c r="AF730" s="44"/>
      <c r="AG730" s="45"/>
      <c r="AH730" s="44"/>
      <c r="AI730" s="81"/>
      <c r="AJ730" s="43"/>
      <c r="AK730" s="43"/>
      <c r="AL730" s="43"/>
      <c r="AM730" s="43"/>
    </row>
    <row r="731" spans="2:39" x14ac:dyDescent="0.25">
      <c r="B731" s="48"/>
      <c r="C731" s="47"/>
      <c r="D731" s="47"/>
      <c r="E731" s="47"/>
      <c r="F731" s="44"/>
      <c r="G731" s="44"/>
      <c r="H731" s="46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5"/>
      <c r="T731" s="44"/>
      <c r="U731" s="44"/>
      <c r="V731" s="44"/>
      <c r="W731" s="44"/>
      <c r="X731" s="44"/>
      <c r="Y731" s="44"/>
      <c r="Z731" s="44"/>
      <c r="AA731" s="44"/>
      <c r="AB731" s="44"/>
      <c r="AC731" s="45"/>
      <c r="AD731" s="44"/>
      <c r="AE731" s="44"/>
      <c r="AF731" s="44"/>
      <c r="AG731" s="45"/>
      <c r="AH731" s="44"/>
      <c r="AI731" s="81"/>
      <c r="AJ731" s="43"/>
      <c r="AK731" s="43"/>
      <c r="AL731" s="43"/>
      <c r="AM731" s="43"/>
    </row>
    <row r="732" spans="2:39" x14ac:dyDescent="0.25">
      <c r="B732" s="48"/>
      <c r="C732" s="47"/>
      <c r="D732" s="47"/>
      <c r="E732" s="47"/>
      <c r="F732" s="44"/>
      <c r="G732" s="44"/>
      <c r="H732" s="46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5"/>
      <c r="T732" s="44"/>
      <c r="U732" s="44"/>
      <c r="V732" s="44"/>
      <c r="W732" s="44"/>
      <c r="X732" s="44"/>
      <c r="Y732" s="44"/>
      <c r="Z732" s="44"/>
      <c r="AA732" s="44"/>
      <c r="AB732" s="44"/>
      <c r="AC732" s="45"/>
      <c r="AD732" s="44"/>
      <c r="AE732" s="44"/>
      <c r="AF732" s="44"/>
      <c r="AG732" s="45"/>
      <c r="AH732" s="44"/>
      <c r="AI732" s="81"/>
      <c r="AJ732" s="43"/>
      <c r="AK732" s="43"/>
      <c r="AL732" s="43"/>
      <c r="AM732" s="43"/>
    </row>
    <row r="733" spans="2:39" x14ac:dyDescent="0.25">
      <c r="B733" s="48"/>
      <c r="C733" s="47"/>
      <c r="D733" s="47"/>
      <c r="E733" s="47"/>
      <c r="F733" s="44"/>
      <c r="G733" s="44"/>
      <c r="H733" s="46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5"/>
      <c r="T733" s="44"/>
      <c r="U733" s="44"/>
      <c r="V733" s="44"/>
      <c r="W733" s="44"/>
      <c r="X733" s="44"/>
      <c r="Y733" s="44"/>
      <c r="Z733" s="44"/>
      <c r="AA733" s="44"/>
      <c r="AB733" s="44"/>
      <c r="AC733" s="45"/>
      <c r="AD733" s="44"/>
      <c r="AE733" s="44"/>
      <c r="AF733" s="44"/>
      <c r="AG733" s="45"/>
      <c r="AH733" s="44"/>
      <c r="AI733" s="81"/>
      <c r="AJ733" s="43"/>
      <c r="AK733" s="43"/>
      <c r="AL733" s="43"/>
      <c r="AM733" s="43"/>
    </row>
    <row r="734" spans="2:39" x14ac:dyDescent="0.25">
      <c r="B734" s="48"/>
      <c r="C734" s="47"/>
      <c r="D734" s="47"/>
      <c r="E734" s="47"/>
      <c r="F734" s="44"/>
      <c r="G734" s="44"/>
      <c r="H734" s="46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5"/>
      <c r="T734" s="44"/>
      <c r="U734" s="44"/>
      <c r="V734" s="44"/>
      <c r="W734" s="44"/>
      <c r="X734" s="44"/>
      <c r="Y734" s="44"/>
      <c r="Z734" s="44"/>
      <c r="AA734" s="44"/>
      <c r="AB734" s="44"/>
      <c r="AC734" s="45"/>
      <c r="AD734" s="44"/>
      <c r="AE734" s="44"/>
      <c r="AF734" s="44"/>
      <c r="AG734" s="45"/>
      <c r="AH734" s="44"/>
      <c r="AI734" s="81"/>
      <c r="AJ734" s="43"/>
      <c r="AK734" s="43"/>
      <c r="AL734" s="43"/>
      <c r="AM734" s="43"/>
    </row>
    <row r="735" spans="2:39" x14ac:dyDescent="0.25">
      <c r="B735" s="48"/>
      <c r="C735" s="47"/>
      <c r="D735" s="47"/>
      <c r="E735" s="47"/>
      <c r="F735" s="44"/>
      <c r="G735" s="44"/>
      <c r="H735" s="46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5"/>
      <c r="T735" s="44"/>
      <c r="U735" s="44"/>
      <c r="V735" s="44"/>
      <c r="W735" s="44"/>
      <c r="X735" s="44"/>
      <c r="Y735" s="44"/>
      <c r="Z735" s="44"/>
      <c r="AA735" s="44"/>
      <c r="AB735" s="44"/>
      <c r="AC735" s="45"/>
      <c r="AD735" s="44"/>
      <c r="AE735" s="44"/>
      <c r="AF735" s="44"/>
      <c r="AG735" s="45"/>
      <c r="AH735" s="44"/>
      <c r="AI735" s="81"/>
      <c r="AJ735" s="43"/>
      <c r="AK735" s="43"/>
      <c r="AL735" s="43"/>
      <c r="AM735" s="43"/>
    </row>
    <row r="736" spans="2:39" x14ac:dyDescent="0.25">
      <c r="B736" s="48"/>
      <c r="C736" s="47"/>
      <c r="D736" s="47"/>
      <c r="E736" s="47"/>
      <c r="F736" s="44"/>
      <c r="G736" s="44"/>
      <c r="H736" s="46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5"/>
      <c r="T736" s="44"/>
      <c r="U736" s="44"/>
      <c r="V736" s="44"/>
      <c r="W736" s="44"/>
      <c r="X736" s="44"/>
      <c r="Y736" s="44"/>
      <c r="Z736" s="44"/>
      <c r="AA736" s="44"/>
      <c r="AB736" s="44"/>
      <c r="AC736" s="45"/>
      <c r="AD736" s="44"/>
      <c r="AE736" s="44"/>
      <c r="AF736" s="44"/>
      <c r="AG736" s="45"/>
      <c r="AH736" s="44"/>
      <c r="AI736" s="81"/>
      <c r="AJ736" s="43"/>
      <c r="AK736" s="43"/>
      <c r="AL736" s="43"/>
      <c r="AM736" s="43"/>
    </row>
    <row r="737" spans="2:39" x14ac:dyDescent="0.25">
      <c r="B737" s="48"/>
      <c r="C737" s="47"/>
      <c r="D737" s="47"/>
      <c r="E737" s="47"/>
      <c r="F737" s="44"/>
      <c r="G737" s="44"/>
      <c r="H737" s="46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5"/>
      <c r="T737" s="44"/>
      <c r="U737" s="44"/>
      <c r="V737" s="44"/>
      <c r="W737" s="44"/>
      <c r="X737" s="44"/>
      <c r="Y737" s="44"/>
      <c r="Z737" s="44"/>
      <c r="AA737" s="44"/>
      <c r="AB737" s="44"/>
      <c r="AC737" s="45"/>
      <c r="AD737" s="44"/>
      <c r="AE737" s="44"/>
      <c r="AF737" s="44"/>
      <c r="AG737" s="45"/>
      <c r="AH737" s="44"/>
      <c r="AI737" s="81"/>
      <c r="AJ737" s="43"/>
      <c r="AK737" s="43"/>
      <c r="AL737" s="43"/>
      <c r="AM737" s="43"/>
    </row>
    <row r="738" spans="2:39" x14ac:dyDescent="0.25">
      <c r="B738" s="48"/>
      <c r="C738" s="47"/>
      <c r="D738" s="47"/>
      <c r="E738" s="47"/>
      <c r="F738" s="44"/>
      <c r="G738" s="44"/>
      <c r="H738" s="46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5"/>
      <c r="T738" s="44"/>
      <c r="U738" s="44"/>
      <c r="V738" s="44"/>
      <c r="W738" s="44"/>
      <c r="X738" s="44"/>
      <c r="Y738" s="44"/>
      <c r="Z738" s="44"/>
      <c r="AA738" s="44"/>
      <c r="AB738" s="44"/>
      <c r="AC738" s="45"/>
      <c r="AD738" s="44"/>
      <c r="AE738" s="44"/>
      <c r="AF738" s="44"/>
      <c r="AG738" s="45"/>
      <c r="AH738" s="44"/>
      <c r="AI738" s="81"/>
      <c r="AJ738" s="43"/>
      <c r="AK738" s="43"/>
      <c r="AL738" s="43"/>
      <c r="AM738" s="43"/>
    </row>
    <row r="739" spans="2:39" x14ac:dyDescent="0.25">
      <c r="B739" s="48"/>
      <c r="C739" s="47"/>
      <c r="D739" s="47"/>
      <c r="E739" s="47"/>
      <c r="F739" s="44"/>
      <c r="G739" s="44"/>
      <c r="H739" s="46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5"/>
      <c r="T739" s="44"/>
      <c r="U739" s="44"/>
      <c r="V739" s="44"/>
      <c r="W739" s="44"/>
      <c r="X739" s="44"/>
      <c r="Y739" s="44"/>
      <c r="Z739" s="44"/>
      <c r="AA739" s="44"/>
      <c r="AB739" s="44"/>
      <c r="AC739" s="45"/>
      <c r="AD739" s="44"/>
      <c r="AE739" s="44"/>
      <c r="AF739" s="44"/>
      <c r="AG739" s="45"/>
      <c r="AH739" s="44"/>
      <c r="AI739" s="81"/>
      <c r="AJ739" s="43"/>
      <c r="AK739" s="43"/>
      <c r="AL739" s="43"/>
      <c r="AM739" s="43"/>
    </row>
    <row r="740" spans="2:39" x14ac:dyDescent="0.25">
      <c r="B740" s="48"/>
      <c r="C740" s="47"/>
      <c r="D740" s="47"/>
      <c r="E740" s="47"/>
      <c r="F740" s="44"/>
      <c r="G740" s="44"/>
      <c r="H740" s="46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5"/>
      <c r="T740" s="44"/>
      <c r="U740" s="44"/>
      <c r="V740" s="44"/>
      <c r="W740" s="44"/>
      <c r="X740" s="44"/>
      <c r="Y740" s="44"/>
      <c r="Z740" s="44"/>
      <c r="AA740" s="44"/>
      <c r="AB740" s="44"/>
      <c r="AC740" s="45"/>
      <c r="AD740" s="44"/>
      <c r="AE740" s="44"/>
      <c r="AF740" s="44"/>
      <c r="AG740" s="45"/>
      <c r="AH740" s="44"/>
      <c r="AI740" s="81"/>
      <c r="AJ740" s="43"/>
      <c r="AK740" s="43"/>
      <c r="AL740" s="43"/>
      <c r="AM740" s="43"/>
    </row>
    <row r="741" spans="2:39" x14ac:dyDescent="0.25">
      <c r="B741" s="48"/>
      <c r="C741" s="47"/>
      <c r="D741" s="47"/>
      <c r="E741" s="47"/>
      <c r="F741" s="44"/>
      <c r="G741" s="44"/>
      <c r="H741" s="46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5"/>
      <c r="T741" s="44"/>
      <c r="U741" s="44"/>
      <c r="V741" s="44"/>
      <c r="W741" s="44"/>
      <c r="X741" s="44"/>
      <c r="Y741" s="44"/>
      <c r="Z741" s="44"/>
      <c r="AA741" s="44"/>
      <c r="AB741" s="44"/>
      <c r="AC741" s="45"/>
      <c r="AD741" s="44"/>
      <c r="AE741" s="44"/>
      <c r="AF741" s="44"/>
      <c r="AG741" s="45"/>
      <c r="AH741" s="44"/>
      <c r="AI741" s="81"/>
      <c r="AJ741" s="43"/>
      <c r="AK741" s="43"/>
      <c r="AL741" s="43"/>
      <c r="AM741" s="43"/>
    </row>
    <row r="742" spans="2:39" x14ac:dyDescent="0.25">
      <c r="B742" s="48"/>
      <c r="C742" s="47"/>
      <c r="D742" s="47"/>
      <c r="E742" s="47"/>
      <c r="F742" s="44"/>
      <c r="G742" s="44"/>
      <c r="H742" s="46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5"/>
      <c r="T742" s="44"/>
      <c r="U742" s="44"/>
      <c r="V742" s="44"/>
      <c r="W742" s="44"/>
      <c r="X742" s="44"/>
      <c r="Y742" s="44"/>
      <c r="Z742" s="44"/>
      <c r="AA742" s="44"/>
      <c r="AB742" s="44"/>
      <c r="AC742" s="45"/>
      <c r="AD742" s="44"/>
      <c r="AE742" s="44"/>
      <c r="AF742" s="44"/>
      <c r="AG742" s="45"/>
      <c r="AH742" s="44"/>
      <c r="AI742" s="81"/>
      <c r="AJ742" s="43"/>
      <c r="AK742" s="43"/>
      <c r="AL742" s="43"/>
      <c r="AM742" s="43"/>
    </row>
    <row r="743" spans="2:39" x14ac:dyDescent="0.25">
      <c r="B743" s="48"/>
      <c r="C743" s="47"/>
      <c r="D743" s="47"/>
      <c r="E743" s="47"/>
      <c r="F743" s="44"/>
      <c r="G743" s="44"/>
      <c r="H743" s="46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5"/>
      <c r="T743" s="44"/>
      <c r="U743" s="44"/>
      <c r="V743" s="44"/>
      <c r="W743" s="44"/>
      <c r="X743" s="44"/>
      <c r="Y743" s="44"/>
      <c r="Z743" s="44"/>
      <c r="AA743" s="44"/>
      <c r="AB743" s="44"/>
      <c r="AC743" s="45"/>
      <c r="AD743" s="44"/>
      <c r="AE743" s="44"/>
      <c r="AF743" s="44"/>
      <c r="AG743" s="45"/>
      <c r="AH743" s="44"/>
      <c r="AI743" s="81"/>
      <c r="AJ743" s="43"/>
      <c r="AK743" s="43"/>
      <c r="AL743" s="43"/>
      <c r="AM743" s="43"/>
    </row>
    <row r="744" spans="2:39" x14ac:dyDescent="0.25">
      <c r="B744" s="48"/>
      <c r="C744" s="47"/>
      <c r="D744" s="47"/>
      <c r="E744" s="47"/>
      <c r="F744" s="44"/>
      <c r="G744" s="44"/>
      <c r="H744" s="46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5"/>
      <c r="T744" s="44"/>
      <c r="U744" s="44"/>
      <c r="V744" s="44"/>
      <c r="W744" s="44"/>
      <c r="X744" s="44"/>
      <c r="Y744" s="44"/>
      <c r="Z744" s="44"/>
      <c r="AA744" s="44"/>
      <c r="AB744" s="44"/>
      <c r="AC744" s="45"/>
      <c r="AD744" s="44"/>
      <c r="AE744" s="44"/>
      <c r="AF744" s="44"/>
      <c r="AG744" s="45"/>
      <c r="AH744" s="44"/>
      <c r="AI744" s="81"/>
      <c r="AJ744" s="43"/>
      <c r="AK744" s="43"/>
      <c r="AL744" s="43"/>
      <c r="AM744" s="43"/>
    </row>
    <row r="745" spans="2:39" x14ac:dyDescent="0.25">
      <c r="B745" s="48"/>
      <c r="C745" s="47"/>
      <c r="D745" s="47"/>
      <c r="E745" s="47"/>
      <c r="F745" s="44"/>
      <c r="G745" s="44"/>
      <c r="H745" s="46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5"/>
      <c r="T745" s="44"/>
      <c r="U745" s="44"/>
      <c r="V745" s="44"/>
      <c r="W745" s="44"/>
      <c r="X745" s="44"/>
      <c r="Y745" s="44"/>
      <c r="Z745" s="44"/>
      <c r="AA745" s="44"/>
      <c r="AB745" s="44"/>
      <c r="AC745" s="45"/>
      <c r="AD745" s="44"/>
      <c r="AE745" s="44"/>
      <c r="AF745" s="44"/>
      <c r="AG745" s="45"/>
      <c r="AH745" s="44"/>
      <c r="AI745" s="81"/>
      <c r="AJ745" s="43"/>
      <c r="AK745" s="43"/>
      <c r="AL745" s="43"/>
      <c r="AM745" s="43"/>
    </row>
    <row r="746" spans="2:39" x14ac:dyDescent="0.25">
      <c r="B746" s="48"/>
      <c r="C746" s="47"/>
      <c r="D746" s="47"/>
      <c r="E746" s="47"/>
      <c r="F746" s="44"/>
      <c r="G746" s="44"/>
      <c r="H746" s="46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5"/>
      <c r="T746" s="44"/>
      <c r="U746" s="44"/>
      <c r="V746" s="44"/>
      <c r="W746" s="44"/>
      <c r="X746" s="44"/>
      <c r="Y746" s="44"/>
      <c r="Z746" s="44"/>
      <c r="AA746" s="44"/>
      <c r="AB746" s="44"/>
      <c r="AC746" s="45"/>
      <c r="AD746" s="44"/>
      <c r="AE746" s="44"/>
      <c r="AF746" s="44"/>
      <c r="AG746" s="45"/>
      <c r="AH746" s="44"/>
      <c r="AI746" s="81"/>
      <c r="AJ746" s="43"/>
      <c r="AK746" s="43"/>
      <c r="AL746" s="43"/>
      <c r="AM746" s="43"/>
    </row>
    <row r="747" spans="2:39" x14ac:dyDescent="0.25">
      <c r="B747" s="48"/>
      <c r="C747" s="47"/>
      <c r="D747" s="47"/>
      <c r="E747" s="47"/>
      <c r="F747" s="44"/>
      <c r="G747" s="44"/>
      <c r="H747" s="46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5"/>
      <c r="T747" s="44"/>
      <c r="U747" s="44"/>
      <c r="V747" s="44"/>
      <c r="W747" s="44"/>
      <c r="X747" s="44"/>
      <c r="Y747" s="44"/>
      <c r="Z747" s="44"/>
      <c r="AA747" s="44"/>
      <c r="AB747" s="44"/>
      <c r="AC747" s="45"/>
      <c r="AD747" s="44"/>
      <c r="AE747" s="44"/>
      <c r="AF747" s="44"/>
      <c r="AG747" s="45"/>
      <c r="AH747" s="44"/>
      <c r="AI747" s="81"/>
      <c r="AJ747" s="43"/>
      <c r="AK747" s="43"/>
      <c r="AL747" s="43"/>
      <c r="AM747" s="43"/>
    </row>
    <row r="748" spans="2:39" x14ac:dyDescent="0.25">
      <c r="B748" s="48"/>
      <c r="C748" s="47"/>
      <c r="D748" s="47"/>
      <c r="E748" s="47"/>
      <c r="F748" s="44"/>
      <c r="G748" s="44"/>
      <c r="H748" s="46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5"/>
      <c r="T748" s="44"/>
      <c r="U748" s="44"/>
      <c r="V748" s="44"/>
      <c r="W748" s="44"/>
      <c r="X748" s="44"/>
      <c r="Y748" s="44"/>
      <c r="Z748" s="44"/>
      <c r="AA748" s="44"/>
      <c r="AB748" s="44"/>
      <c r="AC748" s="45"/>
      <c r="AD748" s="44"/>
      <c r="AE748" s="44"/>
      <c r="AF748" s="44"/>
      <c r="AG748" s="45"/>
      <c r="AH748" s="44"/>
      <c r="AI748" s="81"/>
      <c r="AJ748" s="43"/>
      <c r="AK748" s="43"/>
      <c r="AL748" s="43"/>
      <c r="AM748" s="43"/>
    </row>
    <row r="749" spans="2:39" x14ac:dyDescent="0.25">
      <c r="B749" s="48"/>
      <c r="C749" s="47"/>
      <c r="D749" s="47"/>
      <c r="E749" s="47"/>
      <c r="F749" s="44"/>
      <c r="G749" s="44"/>
      <c r="H749" s="46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5"/>
      <c r="T749" s="44"/>
      <c r="U749" s="44"/>
      <c r="V749" s="44"/>
      <c r="W749" s="44"/>
      <c r="X749" s="44"/>
      <c r="Y749" s="44"/>
      <c r="Z749" s="44"/>
      <c r="AA749" s="44"/>
      <c r="AB749" s="44"/>
      <c r="AC749" s="45"/>
      <c r="AD749" s="44"/>
      <c r="AE749" s="44"/>
      <c r="AF749" s="44"/>
      <c r="AG749" s="45"/>
      <c r="AH749" s="44"/>
      <c r="AI749" s="81"/>
      <c r="AJ749" s="43"/>
      <c r="AK749" s="43"/>
      <c r="AL749" s="43"/>
      <c r="AM749" s="43"/>
    </row>
    <row r="750" spans="2:39" x14ac:dyDescent="0.25">
      <c r="B750" s="48"/>
      <c r="C750" s="47"/>
      <c r="D750" s="47"/>
      <c r="E750" s="47"/>
      <c r="F750" s="44"/>
      <c r="G750" s="44"/>
      <c r="H750" s="46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5"/>
      <c r="T750" s="44"/>
      <c r="U750" s="44"/>
      <c r="V750" s="44"/>
      <c r="W750" s="44"/>
      <c r="X750" s="44"/>
      <c r="Y750" s="44"/>
      <c r="Z750" s="44"/>
      <c r="AA750" s="44"/>
      <c r="AB750" s="44"/>
      <c r="AC750" s="45"/>
      <c r="AD750" s="44"/>
      <c r="AE750" s="44"/>
      <c r="AF750" s="44"/>
      <c r="AG750" s="45"/>
      <c r="AH750" s="44"/>
      <c r="AI750" s="81"/>
      <c r="AJ750" s="43"/>
      <c r="AK750" s="43"/>
      <c r="AL750" s="43"/>
      <c r="AM750" s="43"/>
    </row>
    <row r="751" spans="2:39" x14ac:dyDescent="0.25">
      <c r="B751" s="48"/>
      <c r="C751" s="47"/>
      <c r="D751" s="47"/>
      <c r="E751" s="47"/>
      <c r="F751" s="44"/>
      <c r="G751" s="44"/>
      <c r="H751" s="46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5"/>
      <c r="T751" s="44"/>
      <c r="U751" s="44"/>
      <c r="V751" s="44"/>
      <c r="W751" s="44"/>
      <c r="X751" s="44"/>
      <c r="Y751" s="44"/>
      <c r="Z751" s="44"/>
      <c r="AA751" s="44"/>
      <c r="AB751" s="44"/>
      <c r="AC751" s="45"/>
      <c r="AD751" s="44"/>
      <c r="AE751" s="44"/>
      <c r="AF751" s="44"/>
      <c r="AG751" s="45"/>
      <c r="AH751" s="44"/>
      <c r="AI751" s="81"/>
      <c r="AJ751" s="43"/>
      <c r="AK751" s="43"/>
      <c r="AL751" s="43"/>
      <c r="AM751" s="43"/>
    </row>
    <row r="752" spans="2:39" x14ac:dyDescent="0.25">
      <c r="B752" s="48"/>
      <c r="C752" s="47"/>
      <c r="D752" s="47"/>
      <c r="E752" s="47"/>
      <c r="F752" s="44"/>
      <c r="G752" s="44"/>
      <c r="H752" s="46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5"/>
      <c r="T752" s="44"/>
      <c r="U752" s="44"/>
      <c r="V752" s="44"/>
      <c r="W752" s="44"/>
      <c r="X752" s="44"/>
      <c r="Y752" s="44"/>
      <c r="Z752" s="44"/>
      <c r="AA752" s="44"/>
      <c r="AB752" s="44"/>
      <c r="AC752" s="45"/>
      <c r="AD752" s="44"/>
      <c r="AE752" s="44"/>
      <c r="AF752" s="44"/>
      <c r="AG752" s="45"/>
      <c r="AH752" s="44"/>
      <c r="AI752" s="81"/>
      <c r="AJ752" s="43"/>
      <c r="AK752" s="43"/>
      <c r="AL752" s="43"/>
      <c r="AM752" s="43"/>
    </row>
    <row r="753" spans="2:39" x14ac:dyDescent="0.25">
      <c r="B753" s="48"/>
      <c r="C753" s="47"/>
      <c r="D753" s="47"/>
      <c r="E753" s="47"/>
      <c r="F753" s="44"/>
      <c r="G753" s="44"/>
      <c r="H753" s="46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5"/>
      <c r="T753" s="44"/>
      <c r="U753" s="44"/>
      <c r="V753" s="44"/>
      <c r="W753" s="44"/>
      <c r="X753" s="44"/>
      <c r="Y753" s="44"/>
      <c r="Z753" s="44"/>
      <c r="AA753" s="44"/>
      <c r="AB753" s="44"/>
      <c r="AC753" s="45"/>
      <c r="AD753" s="44"/>
      <c r="AE753" s="44"/>
      <c r="AF753" s="44"/>
      <c r="AG753" s="45"/>
      <c r="AH753" s="44"/>
      <c r="AI753" s="81"/>
      <c r="AJ753" s="43"/>
      <c r="AK753" s="43"/>
      <c r="AL753" s="43"/>
      <c r="AM753" s="43"/>
    </row>
    <row r="754" spans="2:39" x14ac:dyDescent="0.25">
      <c r="B754" s="48"/>
      <c r="C754" s="47"/>
      <c r="D754" s="47"/>
      <c r="E754" s="47"/>
      <c r="F754" s="44"/>
      <c r="G754" s="44"/>
      <c r="H754" s="46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5"/>
      <c r="T754" s="44"/>
      <c r="U754" s="44"/>
      <c r="V754" s="44"/>
      <c r="W754" s="44"/>
      <c r="X754" s="44"/>
      <c r="Y754" s="44"/>
      <c r="Z754" s="44"/>
      <c r="AA754" s="44"/>
      <c r="AB754" s="44"/>
      <c r="AC754" s="45"/>
      <c r="AD754" s="44"/>
      <c r="AE754" s="44"/>
      <c r="AF754" s="44"/>
      <c r="AG754" s="45"/>
      <c r="AH754" s="44"/>
      <c r="AI754" s="81"/>
      <c r="AJ754" s="43"/>
      <c r="AK754" s="43"/>
      <c r="AL754" s="43"/>
      <c r="AM754" s="43"/>
    </row>
    <row r="755" spans="2:39" x14ac:dyDescent="0.25">
      <c r="B755" s="48"/>
      <c r="C755" s="47"/>
      <c r="D755" s="47"/>
      <c r="E755" s="47"/>
      <c r="F755" s="44"/>
      <c r="G755" s="44"/>
      <c r="H755" s="46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5"/>
      <c r="T755" s="44"/>
      <c r="U755" s="44"/>
      <c r="V755" s="44"/>
      <c r="W755" s="44"/>
      <c r="X755" s="44"/>
      <c r="Y755" s="44"/>
      <c r="Z755" s="44"/>
      <c r="AA755" s="44"/>
      <c r="AB755" s="44"/>
      <c r="AC755" s="45"/>
      <c r="AD755" s="44"/>
      <c r="AE755" s="44"/>
      <c r="AF755" s="44"/>
      <c r="AG755" s="45"/>
      <c r="AH755" s="44"/>
      <c r="AI755" s="81"/>
      <c r="AJ755" s="43"/>
      <c r="AK755" s="43"/>
      <c r="AL755" s="43"/>
      <c r="AM755" s="43"/>
    </row>
    <row r="756" spans="2:39" x14ac:dyDescent="0.25">
      <c r="B756" s="48"/>
      <c r="C756" s="47"/>
      <c r="D756" s="47"/>
      <c r="E756" s="47"/>
      <c r="F756" s="44"/>
      <c r="G756" s="44"/>
      <c r="H756" s="46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5"/>
      <c r="T756" s="44"/>
      <c r="U756" s="44"/>
      <c r="V756" s="44"/>
      <c r="W756" s="44"/>
      <c r="X756" s="44"/>
      <c r="Y756" s="44"/>
      <c r="Z756" s="44"/>
      <c r="AA756" s="44"/>
      <c r="AB756" s="44"/>
      <c r="AC756" s="45"/>
      <c r="AD756" s="44"/>
      <c r="AE756" s="44"/>
      <c r="AF756" s="44"/>
      <c r="AG756" s="45"/>
      <c r="AH756" s="44"/>
      <c r="AI756" s="81"/>
      <c r="AJ756" s="43"/>
      <c r="AK756" s="43"/>
      <c r="AL756" s="43"/>
      <c r="AM756" s="43"/>
    </row>
    <row r="757" spans="2:39" x14ac:dyDescent="0.25">
      <c r="B757" s="48"/>
      <c r="C757" s="47"/>
      <c r="D757" s="47"/>
      <c r="E757" s="47"/>
      <c r="F757" s="44"/>
      <c r="G757" s="44"/>
      <c r="H757" s="46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5"/>
      <c r="T757" s="44"/>
      <c r="U757" s="44"/>
      <c r="V757" s="44"/>
      <c r="W757" s="44"/>
      <c r="X757" s="44"/>
      <c r="Y757" s="44"/>
      <c r="Z757" s="44"/>
      <c r="AA757" s="44"/>
      <c r="AB757" s="44"/>
      <c r="AC757" s="45"/>
      <c r="AD757" s="44"/>
      <c r="AE757" s="44"/>
      <c r="AF757" s="44"/>
      <c r="AG757" s="45"/>
      <c r="AH757" s="44"/>
      <c r="AI757" s="81"/>
      <c r="AJ757" s="43"/>
      <c r="AK757" s="43"/>
      <c r="AL757" s="43"/>
      <c r="AM757" s="43"/>
    </row>
    <row r="758" spans="2:39" x14ac:dyDescent="0.25">
      <c r="B758" s="48"/>
      <c r="C758" s="47"/>
      <c r="D758" s="47"/>
      <c r="E758" s="47"/>
      <c r="F758" s="44"/>
      <c r="G758" s="44"/>
      <c r="H758" s="46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5"/>
      <c r="T758" s="44"/>
      <c r="U758" s="44"/>
      <c r="V758" s="44"/>
      <c r="W758" s="44"/>
      <c r="X758" s="44"/>
      <c r="Y758" s="44"/>
      <c r="Z758" s="44"/>
      <c r="AA758" s="44"/>
      <c r="AB758" s="44"/>
      <c r="AC758" s="45"/>
      <c r="AD758" s="44"/>
      <c r="AE758" s="44"/>
      <c r="AF758" s="44"/>
      <c r="AG758" s="45"/>
      <c r="AH758" s="44"/>
      <c r="AI758" s="81"/>
      <c r="AJ758" s="43"/>
      <c r="AK758" s="43"/>
      <c r="AL758" s="43"/>
      <c r="AM758" s="43"/>
    </row>
    <row r="759" spans="2:39" x14ac:dyDescent="0.25">
      <c r="B759" s="48"/>
      <c r="C759" s="47"/>
      <c r="D759" s="47"/>
      <c r="E759" s="47"/>
      <c r="F759" s="44"/>
      <c r="G759" s="44"/>
      <c r="H759" s="46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5"/>
      <c r="T759" s="44"/>
      <c r="U759" s="44"/>
      <c r="V759" s="44"/>
      <c r="W759" s="44"/>
      <c r="X759" s="44"/>
      <c r="Y759" s="44"/>
      <c r="Z759" s="44"/>
      <c r="AA759" s="44"/>
      <c r="AB759" s="44"/>
      <c r="AC759" s="45"/>
      <c r="AD759" s="44"/>
      <c r="AE759" s="44"/>
      <c r="AF759" s="44"/>
      <c r="AG759" s="45"/>
      <c r="AH759" s="44"/>
      <c r="AI759" s="81"/>
      <c r="AJ759" s="43"/>
      <c r="AK759" s="43"/>
      <c r="AL759" s="43"/>
      <c r="AM759" s="43"/>
    </row>
    <row r="760" spans="2:39" x14ac:dyDescent="0.25">
      <c r="B760" s="48"/>
      <c r="C760" s="47"/>
      <c r="D760" s="47"/>
      <c r="E760" s="47"/>
      <c r="F760" s="44"/>
      <c r="G760" s="44"/>
      <c r="H760" s="46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5"/>
      <c r="T760" s="44"/>
      <c r="U760" s="44"/>
      <c r="V760" s="44"/>
      <c r="W760" s="44"/>
      <c r="X760" s="44"/>
      <c r="Y760" s="44"/>
      <c r="Z760" s="44"/>
      <c r="AA760" s="44"/>
      <c r="AB760" s="44"/>
      <c r="AC760" s="45"/>
      <c r="AD760" s="44"/>
      <c r="AE760" s="44"/>
      <c r="AF760" s="44"/>
      <c r="AG760" s="45"/>
      <c r="AH760" s="44"/>
      <c r="AI760" s="81"/>
      <c r="AJ760" s="43"/>
      <c r="AK760" s="43"/>
      <c r="AL760" s="43"/>
      <c r="AM760" s="43"/>
    </row>
    <row r="761" spans="2:39" x14ac:dyDescent="0.25">
      <c r="B761" s="48"/>
      <c r="C761" s="47"/>
      <c r="D761" s="47"/>
      <c r="E761" s="47"/>
      <c r="F761" s="44"/>
      <c r="G761" s="44"/>
      <c r="H761" s="46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5"/>
      <c r="T761" s="44"/>
      <c r="U761" s="44"/>
      <c r="V761" s="44"/>
      <c r="W761" s="44"/>
      <c r="X761" s="44"/>
      <c r="Y761" s="44"/>
      <c r="Z761" s="44"/>
      <c r="AA761" s="44"/>
      <c r="AB761" s="44"/>
      <c r="AC761" s="45"/>
      <c r="AD761" s="44"/>
      <c r="AE761" s="44"/>
      <c r="AF761" s="44"/>
      <c r="AG761" s="45"/>
      <c r="AH761" s="44"/>
      <c r="AI761" s="81"/>
      <c r="AJ761" s="43"/>
      <c r="AK761" s="43"/>
      <c r="AL761" s="43"/>
      <c r="AM761" s="43"/>
    </row>
    <row r="762" spans="2:39" x14ac:dyDescent="0.25">
      <c r="B762" s="48"/>
      <c r="C762" s="47"/>
      <c r="D762" s="47"/>
      <c r="E762" s="47"/>
      <c r="F762" s="44"/>
      <c r="G762" s="44"/>
      <c r="H762" s="46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5"/>
      <c r="T762" s="44"/>
      <c r="U762" s="44"/>
      <c r="V762" s="44"/>
      <c r="W762" s="44"/>
      <c r="X762" s="44"/>
      <c r="Y762" s="44"/>
      <c r="Z762" s="44"/>
      <c r="AA762" s="44"/>
      <c r="AB762" s="44"/>
      <c r="AC762" s="45"/>
      <c r="AD762" s="44"/>
      <c r="AE762" s="44"/>
      <c r="AF762" s="44"/>
      <c r="AG762" s="45"/>
      <c r="AH762" s="44"/>
      <c r="AI762" s="81"/>
      <c r="AJ762" s="43"/>
      <c r="AK762" s="43"/>
      <c r="AL762" s="43"/>
      <c r="AM762" s="43"/>
    </row>
    <row r="763" spans="2:39" x14ac:dyDescent="0.25">
      <c r="B763" s="48"/>
      <c r="C763" s="47"/>
      <c r="D763" s="47"/>
      <c r="E763" s="47"/>
      <c r="F763" s="44"/>
      <c r="G763" s="44"/>
      <c r="H763" s="46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5"/>
      <c r="T763" s="44"/>
      <c r="U763" s="44"/>
      <c r="V763" s="44"/>
      <c r="W763" s="44"/>
      <c r="X763" s="44"/>
      <c r="Y763" s="44"/>
      <c r="Z763" s="44"/>
      <c r="AA763" s="44"/>
      <c r="AB763" s="44"/>
      <c r="AC763" s="45"/>
      <c r="AD763" s="44"/>
      <c r="AE763" s="44"/>
      <c r="AF763" s="44"/>
      <c r="AG763" s="45"/>
      <c r="AH763" s="44"/>
      <c r="AI763" s="81"/>
      <c r="AJ763" s="43"/>
      <c r="AK763" s="43"/>
      <c r="AL763" s="43"/>
      <c r="AM763" s="43"/>
    </row>
    <row r="764" spans="2:39" x14ac:dyDescent="0.25">
      <c r="B764" s="48"/>
      <c r="C764" s="47"/>
      <c r="D764" s="47"/>
      <c r="E764" s="47"/>
      <c r="F764" s="44"/>
      <c r="G764" s="44"/>
      <c r="H764" s="46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5"/>
      <c r="T764" s="44"/>
      <c r="U764" s="44"/>
      <c r="V764" s="44"/>
      <c r="W764" s="44"/>
      <c r="X764" s="44"/>
      <c r="Y764" s="44"/>
      <c r="Z764" s="44"/>
      <c r="AA764" s="44"/>
      <c r="AB764" s="44"/>
      <c r="AC764" s="45"/>
      <c r="AD764" s="44"/>
      <c r="AE764" s="44"/>
      <c r="AF764" s="44"/>
      <c r="AG764" s="45"/>
      <c r="AH764" s="44"/>
      <c r="AI764" s="81"/>
      <c r="AJ764" s="43"/>
      <c r="AK764" s="43"/>
      <c r="AL764" s="43"/>
      <c r="AM764" s="43"/>
    </row>
    <row r="765" spans="2:39" x14ac:dyDescent="0.25">
      <c r="B765" s="48"/>
      <c r="C765" s="47"/>
      <c r="D765" s="47"/>
      <c r="E765" s="47"/>
      <c r="F765" s="44"/>
      <c r="G765" s="44"/>
      <c r="H765" s="46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5"/>
      <c r="T765" s="44"/>
      <c r="U765" s="44"/>
      <c r="V765" s="44"/>
      <c r="W765" s="44"/>
      <c r="X765" s="44"/>
      <c r="Y765" s="44"/>
      <c r="Z765" s="44"/>
      <c r="AA765" s="44"/>
      <c r="AB765" s="44"/>
      <c r="AC765" s="45"/>
      <c r="AD765" s="44"/>
      <c r="AE765" s="44"/>
      <c r="AF765" s="44"/>
      <c r="AG765" s="45"/>
      <c r="AH765" s="44"/>
      <c r="AI765" s="81"/>
      <c r="AJ765" s="43"/>
      <c r="AK765" s="43"/>
      <c r="AL765" s="43"/>
      <c r="AM765" s="43"/>
    </row>
    <row r="766" spans="2:39" x14ac:dyDescent="0.25">
      <c r="B766" s="48"/>
      <c r="C766" s="47"/>
      <c r="D766" s="47"/>
      <c r="E766" s="47"/>
      <c r="F766" s="44"/>
      <c r="G766" s="44"/>
      <c r="H766" s="46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5"/>
      <c r="T766" s="44"/>
      <c r="U766" s="44"/>
      <c r="V766" s="44"/>
      <c r="W766" s="44"/>
      <c r="X766" s="44"/>
      <c r="Y766" s="44"/>
      <c r="Z766" s="44"/>
      <c r="AA766" s="44"/>
      <c r="AB766" s="44"/>
      <c r="AC766" s="45"/>
      <c r="AD766" s="44"/>
      <c r="AE766" s="44"/>
      <c r="AF766" s="44"/>
      <c r="AG766" s="45"/>
      <c r="AH766" s="44"/>
      <c r="AI766" s="81"/>
      <c r="AJ766" s="43"/>
      <c r="AK766" s="43"/>
      <c r="AL766" s="43"/>
      <c r="AM766" s="43"/>
    </row>
    <row r="767" spans="2:39" x14ac:dyDescent="0.25">
      <c r="B767" s="48"/>
      <c r="C767" s="47"/>
      <c r="D767" s="47"/>
      <c r="E767" s="47"/>
      <c r="F767" s="44"/>
      <c r="G767" s="44"/>
      <c r="H767" s="46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5"/>
      <c r="T767" s="44"/>
      <c r="U767" s="44"/>
      <c r="V767" s="44"/>
      <c r="W767" s="44"/>
      <c r="X767" s="44"/>
      <c r="Y767" s="44"/>
      <c r="Z767" s="44"/>
      <c r="AA767" s="44"/>
      <c r="AB767" s="44"/>
      <c r="AC767" s="45"/>
      <c r="AD767" s="44"/>
      <c r="AE767" s="44"/>
      <c r="AF767" s="44"/>
      <c r="AG767" s="45"/>
      <c r="AH767" s="44"/>
      <c r="AI767" s="81"/>
      <c r="AJ767" s="43"/>
      <c r="AK767" s="43"/>
      <c r="AL767" s="43"/>
      <c r="AM767" s="43"/>
    </row>
    <row r="768" spans="2:39" x14ac:dyDescent="0.25">
      <c r="B768" s="48"/>
      <c r="C768" s="47"/>
      <c r="D768" s="47"/>
      <c r="E768" s="47"/>
      <c r="F768" s="44"/>
      <c r="G768" s="44"/>
      <c r="H768" s="46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5"/>
      <c r="T768" s="44"/>
      <c r="U768" s="44"/>
      <c r="V768" s="44"/>
      <c r="W768" s="44"/>
      <c r="X768" s="44"/>
      <c r="Y768" s="44"/>
      <c r="Z768" s="44"/>
      <c r="AA768" s="44"/>
      <c r="AB768" s="44"/>
      <c r="AC768" s="45"/>
      <c r="AD768" s="44"/>
      <c r="AE768" s="44"/>
      <c r="AF768" s="44"/>
      <c r="AG768" s="45"/>
      <c r="AH768" s="44"/>
      <c r="AI768" s="81"/>
      <c r="AJ768" s="43"/>
      <c r="AK768" s="43"/>
      <c r="AL768" s="43"/>
      <c r="AM768" s="43"/>
    </row>
    <row r="769" spans="2:39" x14ac:dyDescent="0.25">
      <c r="B769" s="48"/>
      <c r="C769" s="47"/>
      <c r="D769" s="47"/>
      <c r="E769" s="47"/>
      <c r="F769" s="44"/>
      <c r="G769" s="44"/>
      <c r="H769" s="46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5"/>
      <c r="T769" s="44"/>
      <c r="U769" s="44"/>
      <c r="V769" s="44"/>
      <c r="W769" s="44"/>
      <c r="X769" s="44"/>
      <c r="Y769" s="44"/>
      <c r="Z769" s="44"/>
      <c r="AA769" s="44"/>
      <c r="AB769" s="44"/>
      <c r="AC769" s="45"/>
      <c r="AD769" s="44"/>
      <c r="AE769" s="44"/>
      <c r="AF769" s="44"/>
      <c r="AG769" s="45"/>
      <c r="AH769" s="44"/>
      <c r="AI769" s="81"/>
      <c r="AJ769" s="43"/>
      <c r="AK769" s="43"/>
      <c r="AL769" s="43"/>
      <c r="AM769" s="43"/>
    </row>
    <row r="770" spans="2:39" x14ac:dyDescent="0.25">
      <c r="B770" s="48"/>
      <c r="C770" s="47"/>
      <c r="D770" s="47"/>
      <c r="E770" s="47"/>
      <c r="F770" s="44"/>
      <c r="G770" s="44"/>
      <c r="H770" s="46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5"/>
      <c r="T770" s="44"/>
      <c r="U770" s="44"/>
      <c r="V770" s="44"/>
      <c r="W770" s="44"/>
      <c r="X770" s="44"/>
      <c r="Y770" s="44"/>
      <c r="Z770" s="44"/>
      <c r="AA770" s="44"/>
      <c r="AB770" s="44"/>
      <c r="AC770" s="45"/>
      <c r="AD770" s="44"/>
      <c r="AE770" s="44"/>
      <c r="AF770" s="44"/>
      <c r="AG770" s="45"/>
      <c r="AH770" s="44"/>
      <c r="AI770" s="81"/>
      <c r="AJ770" s="43"/>
      <c r="AK770" s="43"/>
      <c r="AL770" s="43"/>
      <c r="AM770" s="43"/>
    </row>
    <row r="771" spans="2:39" x14ac:dyDescent="0.25">
      <c r="B771" s="48"/>
      <c r="C771" s="47"/>
      <c r="D771" s="47"/>
      <c r="E771" s="47"/>
      <c r="F771" s="44"/>
      <c r="G771" s="44"/>
      <c r="H771" s="46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5"/>
      <c r="T771" s="44"/>
      <c r="U771" s="44"/>
      <c r="V771" s="44"/>
      <c r="W771" s="44"/>
      <c r="X771" s="44"/>
      <c r="Y771" s="44"/>
      <c r="Z771" s="44"/>
      <c r="AA771" s="44"/>
      <c r="AB771" s="44"/>
      <c r="AC771" s="45"/>
      <c r="AD771" s="44"/>
      <c r="AE771" s="44"/>
      <c r="AF771" s="44"/>
      <c r="AG771" s="45"/>
      <c r="AH771" s="44"/>
      <c r="AI771" s="81"/>
      <c r="AJ771" s="43"/>
      <c r="AK771" s="43"/>
      <c r="AL771" s="43"/>
      <c r="AM771" s="43"/>
    </row>
    <row r="772" spans="2:39" x14ac:dyDescent="0.25">
      <c r="B772" s="48"/>
      <c r="C772" s="47"/>
      <c r="D772" s="47"/>
      <c r="E772" s="47"/>
      <c r="F772" s="44"/>
      <c r="G772" s="44"/>
      <c r="H772" s="46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5"/>
      <c r="T772" s="44"/>
      <c r="U772" s="44"/>
      <c r="V772" s="44"/>
      <c r="W772" s="44"/>
      <c r="X772" s="44"/>
      <c r="Y772" s="44"/>
      <c r="Z772" s="44"/>
      <c r="AA772" s="44"/>
      <c r="AB772" s="44"/>
      <c r="AC772" s="45"/>
      <c r="AD772" s="44"/>
      <c r="AE772" s="44"/>
      <c r="AF772" s="44"/>
      <c r="AG772" s="45"/>
      <c r="AH772" s="44"/>
      <c r="AI772" s="81"/>
      <c r="AJ772" s="43"/>
      <c r="AK772" s="43"/>
      <c r="AL772" s="43"/>
      <c r="AM772" s="43"/>
    </row>
    <row r="773" spans="2:39" x14ac:dyDescent="0.25">
      <c r="B773" s="48"/>
      <c r="C773" s="47"/>
      <c r="D773" s="47"/>
      <c r="E773" s="47"/>
      <c r="F773" s="44"/>
      <c r="G773" s="44"/>
      <c r="H773" s="46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5"/>
      <c r="T773" s="44"/>
      <c r="U773" s="44"/>
      <c r="V773" s="44"/>
      <c r="W773" s="44"/>
      <c r="X773" s="44"/>
      <c r="Y773" s="44"/>
      <c r="Z773" s="44"/>
      <c r="AA773" s="44"/>
      <c r="AB773" s="44"/>
      <c r="AC773" s="45"/>
      <c r="AD773" s="44"/>
      <c r="AE773" s="44"/>
      <c r="AF773" s="44"/>
      <c r="AG773" s="45"/>
      <c r="AH773" s="44"/>
      <c r="AI773" s="81"/>
      <c r="AJ773" s="43"/>
      <c r="AK773" s="43"/>
      <c r="AL773" s="43"/>
      <c r="AM773" s="43"/>
    </row>
    <row r="774" spans="2:39" x14ac:dyDescent="0.25">
      <c r="B774" s="48"/>
      <c r="C774" s="47"/>
      <c r="D774" s="47"/>
      <c r="E774" s="47"/>
      <c r="F774" s="44"/>
      <c r="G774" s="44"/>
      <c r="H774" s="46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5"/>
      <c r="T774" s="44"/>
      <c r="U774" s="44"/>
      <c r="V774" s="44"/>
      <c r="W774" s="44"/>
      <c r="X774" s="44"/>
      <c r="Y774" s="44"/>
      <c r="Z774" s="44"/>
      <c r="AA774" s="44"/>
      <c r="AB774" s="44"/>
      <c r="AC774" s="45"/>
      <c r="AD774" s="44"/>
      <c r="AE774" s="44"/>
      <c r="AF774" s="44"/>
      <c r="AG774" s="45"/>
      <c r="AH774" s="44"/>
      <c r="AI774" s="81"/>
      <c r="AJ774" s="43"/>
      <c r="AK774" s="43"/>
      <c r="AL774" s="43"/>
      <c r="AM774" s="43"/>
    </row>
    <row r="775" spans="2:39" x14ac:dyDescent="0.25">
      <c r="B775" s="48"/>
      <c r="C775" s="47"/>
      <c r="D775" s="47"/>
      <c r="E775" s="47"/>
      <c r="F775" s="44"/>
      <c r="G775" s="44"/>
      <c r="H775" s="46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5"/>
      <c r="T775" s="44"/>
      <c r="U775" s="44"/>
      <c r="V775" s="44"/>
      <c r="W775" s="44"/>
      <c r="X775" s="44"/>
      <c r="Y775" s="44"/>
      <c r="Z775" s="44"/>
      <c r="AA775" s="44"/>
      <c r="AB775" s="44"/>
      <c r="AC775" s="45"/>
      <c r="AD775" s="44"/>
      <c r="AE775" s="44"/>
      <c r="AF775" s="44"/>
      <c r="AG775" s="45"/>
      <c r="AH775" s="44"/>
      <c r="AI775" s="81"/>
      <c r="AJ775" s="43"/>
      <c r="AK775" s="43"/>
      <c r="AL775" s="43"/>
      <c r="AM775" s="43"/>
    </row>
    <row r="776" spans="2:39" x14ac:dyDescent="0.25">
      <c r="B776" s="48"/>
      <c r="C776" s="47"/>
      <c r="D776" s="47"/>
      <c r="E776" s="47"/>
      <c r="F776" s="44"/>
      <c r="G776" s="44"/>
      <c r="H776" s="46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5"/>
      <c r="T776" s="44"/>
      <c r="U776" s="44"/>
      <c r="V776" s="44"/>
      <c r="W776" s="44"/>
      <c r="X776" s="44"/>
      <c r="Y776" s="44"/>
      <c r="Z776" s="44"/>
      <c r="AA776" s="44"/>
      <c r="AB776" s="44"/>
      <c r="AC776" s="45"/>
      <c r="AD776" s="44"/>
      <c r="AE776" s="44"/>
      <c r="AF776" s="44"/>
      <c r="AG776" s="45"/>
      <c r="AH776" s="44"/>
      <c r="AI776" s="81"/>
      <c r="AJ776" s="43"/>
      <c r="AK776" s="43"/>
      <c r="AL776" s="43"/>
      <c r="AM776" s="43"/>
    </row>
    <row r="777" spans="2:39" x14ac:dyDescent="0.25">
      <c r="B777" s="48"/>
      <c r="C777" s="47"/>
      <c r="D777" s="47"/>
      <c r="E777" s="47"/>
      <c r="F777" s="44"/>
      <c r="G777" s="44"/>
      <c r="H777" s="46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5"/>
      <c r="T777" s="44"/>
      <c r="U777" s="44"/>
      <c r="V777" s="44"/>
      <c r="W777" s="44"/>
      <c r="X777" s="44"/>
      <c r="Y777" s="44"/>
      <c r="Z777" s="44"/>
      <c r="AA777" s="44"/>
      <c r="AB777" s="44"/>
      <c r="AC777" s="45"/>
      <c r="AD777" s="44"/>
      <c r="AE777" s="44"/>
      <c r="AF777" s="44"/>
      <c r="AG777" s="45"/>
      <c r="AH777" s="44"/>
      <c r="AI777" s="81"/>
      <c r="AJ777" s="43"/>
      <c r="AK777" s="43"/>
      <c r="AL777" s="43"/>
      <c r="AM777" s="43"/>
    </row>
    <row r="778" spans="2:39" x14ac:dyDescent="0.25">
      <c r="B778" s="48"/>
      <c r="C778" s="47"/>
      <c r="D778" s="47"/>
      <c r="E778" s="47"/>
      <c r="F778" s="44"/>
      <c r="G778" s="44"/>
      <c r="H778" s="46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5"/>
      <c r="T778" s="44"/>
      <c r="U778" s="44"/>
      <c r="V778" s="44"/>
      <c r="W778" s="44"/>
      <c r="X778" s="44"/>
      <c r="Y778" s="44"/>
      <c r="Z778" s="44"/>
      <c r="AA778" s="44"/>
      <c r="AB778" s="44"/>
      <c r="AC778" s="45"/>
      <c r="AD778" s="44"/>
      <c r="AE778" s="44"/>
      <c r="AF778" s="44"/>
      <c r="AG778" s="45"/>
      <c r="AH778" s="44"/>
      <c r="AI778" s="81"/>
      <c r="AJ778" s="43"/>
      <c r="AK778" s="43"/>
      <c r="AL778" s="43"/>
      <c r="AM778" s="43"/>
    </row>
    <row r="779" spans="2:39" x14ac:dyDescent="0.25">
      <c r="B779" s="48"/>
      <c r="C779" s="47"/>
      <c r="D779" s="47"/>
      <c r="E779" s="47"/>
      <c r="F779" s="44"/>
      <c r="G779" s="44"/>
      <c r="H779" s="46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5"/>
      <c r="T779" s="44"/>
      <c r="U779" s="44"/>
      <c r="V779" s="44"/>
      <c r="W779" s="44"/>
      <c r="X779" s="44"/>
      <c r="Y779" s="44"/>
      <c r="Z779" s="44"/>
      <c r="AA779" s="44"/>
      <c r="AB779" s="44"/>
      <c r="AC779" s="45"/>
      <c r="AD779" s="44"/>
      <c r="AE779" s="44"/>
      <c r="AF779" s="44"/>
      <c r="AG779" s="45"/>
      <c r="AH779" s="44"/>
      <c r="AI779" s="81"/>
      <c r="AJ779" s="43"/>
      <c r="AK779" s="43"/>
      <c r="AL779" s="43"/>
      <c r="AM779" s="43"/>
    </row>
    <row r="780" spans="2:39" x14ac:dyDescent="0.25">
      <c r="B780" s="48"/>
      <c r="C780" s="47"/>
      <c r="D780" s="47"/>
      <c r="E780" s="47"/>
      <c r="F780" s="44"/>
      <c r="G780" s="44"/>
      <c r="H780" s="46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5"/>
      <c r="T780" s="44"/>
      <c r="U780" s="44"/>
      <c r="V780" s="44"/>
      <c r="W780" s="44"/>
      <c r="X780" s="44"/>
      <c r="Y780" s="44"/>
      <c r="Z780" s="44"/>
      <c r="AA780" s="44"/>
      <c r="AB780" s="44"/>
      <c r="AC780" s="45"/>
      <c r="AD780" s="44"/>
      <c r="AE780" s="44"/>
      <c r="AF780" s="44"/>
      <c r="AG780" s="45"/>
      <c r="AH780" s="44"/>
      <c r="AI780" s="81"/>
      <c r="AJ780" s="43"/>
      <c r="AK780" s="43"/>
      <c r="AL780" s="43"/>
      <c r="AM780" s="43"/>
    </row>
    <row r="781" spans="2:39" x14ac:dyDescent="0.25">
      <c r="B781" s="48"/>
      <c r="C781" s="47"/>
      <c r="D781" s="47"/>
      <c r="E781" s="47"/>
      <c r="F781" s="44"/>
      <c r="G781" s="44"/>
      <c r="H781" s="46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5"/>
      <c r="T781" s="44"/>
      <c r="U781" s="44"/>
      <c r="V781" s="44"/>
      <c r="W781" s="44"/>
      <c r="X781" s="44"/>
      <c r="Y781" s="44"/>
      <c r="Z781" s="44"/>
      <c r="AA781" s="44"/>
      <c r="AB781" s="44"/>
      <c r="AC781" s="45"/>
      <c r="AD781" s="44"/>
      <c r="AE781" s="44"/>
      <c r="AF781" s="44"/>
      <c r="AG781" s="45"/>
      <c r="AH781" s="44"/>
      <c r="AI781" s="81"/>
      <c r="AJ781" s="43"/>
      <c r="AK781" s="43"/>
      <c r="AL781" s="43"/>
      <c r="AM781" s="43"/>
    </row>
    <row r="782" spans="2:39" x14ac:dyDescent="0.25">
      <c r="B782" s="48"/>
      <c r="C782" s="47"/>
      <c r="D782" s="47"/>
      <c r="E782" s="47"/>
      <c r="F782" s="44"/>
      <c r="G782" s="44"/>
      <c r="H782" s="46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5"/>
      <c r="T782" s="44"/>
      <c r="U782" s="44"/>
      <c r="V782" s="44"/>
      <c r="W782" s="44"/>
      <c r="X782" s="44"/>
      <c r="Y782" s="44"/>
      <c r="Z782" s="44"/>
      <c r="AA782" s="44"/>
      <c r="AB782" s="44"/>
      <c r="AC782" s="45"/>
      <c r="AD782" s="44"/>
      <c r="AE782" s="44"/>
      <c r="AF782" s="44"/>
      <c r="AG782" s="45"/>
      <c r="AH782" s="44"/>
      <c r="AI782" s="81"/>
      <c r="AJ782" s="43"/>
      <c r="AK782" s="43"/>
      <c r="AL782" s="43"/>
      <c r="AM782" s="43"/>
    </row>
    <row r="783" spans="2:39" x14ac:dyDescent="0.25">
      <c r="B783" s="48"/>
      <c r="C783" s="47"/>
      <c r="D783" s="47"/>
      <c r="E783" s="47"/>
      <c r="F783" s="44"/>
      <c r="G783" s="44"/>
      <c r="H783" s="46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5"/>
      <c r="T783" s="44"/>
      <c r="U783" s="44"/>
      <c r="V783" s="44"/>
      <c r="W783" s="44"/>
      <c r="X783" s="44"/>
      <c r="Y783" s="44"/>
      <c r="Z783" s="44"/>
      <c r="AA783" s="44"/>
      <c r="AB783" s="44"/>
      <c r="AC783" s="45"/>
      <c r="AD783" s="44"/>
      <c r="AE783" s="44"/>
      <c r="AF783" s="44"/>
      <c r="AG783" s="45"/>
      <c r="AH783" s="44"/>
      <c r="AI783" s="81"/>
      <c r="AJ783" s="43"/>
      <c r="AK783" s="43"/>
      <c r="AL783" s="43"/>
      <c r="AM783" s="43"/>
    </row>
    <row r="784" spans="2:39" x14ac:dyDescent="0.25">
      <c r="B784" s="48"/>
      <c r="C784" s="47"/>
      <c r="D784" s="47"/>
      <c r="E784" s="47"/>
      <c r="F784" s="44"/>
      <c r="G784" s="44"/>
      <c r="H784" s="46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5"/>
      <c r="T784" s="44"/>
      <c r="U784" s="44"/>
      <c r="V784" s="44"/>
      <c r="W784" s="44"/>
      <c r="X784" s="44"/>
      <c r="Y784" s="44"/>
      <c r="Z784" s="44"/>
      <c r="AA784" s="44"/>
      <c r="AB784" s="44"/>
      <c r="AC784" s="45"/>
      <c r="AD784" s="44"/>
      <c r="AE784" s="44"/>
      <c r="AF784" s="44"/>
      <c r="AG784" s="45"/>
      <c r="AH784" s="44"/>
      <c r="AI784" s="81"/>
      <c r="AJ784" s="43"/>
      <c r="AK784" s="43"/>
      <c r="AL784" s="43"/>
      <c r="AM784" s="43"/>
    </row>
    <row r="785" spans="2:39" x14ac:dyDescent="0.25">
      <c r="B785" s="48"/>
      <c r="C785" s="47"/>
      <c r="D785" s="47"/>
      <c r="E785" s="47"/>
      <c r="F785" s="44"/>
      <c r="G785" s="44"/>
      <c r="H785" s="46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5"/>
      <c r="T785" s="44"/>
      <c r="U785" s="44"/>
      <c r="V785" s="44"/>
      <c r="W785" s="44"/>
      <c r="X785" s="44"/>
      <c r="Y785" s="44"/>
      <c r="Z785" s="44"/>
      <c r="AA785" s="44"/>
      <c r="AB785" s="44"/>
      <c r="AC785" s="45"/>
      <c r="AD785" s="44"/>
      <c r="AE785" s="44"/>
      <c r="AF785" s="44"/>
      <c r="AG785" s="45"/>
      <c r="AH785" s="44"/>
      <c r="AI785" s="81"/>
      <c r="AJ785" s="43"/>
      <c r="AK785" s="43"/>
      <c r="AL785" s="43"/>
      <c r="AM785" s="43"/>
    </row>
    <row r="786" spans="2:39" x14ac:dyDescent="0.25">
      <c r="B786" s="48"/>
      <c r="C786" s="47"/>
      <c r="D786" s="47"/>
      <c r="E786" s="47"/>
      <c r="F786" s="44"/>
      <c r="G786" s="44"/>
      <c r="H786" s="46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5"/>
      <c r="T786" s="44"/>
      <c r="U786" s="44"/>
      <c r="V786" s="44"/>
      <c r="W786" s="44"/>
      <c r="X786" s="44"/>
      <c r="Y786" s="44"/>
      <c r="Z786" s="44"/>
      <c r="AA786" s="44"/>
      <c r="AB786" s="44"/>
      <c r="AC786" s="45"/>
      <c r="AD786" s="44"/>
      <c r="AE786" s="44"/>
      <c r="AF786" s="44"/>
      <c r="AG786" s="45"/>
      <c r="AH786" s="44"/>
      <c r="AI786" s="81"/>
      <c r="AJ786" s="43"/>
      <c r="AK786" s="43"/>
      <c r="AL786" s="43"/>
      <c r="AM786" s="43"/>
    </row>
    <row r="787" spans="2:39" x14ac:dyDescent="0.25">
      <c r="B787" s="48"/>
      <c r="C787" s="47"/>
      <c r="D787" s="47"/>
      <c r="E787" s="47"/>
      <c r="F787" s="44"/>
      <c r="G787" s="44"/>
      <c r="H787" s="46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5"/>
      <c r="T787" s="44"/>
      <c r="U787" s="44"/>
      <c r="V787" s="44"/>
      <c r="W787" s="44"/>
      <c r="X787" s="44"/>
      <c r="Y787" s="44"/>
      <c r="Z787" s="44"/>
      <c r="AA787" s="44"/>
      <c r="AB787" s="44"/>
      <c r="AC787" s="45"/>
      <c r="AD787" s="44"/>
      <c r="AE787" s="44"/>
      <c r="AF787" s="44"/>
      <c r="AG787" s="45"/>
      <c r="AH787" s="44"/>
      <c r="AI787" s="81"/>
      <c r="AJ787" s="43"/>
      <c r="AK787" s="43"/>
      <c r="AL787" s="43"/>
      <c r="AM787" s="43"/>
    </row>
    <row r="788" spans="2:39" x14ac:dyDescent="0.25">
      <c r="B788" s="48"/>
      <c r="C788" s="47"/>
      <c r="D788" s="47"/>
      <c r="E788" s="47"/>
      <c r="F788" s="44"/>
      <c r="G788" s="44"/>
      <c r="H788" s="46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5"/>
      <c r="T788" s="44"/>
      <c r="U788" s="44"/>
      <c r="V788" s="44"/>
      <c r="W788" s="44"/>
      <c r="X788" s="44"/>
      <c r="Y788" s="44"/>
      <c r="Z788" s="44"/>
      <c r="AA788" s="44"/>
      <c r="AB788" s="44"/>
      <c r="AC788" s="45"/>
      <c r="AD788" s="44"/>
      <c r="AE788" s="44"/>
      <c r="AF788" s="44"/>
      <c r="AG788" s="45"/>
      <c r="AH788" s="44"/>
      <c r="AI788" s="81"/>
      <c r="AJ788" s="43"/>
      <c r="AK788" s="43"/>
      <c r="AL788" s="43"/>
      <c r="AM788" s="43"/>
    </row>
    <row r="789" spans="2:39" x14ac:dyDescent="0.25">
      <c r="B789" s="48"/>
      <c r="C789" s="47"/>
      <c r="D789" s="47"/>
      <c r="E789" s="47"/>
      <c r="F789" s="44"/>
      <c r="G789" s="44"/>
      <c r="H789" s="46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5"/>
      <c r="T789" s="44"/>
      <c r="U789" s="44"/>
      <c r="V789" s="44"/>
      <c r="W789" s="44"/>
      <c r="X789" s="44"/>
      <c r="Y789" s="44"/>
      <c r="Z789" s="44"/>
      <c r="AA789" s="44"/>
      <c r="AB789" s="44"/>
      <c r="AC789" s="45"/>
      <c r="AD789" s="44"/>
      <c r="AE789" s="44"/>
      <c r="AF789" s="44"/>
      <c r="AG789" s="45"/>
      <c r="AH789" s="44"/>
      <c r="AI789" s="81"/>
      <c r="AJ789" s="43"/>
      <c r="AK789" s="43"/>
      <c r="AL789" s="43"/>
      <c r="AM789" s="43"/>
    </row>
    <row r="790" spans="2:39" x14ac:dyDescent="0.25">
      <c r="B790" s="48"/>
      <c r="C790" s="47"/>
      <c r="D790" s="47"/>
      <c r="E790" s="47"/>
      <c r="F790" s="44"/>
      <c r="G790" s="44"/>
      <c r="H790" s="46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5"/>
      <c r="T790" s="44"/>
      <c r="U790" s="44"/>
      <c r="V790" s="44"/>
      <c r="W790" s="44"/>
      <c r="X790" s="44"/>
      <c r="Y790" s="44"/>
      <c r="Z790" s="44"/>
      <c r="AA790" s="44"/>
      <c r="AB790" s="44"/>
      <c r="AC790" s="45"/>
      <c r="AD790" s="44"/>
      <c r="AE790" s="44"/>
      <c r="AF790" s="44"/>
      <c r="AG790" s="45"/>
      <c r="AH790" s="44"/>
      <c r="AI790" s="81"/>
      <c r="AJ790" s="43"/>
      <c r="AK790" s="43"/>
      <c r="AL790" s="43"/>
      <c r="AM790" s="43"/>
    </row>
    <row r="791" spans="2:39" x14ac:dyDescent="0.25">
      <c r="B791" s="48"/>
      <c r="C791" s="47"/>
      <c r="D791" s="47"/>
      <c r="E791" s="47"/>
      <c r="F791" s="44"/>
      <c r="G791" s="44"/>
      <c r="H791" s="46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5"/>
      <c r="T791" s="44"/>
      <c r="U791" s="44"/>
      <c r="V791" s="44"/>
      <c r="W791" s="44"/>
      <c r="X791" s="44"/>
      <c r="Y791" s="44"/>
      <c r="Z791" s="44"/>
      <c r="AA791" s="44"/>
      <c r="AB791" s="44"/>
      <c r="AC791" s="45"/>
      <c r="AD791" s="44"/>
      <c r="AE791" s="44"/>
      <c r="AF791" s="44"/>
      <c r="AG791" s="45"/>
      <c r="AH791" s="44"/>
      <c r="AI791" s="81"/>
      <c r="AJ791" s="43"/>
      <c r="AK791" s="43"/>
      <c r="AL791" s="43"/>
      <c r="AM791" s="43"/>
    </row>
    <row r="792" spans="2:39" x14ac:dyDescent="0.25">
      <c r="B792" s="48"/>
      <c r="C792" s="47"/>
      <c r="D792" s="47"/>
      <c r="E792" s="47"/>
      <c r="F792" s="44"/>
      <c r="G792" s="44"/>
      <c r="H792" s="46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5"/>
      <c r="T792" s="44"/>
      <c r="U792" s="44"/>
      <c r="V792" s="44"/>
      <c r="W792" s="44"/>
      <c r="X792" s="44"/>
      <c r="Y792" s="44"/>
      <c r="Z792" s="44"/>
      <c r="AA792" s="44"/>
      <c r="AB792" s="44"/>
      <c r="AC792" s="45"/>
      <c r="AD792" s="44"/>
      <c r="AE792" s="44"/>
      <c r="AF792" s="44"/>
      <c r="AG792" s="45"/>
      <c r="AH792" s="44"/>
      <c r="AI792" s="81"/>
      <c r="AJ792" s="43"/>
      <c r="AK792" s="43"/>
      <c r="AL792" s="43"/>
      <c r="AM792" s="43"/>
    </row>
    <row r="793" spans="2:39" x14ac:dyDescent="0.25">
      <c r="B793" s="48"/>
      <c r="C793" s="47"/>
      <c r="D793" s="47"/>
      <c r="E793" s="47"/>
      <c r="F793" s="44"/>
      <c r="G793" s="44"/>
      <c r="H793" s="46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5"/>
      <c r="T793" s="44"/>
      <c r="U793" s="44"/>
      <c r="V793" s="44"/>
      <c r="W793" s="44"/>
      <c r="X793" s="44"/>
      <c r="Y793" s="44"/>
      <c r="Z793" s="44"/>
      <c r="AA793" s="44"/>
      <c r="AB793" s="44"/>
      <c r="AC793" s="45"/>
      <c r="AD793" s="44"/>
      <c r="AE793" s="44"/>
      <c r="AF793" s="44"/>
      <c r="AG793" s="45"/>
      <c r="AH793" s="44"/>
      <c r="AI793" s="81"/>
      <c r="AJ793" s="43"/>
      <c r="AK793" s="43"/>
      <c r="AL793" s="43"/>
      <c r="AM793" s="43"/>
    </row>
    <row r="794" spans="2:39" x14ac:dyDescent="0.25">
      <c r="B794" s="48"/>
      <c r="C794" s="47"/>
      <c r="D794" s="47"/>
      <c r="E794" s="47"/>
      <c r="F794" s="44"/>
      <c r="G794" s="44"/>
      <c r="H794" s="46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5"/>
      <c r="T794" s="44"/>
      <c r="U794" s="44"/>
      <c r="V794" s="44"/>
      <c r="W794" s="44"/>
      <c r="X794" s="44"/>
      <c r="Y794" s="44"/>
      <c r="Z794" s="44"/>
      <c r="AA794" s="44"/>
      <c r="AB794" s="44"/>
      <c r="AC794" s="45"/>
      <c r="AD794" s="44"/>
      <c r="AE794" s="44"/>
      <c r="AF794" s="44"/>
      <c r="AG794" s="45"/>
      <c r="AH794" s="44"/>
      <c r="AI794" s="81"/>
      <c r="AJ794" s="43"/>
      <c r="AK794" s="43"/>
      <c r="AL794" s="43"/>
      <c r="AM794" s="43"/>
    </row>
    <row r="795" spans="2:39" x14ac:dyDescent="0.25">
      <c r="B795" s="48"/>
      <c r="C795" s="47"/>
      <c r="D795" s="47"/>
      <c r="E795" s="47"/>
      <c r="F795" s="44"/>
      <c r="G795" s="44"/>
      <c r="H795" s="46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5"/>
      <c r="T795" s="44"/>
      <c r="U795" s="44"/>
      <c r="V795" s="44"/>
      <c r="W795" s="44"/>
      <c r="X795" s="44"/>
      <c r="Y795" s="44"/>
      <c r="Z795" s="44"/>
      <c r="AA795" s="44"/>
      <c r="AB795" s="44"/>
      <c r="AC795" s="45"/>
      <c r="AD795" s="44"/>
      <c r="AE795" s="44"/>
      <c r="AF795" s="44"/>
      <c r="AG795" s="45"/>
      <c r="AH795" s="44"/>
      <c r="AI795" s="81"/>
      <c r="AJ795" s="43"/>
      <c r="AK795" s="43"/>
      <c r="AL795" s="43"/>
      <c r="AM795" s="43"/>
    </row>
    <row r="796" spans="2:39" x14ac:dyDescent="0.25">
      <c r="B796" s="48"/>
      <c r="C796" s="47"/>
      <c r="D796" s="47"/>
      <c r="E796" s="47"/>
      <c r="F796" s="44"/>
      <c r="G796" s="44"/>
      <c r="H796" s="46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5"/>
      <c r="T796" s="44"/>
      <c r="U796" s="44"/>
      <c r="V796" s="44"/>
      <c r="W796" s="44"/>
      <c r="X796" s="44"/>
      <c r="Y796" s="44"/>
      <c r="Z796" s="44"/>
      <c r="AA796" s="44"/>
      <c r="AB796" s="44"/>
      <c r="AC796" s="45"/>
      <c r="AD796" s="44"/>
      <c r="AE796" s="44"/>
      <c r="AF796" s="44"/>
      <c r="AG796" s="45"/>
      <c r="AH796" s="44"/>
      <c r="AI796" s="81"/>
      <c r="AJ796" s="43"/>
      <c r="AK796" s="43"/>
      <c r="AL796" s="43"/>
      <c r="AM796" s="43"/>
    </row>
    <row r="797" spans="2:39" x14ac:dyDescent="0.25">
      <c r="B797" s="48"/>
      <c r="C797" s="47"/>
      <c r="D797" s="47"/>
      <c r="E797" s="47"/>
      <c r="F797" s="44"/>
      <c r="G797" s="44"/>
      <c r="H797" s="46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5"/>
      <c r="T797" s="44"/>
      <c r="U797" s="44"/>
      <c r="V797" s="44"/>
      <c r="W797" s="44"/>
      <c r="X797" s="44"/>
      <c r="Y797" s="44"/>
      <c r="Z797" s="44"/>
      <c r="AA797" s="44"/>
      <c r="AB797" s="44"/>
      <c r="AC797" s="45"/>
      <c r="AD797" s="44"/>
      <c r="AE797" s="44"/>
      <c r="AF797" s="44"/>
      <c r="AG797" s="45"/>
      <c r="AH797" s="44"/>
      <c r="AI797" s="81"/>
      <c r="AJ797" s="43"/>
      <c r="AK797" s="43"/>
      <c r="AL797" s="43"/>
      <c r="AM797" s="43"/>
    </row>
    <row r="798" spans="2:39" x14ac:dyDescent="0.25">
      <c r="B798" s="48"/>
      <c r="C798" s="47"/>
      <c r="D798" s="47"/>
      <c r="E798" s="47"/>
      <c r="F798" s="44"/>
      <c r="G798" s="44"/>
      <c r="H798" s="46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5"/>
      <c r="T798" s="44"/>
      <c r="U798" s="44"/>
      <c r="V798" s="44"/>
      <c r="W798" s="44"/>
      <c r="X798" s="44"/>
      <c r="Y798" s="44"/>
      <c r="Z798" s="44"/>
      <c r="AA798" s="44"/>
      <c r="AB798" s="44"/>
      <c r="AC798" s="45"/>
      <c r="AD798" s="44"/>
      <c r="AE798" s="44"/>
      <c r="AF798" s="44"/>
      <c r="AG798" s="45"/>
      <c r="AH798" s="44"/>
      <c r="AI798" s="81"/>
      <c r="AJ798" s="43"/>
      <c r="AK798" s="43"/>
      <c r="AL798" s="43"/>
      <c r="AM798" s="43"/>
    </row>
    <row r="799" spans="2:39" x14ac:dyDescent="0.25">
      <c r="B799" s="48"/>
      <c r="C799" s="47"/>
      <c r="D799" s="47"/>
      <c r="E799" s="47"/>
      <c r="F799" s="44"/>
      <c r="G799" s="44"/>
      <c r="H799" s="46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5"/>
      <c r="T799" s="44"/>
      <c r="U799" s="44"/>
      <c r="V799" s="44"/>
      <c r="W799" s="44"/>
      <c r="X799" s="44"/>
      <c r="Y799" s="44"/>
      <c r="Z799" s="44"/>
      <c r="AA799" s="44"/>
      <c r="AB799" s="44"/>
      <c r="AC799" s="45"/>
      <c r="AD799" s="44"/>
      <c r="AE799" s="44"/>
      <c r="AF799" s="44"/>
      <c r="AG799" s="45"/>
      <c r="AH799" s="44"/>
      <c r="AI799" s="81"/>
      <c r="AJ799" s="43"/>
      <c r="AK799" s="43"/>
      <c r="AL799" s="43"/>
      <c r="AM799" s="43"/>
    </row>
    <row r="800" spans="2:39" x14ac:dyDescent="0.25">
      <c r="B800" s="48"/>
      <c r="C800" s="47"/>
      <c r="D800" s="47"/>
      <c r="E800" s="47"/>
      <c r="F800" s="44"/>
      <c r="G800" s="44"/>
      <c r="H800" s="46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5"/>
      <c r="T800" s="44"/>
      <c r="U800" s="44"/>
      <c r="V800" s="44"/>
      <c r="W800" s="44"/>
      <c r="X800" s="44"/>
      <c r="Y800" s="44"/>
      <c r="Z800" s="44"/>
      <c r="AA800" s="44"/>
      <c r="AB800" s="44"/>
      <c r="AC800" s="45"/>
      <c r="AD800" s="44"/>
      <c r="AE800" s="44"/>
      <c r="AF800" s="44"/>
      <c r="AG800" s="45"/>
      <c r="AH800" s="44"/>
      <c r="AI800" s="81"/>
      <c r="AJ800" s="43"/>
      <c r="AK800" s="43"/>
      <c r="AL800" s="43"/>
      <c r="AM800" s="43"/>
    </row>
    <row r="801" spans="2:39" x14ac:dyDescent="0.25">
      <c r="B801" s="48"/>
      <c r="C801" s="47"/>
      <c r="D801" s="47"/>
      <c r="E801" s="47"/>
      <c r="F801" s="44"/>
      <c r="G801" s="44"/>
      <c r="H801" s="46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5"/>
      <c r="T801" s="44"/>
      <c r="U801" s="44"/>
      <c r="V801" s="44"/>
      <c r="W801" s="44"/>
      <c r="X801" s="44"/>
      <c r="Y801" s="44"/>
      <c r="Z801" s="44"/>
      <c r="AA801" s="44"/>
      <c r="AB801" s="44"/>
      <c r="AC801" s="45"/>
      <c r="AD801" s="44"/>
      <c r="AE801" s="44"/>
      <c r="AF801" s="44"/>
      <c r="AG801" s="45"/>
      <c r="AH801" s="44"/>
      <c r="AI801" s="81"/>
      <c r="AJ801" s="43"/>
      <c r="AK801" s="43"/>
      <c r="AL801" s="43"/>
      <c r="AM801" s="43"/>
    </row>
  </sheetData>
  <sheetProtection algorithmName="SHA-512" hashValue="pRJlKslFLaArmVj8YiwtWGTdmnq3ugDxIntHa/mV63NSHJJMdMuK+R2aZ1JWAu1I7z8oXKqGUdoyTGgwe7Wwzg==" saltValue="PFEM7vaIzOquICj2vqBGZw==" spinCount="100000" sheet="1" objects="1" scenarios="1"/>
  <autoFilter ref="A4:AM27" xr:uid="{837D4DE0-3DA5-46E7-BF8A-E753D8DC7535}"/>
  <mergeCells count="9">
    <mergeCell ref="AJ6:AM6"/>
    <mergeCell ref="AJ7:AM7"/>
    <mergeCell ref="R6:AI6"/>
    <mergeCell ref="R7:T7"/>
    <mergeCell ref="U7:W7"/>
    <mergeCell ref="X7:Z7"/>
    <mergeCell ref="AA7:AD7"/>
    <mergeCell ref="AE7:AH7"/>
    <mergeCell ref="AI7:AI8"/>
  </mergeCells>
  <conditionalFormatting sqref="A1:A1048576">
    <cfRule type="cellIs" dxfId="0" priority="1" operator="equal">
      <formula>"Y"</formula>
    </cfRule>
  </conditionalFormatting>
  <pageMargins left="0.7" right="0.7" top="0.75" bottom="0.75" header="0.3" footer="0.3"/>
  <pageSetup scale="27" fitToHeight="0" orientation="landscape" blackAndWhite="1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98"/>
  <sheetViews>
    <sheetView topLeftCell="C140" workbookViewId="0">
      <selection activeCell="H6" sqref="C6:H6"/>
    </sheetView>
  </sheetViews>
  <sheetFormatPr defaultRowHeight="14.4" x14ac:dyDescent="0.3"/>
  <cols>
    <col min="1" max="1" width="12.5546875" style="3" customWidth="1"/>
    <col min="2" max="2" width="60.5546875" style="3" customWidth="1"/>
    <col min="3" max="3" width="52.5546875" style="3" customWidth="1"/>
    <col min="4" max="4" width="10.88671875" customWidth="1"/>
    <col min="5" max="5" width="11" customWidth="1"/>
    <col min="6" max="6" width="11.5546875" customWidth="1"/>
  </cols>
  <sheetData>
    <row r="1" spans="1:19" s="20" customFormat="1" ht="14.4" customHeight="1" x14ac:dyDescent="0.3">
      <c r="A1" s="104" t="s">
        <v>0</v>
      </c>
      <c r="B1" s="104" t="s">
        <v>1</v>
      </c>
      <c r="C1" s="104" t="s">
        <v>2</v>
      </c>
      <c r="D1" s="106" t="s">
        <v>3</v>
      </c>
      <c r="E1" s="106" t="s">
        <v>4</v>
      </c>
      <c r="F1" s="106" t="s">
        <v>5</v>
      </c>
      <c r="G1" s="106" t="s">
        <v>6</v>
      </c>
      <c r="H1" s="106" t="s">
        <v>7</v>
      </c>
      <c r="I1" s="106" t="s">
        <v>8</v>
      </c>
      <c r="J1" s="108" t="s">
        <v>270</v>
      </c>
      <c r="K1" s="109"/>
      <c r="L1" s="109"/>
      <c r="M1" s="109"/>
      <c r="N1" s="110"/>
      <c r="O1" s="108" t="s">
        <v>271</v>
      </c>
      <c r="P1" s="109"/>
      <c r="Q1" s="109"/>
      <c r="R1" s="109"/>
      <c r="S1" s="110"/>
    </row>
    <row r="2" spans="1:19" s="20" customFormat="1" x14ac:dyDescent="0.3">
      <c r="A2" s="105"/>
      <c r="B2" s="105"/>
      <c r="C2" s="105"/>
      <c r="D2" s="107"/>
      <c r="E2" s="107"/>
      <c r="F2" s="107"/>
      <c r="G2" s="107"/>
      <c r="H2" s="107"/>
      <c r="I2" s="107"/>
      <c r="J2" s="29" t="s">
        <v>272</v>
      </c>
      <c r="K2" s="29" t="s">
        <v>273</v>
      </c>
      <c r="L2" s="29" t="s">
        <v>274</v>
      </c>
      <c r="M2" s="29" t="s">
        <v>17</v>
      </c>
      <c r="N2" s="29" t="s">
        <v>40</v>
      </c>
      <c r="O2" s="29" t="s">
        <v>272</v>
      </c>
      <c r="P2" s="29" t="s">
        <v>273</v>
      </c>
      <c r="Q2" s="29" t="s">
        <v>274</v>
      </c>
      <c r="R2" s="29" t="s">
        <v>17</v>
      </c>
      <c r="S2" s="29" t="s">
        <v>40</v>
      </c>
    </row>
    <row r="3" spans="1:19" x14ac:dyDescent="0.3">
      <c r="A3" s="30" t="s">
        <v>71</v>
      </c>
      <c r="B3" s="30" t="s">
        <v>101</v>
      </c>
      <c r="C3" s="30" t="s">
        <v>102</v>
      </c>
      <c r="D3" s="31" t="s">
        <v>103</v>
      </c>
      <c r="E3" s="31">
        <v>411</v>
      </c>
      <c r="F3" s="31">
        <v>411</v>
      </c>
      <c r="G3" s="31" t="s">
        <v>39</v>
      </c>
      <c r="H3" s="31" t="s">
        <v>40</v>
      </c>
      <c r="I3" s="31">
        <v>30</v>
      </c>
      <c r="J3" s="32">
        <v>0</v>
      </c>
      <c r="K3" s="32">
        <v>0</v>
      </c>
      <c r="L3" s="32">
        <v>240</v>
      </c>
      <c r="M3" s="32">
        <v>490</v>
      </c>
      <c r="N3" s="32">
        <v>520</v>
      </c>
      <c r="O3" s="32">
        <v>0</v>
      </c>
      <c r="P3" s="32">
        <v>0</v>
      </c>
      <c r="Q3" s="32">
        <v>4700</v>
      </c>
      <c r="R3" s="32">
        <v>9600</v>
      </c>
      <c r="S3" s="32">
        <v>10100</v>
      </c>
    </row>
    <row r="4" spans="1:19" x14ac:dyDescent="0.3">
      <c r="A4" s="30" t="s">
        <v>71</v>
      </c>
      <c r="B4" s="30" t="s">
        <v>104</v>
      </c>
      <c r="C4" s="30" t="s">
        <v>105</v>
      </c>
      <c r="D4" s="31" t="s">
        <v>103</v>
      </c>
      <c r="E4" s="31">
        <v>840</v>
      </c>
      <c r="F4" s="31">
        <v>840</v>
      </c>
      <c r="G4" s="31" t="s">
        <v>39</v>
      </c>
      <c r="H4" s="31" t="s">
        <v>40</v>
      </c>
      <c r="I4" s="31">
        <v>25</v>
      </c>
      <c r="J4" s="32">
        <v>0</v>
      </c>
      <c r="K4" s="32">
        <v>0</v>
      </c>
      <c r="L4" s="32">
        <v>240</v>
      </c>
      <c r="M4" s="32">
        <v>490</v>
      </c>
      <c r="N4" s="32">
        <v>520</v>
      </c>
      <c r="O4" s="32">
        <v>0</v>
      </c>
      <c r="P4" s="32">
        <v>0</v>
      </c>
      <c r="Q4" s="32">
        <v>4700</v>
      </c>
      <c r="R4" s="32">
        <v>9600</v>
      </c>
      <c r="S4" s="32">
        <v>10100</v>
      </c>
    </row>
    <row r="5" spans="1:19" x14ac:dyDescent="0.3">
      <c r="A5" s="30" t="s">
        <v>71</v>
      </c>
      <c r="B5" s="30" t="s">
        <v>104</v>
      </c>
      <c r="C5" s="30" t="s">
        <v>106</v>
      </c>
      <c r="D5" s="31" t="s">
        <v>103</v>
      </c>
      <c r="E5" s="31">
        <v>841</v>
      </c>
      <c r="F5" s="31">
        <v>841</v>
      </c>
      <c r="G5" s="31" t="s">
        <v>39</v>
      </c>
      <c r="H5" s="31" t="s">
        <v>40</v>
      </c>
      <c r="I5" s="31">
        <v>25</v>
      </c>
      <c r="J5" s="32">
        <v>0</v>
      </c>
      <c r="K5" s="32">
        <v>0</v>
      </c>
      <c r="L5" s="32">
        <v>240</v>
      </c>
      <c r="M5" s="32">
        <v>490</v>
      </c>
      <c r="N5" s="32">
        <v>520</v>
      </c>
      <c r="O5" s="32">
        <v>0</v>
      </c>
      <c r="P5" s="32">
        <v>0</v>
      </c>
      <c r="Q5" s="32">
        <v>4700</v>
      </c>
      <c r="R5" s="32">
        <v>9600</v>
      </c>
      <c r="S5" s="32">
        <v>10100</v>
      </c>
    </row>
    <row r="6" spans="1:19" x14ac:dyDescent="0.3">
      <c r="A6" s="30" t="s">
        <v>71</v>
      </c>
      <c r="B6" s="30" t="s">
        <v>107</v>
      </c>
      <c r="C6" s="30" t="s">
        <v>32</v>
      </c>
      <c r="D6" s="31" t="s">
        <v>103</v>
      </c>
      <c r="E6" s="31">
        <v>401</v>
      </c>
      <c r="F6" s="31">
        <v>401</v>
      </c>
      <c r="G6" s="31" t="s">
        <v>39</v>
      </c>
      <c r="H6" s="31" t="s">
        <v>17</v>
      </c>
      <c r="I6" s="31">
        <v>30</v>
      </c>
      <c r="J6" s="32">
        <v>0</v>
      </c>
      <c r="K6" s="32">
        <v>0</v>
      </c>
      <c r="L6" s="32">
        <v>240</v>
      </c>
      <c r="M6" s="32">
        <v>490</v>
      </c>
      <c r="N6" s="32">
        <v>520</v>
      </c>
      <c r="O6" s="32">
        <v>0</v>
      </c>
      <c r="P6" s="32">
        <v>0</v>
      </c>
      <c r="Q6" s="32">
        <v>4700</v>
      </c>
      <c r="R6" s="32">
        <v>9600</v>
      </c>
      <c r="S6" s="32">
        <v>10100</v>
      </c>
    </row>
    <row r="7" spans="1:19" x14ac:dyDescent="0.3">
      <c r="A7" s="30" t="s">
        <v>71</v>
      </c>
      <c r="B7" s="30" t="s">
        <v>108</v>
      </c>
      <c r="C7" s="30" t="s">
        <v>33</v>
      </c>
      <c r="D7" s="31" t="s">
        <v>103</v>
      </c>
      <c r="E7" s="31">
        <v>403</v>
      </c>
      <c r="F7" s="31">
        <v>403</v>
      </c>
      <c r="G7" s="31" t="s">
        <v>39</v>
      </c>
      <c r="H7" s="31" t="s">
        <v>17</v>
      </c>
      <c r="I7" s="31">
        <v>30</v>
      </c>
      <c r="J7" s="32">
        <v>0</v>
      </c>
      <c r="K7" s="32">
        <v>0</v>
      </c>
      <c r="L7" s="32">
        <v>240</v>
      </c>
      <c r="M7" s="32">
        <v>490</v>
      </c>
      <c r="N7" s="32">
        <v>520</v>
      </c>
      <c r="O7" s="32">
        <v>0</v>
      </c>
      <c r="P7" s="32">
        <v>0</v>
      </c>
      <c r="Q7" s="32">
        <v>4700</v>
      </c>
      <c r="R7" s="32">
        <v>9600</v>
      </c>
      <c r="S7" s="32">
        <v>10100</v>
      </c>
    </row>
    <row r="8" spans="1:19" x14ac:dyDescent="0.3">
      <c r="A8" s="30" t="s">
        <v>71</v>
      </c>
      <c r="B8" s="30" t="s">
        <v>109</v>
      </c>
      <c r="C8" s="30" t="s">
        <v>110</v>
      </c>
      <c r="D8" s="31" t="s">
        <v>103</v>
      </c>
      <c r="E8" s="31">
        <v>650</v>
      </c>
      <c r="F8" s="31">
        <v>650</v>
      </c>
      <c r="G8" s="31" t="s">
        <v>39</v>
      </c>
      <c r="H8" s="31" t="s">
        <v>17</v>
      </c>
      <c r="I8" s="31">
        <v>30</v>
      </c>
      <c r="J8" s="32">
        <v>0</v>
      </c>
      <c r="K8" s="32">
        <v>0</v>
      </c>
      <c r="L8" s="32">
        <v>240</v>
      </c>
      <c r="M8" s="32">
        <v>490</v>
      </c>
      <c r="N8" s="32">
        <v>520</v>
      </c>
      <c r="O8" s="32">
        <v>0</v>
      </c>
      <c r="P8" s="32">
        <v>0</v>
      </c>
      <c r="Q8" s="32">
        <v>4700</v>
      </c>
      <c r="R8" s="32">
        <v>9600</v>
      </c>
      <c r="S8" s="32">
        <v>10100</v>
      </c>
    </row>
    <row r="9" spans="1:19" x14ac:dyDescent="0.3">
      <c r="A9" s="30" t="s">
        <v>71</v>
      </c>
      <c r="B9" s="30" t="s">
        <v>109</v>
      </c>
      <c r="C9" s="30" t="s">
        <v>111</v>
      </c>
      <c r="D9" s="31" t="s">
        <v>103</v>
      </c>
      <c r="E9" s="31">
        <v>410</v>
      </c>
      <c r="F9" s="31">
        <v>410</v>
      </c>
      <c r="G9" s="31" t="s">
        <v>39</v>
      </c>
      <c r="H9" s="31" t="s">
        <v>17</v>
      </c>
      <c r="I9" s="31">
        <v>30</v>
      </c>
      <c r="J9" s="32">
        <v>0</v>
      </c>
      <c r="K9" s="32">
        <v>0</v>
      </c>
      <c r="L9" s="32">
        <v>240</v>
      </c>
      <c r="M9" s="32">
        <v>490</v>
      </c>
      <c r="N9" s="32">
        <v>520</v>
      </c>
      <c r="O9" s="32">
        <v>0</v>
      </c>
      <c r="P9" s="32">
        <v>0</v>
      </c>
      <c r="Q9" s="32">
        <v>4700</v>
      </c>
      <c r="R9" s="32">
        <v>9600</v>
      </c>
      <c r="S9" s="32">
        <v>10100</v>
      </c>
    </row>
    <row r="10" spans="1:19" x14ac:dyDescent="0.3">
      <c r="A10" s="30" t="s">
        <v>71</v>
      </c>
      <c r="B10" s="30" t="s">
        <v>112</v>
      </c>
      <c r="C10" s="30" t="s">
        <v>33</v>
      </c>
      <c r="D10" s="31" t="s">
        <v>103</v>
      </c>
      <c r="E10" s="31">
        <v>404</v>
      </c>
      <c r="F10" s="31">
        <v>404</v>
      </c>
      <c r="G10" s="31" t="s">
        <v>39</v>
      </c>
      <c r="H10" s="31" t="s">
        <v>17</v>
      </c>
      <c r="I10" s="31">
        <v>30</v>
      </c>
      <c r="J10" s="32">
        <v>0</v>
      </c>
      <c r="K10" s="32">
        <v>0</v>
      </c>
      <c r="L10" s="32">
        <v>240</v>
      </c>
      <c r="M10" s="32">
        <v>490</v>
      </c>
      <c r="N10" s="32">
        <v>520</v>
      </c>
      <c r="O10" s="32">
        <v>0</v>
      </c>
      <c r="P10" s="32">
        <v>0</v>
      </c>
      <c r="Q10" s="32">
        <v>4700</v>
      </c>
      <c r="R10" s="32">
        <v>9600</v>
      </c>
      <c r="S10" s="32">
        <v>10100</v>
      </c>
    </row>
    <row r="11" spans="1:19" x14ac:dyDescent="0.3">
      <c r="A11" s="30" t="s">
        <v>71</v>
      </c>
      <c r="B11" s="30" t="s">
        <v>113</v>
      </c>
      <c r="C11" s="30" t="s">
        <v>32</v>
      </c>
      <c r="D11" s="31" t="s">
        <v>103</v>
      </c>
      <c r="E11" s="31">
        <v>333</v>
      </c>
      <c r="F11" s="31">
        <v>333</v>
      </c>
      <c r="G11" s="31" t="s">
        <v>39</v>
      </c>
      <c r="H11" s="31" t="s">
        <v>40</v>
      </c>
      <c r="I11" s="31">
        <v>30</v>
      </c>
      <c r="J11" s="32">
        <v>0</v>
      </c>
      <c r="K11" s="32">
        <v>0</v>
      </c>
      <c r="L11" s="32">
        <v>240</v>
      </c>
      <c r="M11" s="32">
        <v>490</v>
      </c>
      <c r="N11" s="32">
        <v>520</v>
      </c>
      <c r="O11" s="32">
        <v>0</v>
      </c>
      <c r="P11" s="32">
        <v>0</v>
      </c>
      <c r="Q11" s="32">
        <v>4700</v>
      </c>
      <c r="R11" s="32">
        <v>9600</v>
      </c>
      <c r="S11" s="32">
        <v>10100</v>
      </c>
    </row>
    <row r="12" spans="1:19" x14ac:dyDescent="0.3">
      <c r="A12" s="30" t="s">
        <v>71</v>
      </c>
      <c r="B12" s="30" t="s">
        <v>114</v>
      </c>
      <c r="C12" s="30" t="s">
        <v>115</v>
      </c>
      <c r="D12" s="31" t="s">
        <v>103</v>
      </c>
      <c r="E12" s="31">
        <v>409</v>
      </c>
      <c r="F12" s="31">
        <v>409</v>
      </c>
      <c r="G12" s="31" t="s">
        <v>39</v>
      </c>
      <c r="H12" s="31" t="s">
        <v>40</v>
      </c>
      <c r="I12" s="31">
        <v>25</v>
      </c>
      <c r="J12" s="32">
        <v>0</v>
      </c>
      <c r="K12" s="32">
        <v>0</v>
      </c>
      <c r="L12" s="32">
        <v>240</v>
      </c>
      <c r="M12" s="32">
        <v>490</v>
      </c>
      <c r="N12" s="32">
        <v>520</v>
      </c>
      <c r="O12" s="32">
        <v>0</v>
      </c>
      <c r="P12" s="32">
        <v>0</v>
      </c>
      <c r="Q12" s="32">
        <v>4700</v>
      </c>
      <c r="R12" s="32">
        <v>9600</v>
      </c>
      <c r="S12" s="32">
        <v>10100</v>
      </c>
    </row>
    <row r="13" spans="1:19" ht="15" customHeight="1" x14ac:dyDescent="0.3">
      <c r="A13" s="30" t="s">
        <v>71</v>
      </c>
      <c r="B13" s="30" t="s">
        <v>116</v>
      </c>
      <c r="C13" s="30" t="s">
        <v>117</v>
      </c>
      <c r="D13" s="31" t="s">
        <v>103</v>
      </c>
      <c r="E13" s="31">
        <v>971</v>
      </c>
      <c r="F13" s="31">
        <v>971</v>
      </c>
      <c r="G13" s="31" t="s">
        <v>39</v>
      </c>
      <c r="H13" s="31" t="s">
        <v>40</v>
      </c>
      <c r="I13" s="31">
        <v>35</v>
      </c>
      <c r="J13" s="32">
        <v>0</v>
      </c>
      <c r="K13" s="32">
        <v>0</v>
      </c>
      <c r="L13" s="32">
        <v>330</v>
      </c>
      <c r="M13" s="32">
        <v>680</v>
      </c>
      <c r="N13" s="32">
        <v>720</v>
      </c>
      <c r="O13" s="32">
        <v>0</v>
      </c>
      <c r="P13" s="32">
        <v>0</v>
      </c>
      <c r="Q13" s="32">
        <v>6600</v>
      </c>
      <c r="R13" s="32">
        <v>13320</v>
      </c>
      <c r="S13" s="32">
        <v>14000</v>
      </c>
    </row>
    <row r="14" spans="1:19" x14ac:dyDescent="0.3">
      <c r="A14" s="30" t="s">
        <v>71</v>
      </c>
      <c r="B14" s="30" t="s">
        <v>72</v>
      </c>
      <c r="C14" s="30" t="s">
        <v>75</v>
      </c>
      <c r="D14" s="31" t="s">
        <v>20</v>
      </c>
      <c r="E14" s="31">
        <v>554</v>
      </c>
      <c r="F14" s="31" t="s">
        <v>294</v>
      </c>
      <c r="G14" s="31" t="s">
        <v>39</v>
      </c>
      <c r="H14" s="31" t="s">
        <v>40</v>
      </c>
      <c r="I14" s="31">
        <v>40</v>
      </c>
      <c r="J14" s="32">
        <v>0</v>
      </c>
      <c r="K14" s="32">
        <v>0</v>
      </c>
      <c r="L14" s="32">
        <v>830</v>
      </c>
      <c r="M14" s="32">
        <v>880</v>
      </c>
      <c r="N14" s="32">
        <v>880</v>
      </c>
      <c r="O14" s="32">
        <v>0</v>
      </c>
      <c r="P14" s="32">
        <v>0</v>
      </c>
      <c r="Q14" s="32">
        <v>16800</v>
      </c>
      <c r="R14" s="32">
        <v>17700</v>
      </c>
      <c r="S14" s="32">
        <v>17700</v>
      </c>
    </row>
    <row r="15" spans="1:19" x14ac:dyDescent="0.3">
      <c r="A15" s="30" t="s">
        <v>71</v>
      </c>
      <c r="B15" s="30" t="s">
        <v>72</v>
      </c>
      <c r="C15" s="30" t="s">
        <v>74</v>
      </c>
      <c r="D15" s="31" t="s">
        <v>20</v>
      </c>
      <c r="E15" s="31">
        <v>553</v>
      </c>
      <c r="F15" s="31" t="s">
        <v>293</v>
      </c>
      <c r="G15" s="31" t="s">
        <v>39</v>
      </c>
      <c r="H15" s="31" t="s">
        <v>40</v>
      </c>
      <c r="I15" s="31">
        <v>40</v>
      </c>
      <c r="J15" s="32">
        <v>0</v>
      </c>
      <c r="K15" s="32">
        <v>0</v>
      </c>
      <c r="L15" s="32">
        <v>830</v>
      </c>
      <c r="M15" s="32">
        <v>880</v>
      </c>
      <c r="N15" s="32">
        <v>880</v>
      </c>
      <c r="O15" s="32">
        <v>0</v>
      </c>
      <c r="P15" s="32">
        <v>0</v>
      </c>
      <c r="Q15" s="32">
        <v>16800</v>
      </c>
      <c r="R15" s="32">
        <v>17700</v>
      </c>
      <c r="S15" s="32">
        <v>17700</v>
      </c>
    </row>
    <row r="16" spans="1:19" x14ac:dyDescent="0.3">
      <c r="A16" s="30" t="s">
        <v>71</v>
      </c>
      <c r="B16" s="30" t="s">
        <v>72</v>
      </c>
      <c r="C16" s="30" t="s">
        <v>73</v>
      </c>
      <c r="D16" s="31" t="s">
        <v>20</v>
      </c>
      <c r="E16" s="31">
        <v>28</v>
      </c>
      <c r="F16" s="31" t="s">
        <v>295</v>
      </c>
      <c r="G16" s="31" t="s">
        <v>39</v>
      </c>
      <c r="H16" s="31" t="s">
        <v>40</v>
      </c>
      <c r="I16" s="31">
        <v>55</v>
      </c>
      <c r="J16" s="32">
        <v>0</v>
      </c>
      <c r="K16" s="32">
        <v>0</v>
      </c>
      <c r="L16" s="32">
        <v>830</v>
      </c>
      <c r="M16" s="32">
        <v>880</v>
      </c>
      <c r="N16" s="32">
        <v>880</v>
      </c>
      <c r="O16" s="32">
        <v>0</v>
      </c>
      <c r="P16" s="32">
        <v>0</v>
      </c>
      <c r="Q16" s="32">
        <v>16800</v>
      </c>
      <c r="R16" s="32">
        <v>17700</v>
      </c>
      <c r="S16" s="32">
        <v>17700</v>
      </c>
    </row>
    <row r="17" spans="1:19" x14ac:dyDescent="0.3">
      <c r="A17" s="30" t="s">
        <v>71</v>
      </c>
      <c r="B17" s="30" t="s">
        <v>72</v>
      </c>
      <c r="C17" s="30" t="s">
        <v>118</v>
      </c>
      <c r="D17" s="31" t="s">
        <v>103</v>
      </c>
      <c r="E17" s="31">
        <v>673</v>
      </c>
      <c r="F17" s="31">
        <v>673</v>
      </c>
      <c r="G17" s="31" t="s">
        <v>39</v>
      </c>
      <c r="H17" s="31" t="s">
        <v>40</v>
      </c>
      <c r="I17" s="31">
        <v>55</v>
      </c>
      <c r="J17" s="32">
        <v>0</v>
      </c>
      <c r="K17" s="32">
        <v>0</v>
      </c>
      <c r="L17" s="32">
        <v>830</v>
      </c>
      <c r="M17" s="32">
        <v>880</v>
      </c>
      <c r="N17" s="32">
        <v>880</v>
      </c>
      <c r="O17" s="32">
        <v>0</v>
      </c>
      <c r="P17" s="32">
        <v>0</v>
      </c>
      <c r="Q17" s="32">
        <v>16800</v>
      </c>
      <c r="R17" s="32">
        <v>17700</v>
      </c>
      <c r="S17" s="32">
        <v>17700</v>
      </c>
    </row>
    <row r="18" spans="1:19" x14ac:dyDescent="0.3">
      <c r="A18" s="30" t="s">
        <v>71</v>
      </c>
      <c r="B18" s="30" t="s">
        <v>119</v>
      </c>
      <c r="C18" s="30" t="s">
        <v>120</v>
      </c>
      <c r="D18" s="31" t="s">
        <v>103</v>
      </c>
      <c r="E18" s="31">
        <v>556</v>
      </c>
      <c r="F18" s="31">
        <v>556</v>
      </c>
      <c r="G18" s="31" t="s">
        <v>39</v>
      </c>
      <c r="H18" s="31" t="s">
        <v>40</v>
      </c>
      <c r="I18" s="31">
        <v>45</v>
      </c>
      <c r="J18" s="32">
        <v>0</v>
      </c>
      <c r="K18" s="32">
        <v>0</v>
      </c>
      <c r="L18" s="32">
        <v>750</v>
      </c>
      <c r="M18" s="32">
        <v>790</v>
      </c>
      <c r="N18" s="32">
        <v>790</v>
      </c>
      <c r="O18" s="32">
        <v>0</v>
      </c>
      <c r="P18" s="32">
        <v>0</v>
      </c>
      <c r="Q18" s="32">
        <v>15100</v>
      </c>
      <c r="R18" s="32">
        <v>15900</v>
      </c>
      <c r="S18" s="32">
        <v>15900</v>
      </c>
    </row>
    <row r="19" spans="1:19" x14ac:dyDescent="0.3">
      <c r="A19" s="30" t="s">
        <v>71</v>
      </c>
      <c r="B19" s="30" t="s">
        <v>121</v>
      </c>
      <c r="C19" s="30" t="s">
        <v>122</v>
      </c>
      <c r="D19" s="31" t="s">
        <v>103</v>
      </c>
      <c r="E19" s="31">
        <v>557</v>
      </c>
      <c r="F19" s="31">
        <v>557</v>
      </c>
      <c r="G19" s="31" t="s">
        <v>39</v>
      </c>
      <c r="H19" s="31" t="s">
        <v>40</v>
      </c>
      <c r="I19" s="31">
        <v>45</v>
      </c>
      <c r="J19" s="32">
        <v>0</v>
      </c>
      <c r="K19" s="32">
        <v>0</v>
      </c>
      <c r="L19" s="32">
        <v>750</v>
      </c>
      <c r="M19" s="32">
        <v>790</v>
      </c>
      <c r="N19" s="32">
        <v>790</v>
      </c>
      <c r="O19" s="32">
        <v>0</v>
      </c>
      <c r="P19" s="32">
        <v>0</v>
      </c>
      <c r="Q19" s="32">
        <v>15100</v>
      </c>
      <c r="R19" s="32">
        <v>15900</v>
      </c>
      <c r="S19" s="32">
        <v>15900</v>
      </c>
    </row>
    <row r="20" spans="1:19" x14ac:dyDescent="0.3">
      <c r="A20" s="30" t="s">
        <v>36</v>
      </c>
      <c r="B20" s="30" t="s">
        <v>37</v>
      </c>
      <c r="C20" s="30" t="s">
        <v>42</v>
      </c>
      <c r="D20" s="31" t="s">
        <v>20</v>
      </c>
      <c r="E20" s="31">
        <v>33.1</v>
      </c>
      <c r="F20" s="31" t="s">
        <v>296</v>
      </c>
      <c r="G20" s="31" t="s">
        <v>39</v>
      </c>
      <c r="H20" s="31" t="s">
        <v>40</v>
      </c>
      <c r="I20" s="31">
        <v>35</v>
      </c>
      <c r="J20" s="32">
        <v>0</v>
      </c>
      <c r="K20" s="32">
        <v>0</v>
      </c>
      <c r="L20" s="32">
        <v>370</v>
      </c>
      <c r="M20" s="32">
        <v>750</v>
      </c>
      <c r="N20" s="32">
        <v>800</v>
      </c>
      <c r="O20" s="32">
        <v>0</v>
      </c>
      <c r="P20" s="32">
        <v>0</v>
      </c>
      <c r="Q20" s="32">
        <v>7300</v>
      </c>
      <c r="R20" s="32">
        <v>14800</v>
      </c>
      <c r="S20" s="32">
        <v>15600</v>
      </c>
    </row>
    <row r="21" spans="1:19" x14ac:dyDescent="0.3">
      <c r="A21" s="30" t="s">
        <v>36</v>
      </c>
      <c r="B21" s="30" t="s">
        <v>37</v>
      </c>
      <c r="C21" s="30" t="s">
        <v>38</v>
      </c>
      <c r="D21" s="31" t="s">
        <v>20</v>
      </c>
      <c r="E21" s="31">
        <v>651</v>
      </c>
      <c r="F21" s="31" t="s">
        <v>297</v>
      </c>
      <c r="G21" s="31" t="s">
        <v>39</v>
      </c>
      <c r="H21" s="31" t="s">
        <v>40</v>
      </c>
      <c r="I21" s="31">
        <v>45</v>
      </c>
      <c r="J21" s="32">
        <v>0</v>
      </c>
      <c r="K21" s="32">
        <v>0</v>
      </c>
      <c r="L21" s="32">
        <v>830</v>
      </c>
      <c r="M21" s="32">
        <v>880</v>
      </c>
      <c r="N21" s="32">
        <v>880</v>
      </c>
      <c r="O21" s="32">
        <v>0</v>
      </c>
      <c r="P21" s="32">
        <v>0</v>
      </c>
      <c r="Q21" s="32">
        <v>16800</v>
      </c>
      <c r="R21" s="32">
        <v>17700</v>
      </c>
      <c r="S21" s="32">
        <v>17700</v>
      </c>
    </row>
    <row r="22" spans="1:19" x14ac:dyDescent="0.3">
      <c r="A22" s="30" t="s">
        <v>36</v>
      </c>
      <c r="B22" s="30" t="s">
        <v>37</v>
      </c>
      <c r="C22" s="30" t="s">
        <v>129</v>
      </c>
      <c r="D22" s="31" t="s">
        <v>103</v>
      </c>
      <c r="E22" s="31">
        <v>671</v>
      </c>
      <c r="F22" s="31">
        <v>671</v>
      </c>
      <c r="G22" s="31" t="s">
        <v>39</v>
      </c>
      <c r="H22" s="31" t="s">
        <v>40</v>
      </c>
      <c r="I22" s="31">
        <v>35</v>
      </c>
      <c r="J22" s="32">
        <v>0</v>
      </c>
      <c r="K22" s="32">
        <v>0</v>
      </c>
      <c r="L22" s="32">
        <v>370</v>
      </c>
      <c r="M22" s="32">
        <v>750</v>
      </c>
      <c r="N22" s="32">
        <v>800</v>
      </c>
      <c r="O22" s="32">
        <v>0</v>
      </c>
      <c r="P22" s="32">
        <v>0</v>
      </c>
      <c r="Q22" s="32">
        <v>7300</v>
      </c>
      <c r="R22" s="32">
        <v>14800</v>
      </c>
      <c r="S22" s="32">
        <v>15600</v>
      </c>
    </row>
    <row r="23" spans="1:19" x14ac:dyDescent="0.3">
      <c r="A23" s="30" t="s">
        <v>36</v>
      </c>
      <c r="B23" s="30" t="s">
        <v>37</v>
      </c>
      <c r="C23" s="30" t="s">
        <v>127</v>
      </c>
      <c r="D23" s="31" t="s">
        <v>103</v>
      </c>
      <c r="E23" s="31">
        <v>658</v>
      </c>
      <c r="F23" s="31">
        <v>658</v>
      </c>
      <c r="G23" s="31" t="s">
        <v>61</v>
      </c>
      <c r="H23" s="31" t="s">
        <v>40</v>
      </c>
      <c r="I23" s="31">
        <v>40</v>
      </c>
      <c r="J23" s="32">
        <v>0</v>
      </c>
      <c r="K23" s="32">
        <v>0</v>
      </c>
      <c r="L23" s="32">
        <v>870</v>
      </c>
      <c r="M23" s="32">
        <v>920</v>
      </c>
      <c r="N23" s="32">
        <v>920</v>
      </c>
      <c r="O23" s="32">
        <v>0</v>
      </c>
      <c r="P23" s="32">
        <v>0</v>
      </c>
      <c r="Q23" s="32">
        <v>17600</v>
      </c>
      <c r="R23" s="32">
        <v>18600</v>
      </c>
      <c r="S23" s="32">
        <v>18600</v>
      </c>
    </row>
    <row r="24" spans="1:19" x14ac:dyDescent="0.3">
      <c r="A24" s="30" t="s">
        <v>36</v>
      </c>
      <c r="B24" s="30" t="s">
        <v>37</v>
      </c>
      <c r="C24" s="30" t="s">
        <v>41</v>
      </c>
      <c r="D24" s="31" t="s">
        <v>20</v>
      </c>
      <c r="E24" s="31">
        <v>653</v>
      </c>
      <c r="F24" s="31" t="s">
        <v>298</v>
      </c>
      <c r="G24" s="31" t="s">
        <v>39</v>
      </c>
      <c r="H24" s="31" t="s">
        <v>40</v>
      </c>
      <c r="I24" s="31">
        <v>40</v>
      </c>
      <c r="J24" s="32">
        <v>0</v>
      </c>
      <c r="K24" s="32">
        <v>0</v>
      </c>
      <c r="L24" s="32">
        <v>830</v>
      </c>
      <c r="M24" s="32">
        <v>880</v>
      </c>
      <c r="N24" s="32">
        <v>880</v>
      </c>
      <c r="O24" s="32">
        <v>0</v>
      </c>
      <c r="P24" s="32">
        <v>0</v>
      </c>
      <c r="Q24" s="32">
        <v>16800</v>
      </c>
      <c r="R24" s="32">
        <v>17700</v>
      </c>
      <c r="S24" s="32">
        <v>17700</v>
      </c>
    </row>
    <row r="25" spans="1:19" x14ac:dyDescent="0.3">
      <c r="A25" s="30" t="s">
        <v>36</v>
      </c>
      <c r="B25" s="30" t="s">
        <v>37</v>
      </c>
      <c r="C25" s="30" t="s">
        <v>128</v>
      </c>
      <c r="D25" s="31" t="s">
        <v>103</v>
      </c>
      <c r="E25" s="31">
        <v>670</v>
      </c>
      <c r="F25" s="31">
        <v>670</v>
      </c>
      <c r="G25" s="31" t="s">
        <v>39</v>
      </c>
      <c r="H25" s="31" t="s">
        <v>40</v>
      </c>
      <c r="I25" s="31">
        <v>45</v>
      </c>
      <c r="J25" s="32">
        <v>0</v>
      </c>
      <c r="K25" s="32">
        <v>0</v>
      </c>
      <c r="L25" s="32">
        <v>370</v>
      </c>
      <c r="M25" s="32">
        <v>750</v>
      </c>
      <c r="N25" s="32">
        <v>800</v>
      </c>
      <c r="O25" s="32">
        <v>0</v>
      </c>
      <c r="P25" s="32">
        <v>0</v>
      </c>
      <c r="Q25" s="32">
        <v>7300</v>
      </c>
      <c r="R25" s="32">
        <v>14800</v>
      </c>
      <c r="S25" s="32">
        <v>15600</v>
      </c>
    </row>
    <row r="26" spans="1:19" x14ac:dyDescent="0.3">
      <c r="A26" s="30" t="s">
        <v>36</v>
      </c>
      <c r="B26" s="30" t="s">
        <v>43</v>
      </c>
      <c r="C26" s="30" t="s">
        <v>50</v>
      </c>
      <c r="D26" s="31" t="s">
        <v>20</v>
      </c>
      <c r="E26" s="31">
        <v>565</v>
      </c>
      <c r="F26" s="31" t="s">
        <v>299</v>
      </c>
      <c r="G26" s="31" t="s">
        <v>39</v>
      </c>
      <c r="H26" s="31" t="s">
        <v>40</v>
      </c>
      <c r="I26" s="31">
        <v>45</v>
      </c>
      <c r="J26" s="32">
        <v>0</v>
      </c>
      <c r="K26" s="32">
        <v>0</v>
      </c>
      <c r="L26" s="32">
        <v>830</v>
      </c>
      <c r="M26" s="32">
        <v>880</v>
      </c>
      <c r="N26" s="32">
        <v>880</v>
      </c>
      <c r="O26" s="32">
        <v>0</v>
      </c>
      <c r="P26" s="32">
        <v>0</v>
      </c>
      <c r="Q26" s="32">
        <v>16800</v>
      </c>
      <c r="R26" s="32">
        <v>17700</v>
      </c>
      <c r="S26" s="32">
        <v>17700</v>
      </c>
    </row>
    <row r="27" spans="1:19" x14ac:dyDescent="0.3">
      <c r="A27" s="30" t="s">
        <v>36</v>
      </c>
      <c r="B27" s="30" t="s">
        <v>43</v>
      </c>
      <c r="C27" s="30" t="s">
        <v>48</v>
      </c>
      <c r="D27" s="31" t="s">
        <v>20</v>
      </c>
      <c r="E27" s="31">
        <v>328.1</v>
      </c>
      <c r="F27" s="31" t="s">
        <v>300</v>
      </c>
      <c r="G27" s="31" t="s">
        <v>39</v>
      </c>
      <c r="H27" s="31" t="s">
        <v>40</v>
      </c>
      <c r="I27" s="31">
        <v>30</v>
      </c>
      <c r="J27" s="32">
        <v>0</v>
      </c>
      <c r="K27" s="32">
        <v>0</v>
      </c>
      <c r="L27" s="32">
        <v>370</v>
      </c>
      <c r="M27" s="32">
        <v>750</v>
      </c>
      <c r="N27" s="32">
        <v>800</v>
      </c>
      <c r="O27" s="32">
        <v>0</v>
      </c>
      <c r="P27" s="32">
        <v>0</v>
      </c>
      <c r="Q27" s="32">
        <v>7300</v>
      </c>
      <c r="R27" s="32">
        <v>14800</v>
      </c>
      <c r="S27" s="32">
        <v>15600</v>
      </c>
    </row>
    <row r="28" spans="1:19" x14ac:dyDescent="0.3">
      <c r="A28" s="30" t="s">
        <v>36</v>
      </c>
      <c r="B28" s="30" t="s">
        <v>43</v>
      </c>
      <c r="C28" s="30" t="s">
        <v>47</v>
      </c>
      <c r="D28" s="31" t="s">
        <v>20</v>
      </c>
      <c r="E28" s="31">
        <v>426</v>
      </c>
      <c r="F28" s="31" t="s">
        <v>301</v>
      </c>
      <c r="G28" s="31" t="s">
        <v>31</v>
      </c>
      <c r="H28" s="31" t="s">
        <v>40</v>
      </c>
      <c r="I28" s="31">
        <v>35</v>
      </c>
      <c r="J28" s="32">
        <v>0</v>
      </c>
      <c r="K28" s="32">
        <v>0</v>
      </c>
      <c r="L28" s="32">
        <v>730</v>
      </c>
      <c r="M28" s="32">
        <v>1630</v>
      </c>
      <c r="N28" s="32">
        <v>1700</v>
      </c>
      <c r="O28" s="32">
        <v>0</v>
      </c>
      <c r="P28" s="32">
        <v>0</v>
      </c>
      <c r="Q28" s="32">
        <v>14500</v>
      </c>
      <c r="R28" s="32">
        <v>32400</v>
      </c>
      <c r="S28" s="32">
        <v>33800</v>
      </c>
    </row>
    <row r="29" spans="1:19" x14ac:dyDescent="0.3">
      <c r="A29" s="30" t="s">
        <v>36</v>
      </c>
      <c r="B29" s="30" t="s">
        <v>43</v>
      </c>
      <c r="C29" s="30" t="s">
        <v>46</v>
      </c>
      <c r="D29" s="31" t="s">
        <v>20</v>
      </c>
      <c r="E29" s="31">
        <v>21</v>
      </c>
      <c r="F29" s="31" t="s">
        <v>302</v>
      </c>
      <c r="G29" s="31" t="s">
        <v>31</v>
      </c>
      <c r="H29" s="31" t="s">
        <v>40</v>
      </c>
      <c r="I29" s="31">
        <v>45</v>
      </c>
      <c r="J29" s="32">
        <v>0</v>
      </c>
      <c r="K29" s="32">
        <v>0</v>
      </c>
      <c r="L29" s="32">
        <v>1910</v>
      </c>
      <c r="M29" s="32">
        <v>2000</v>
      </c>
      <c r="N29" s="32">
        <v>2000</v>
      </c>
      <c r="O29" s="32">
        <v>0</v>
      </c>
      <c r="P29" s="32">
        <v>0</v>
      </c>
      <c r="Q29" s="32">
        <v>37900</v>
      </c>
      <c r="R29" s="32">
        <v>39800</v>
      </c>
      <c r="S29" s="32">
        <v>39800</v>
      </c>
    </row>
    <row r="30" spans="1:19" x14ac:dyDescent="0.3">
      <c r="A30" s="30" t="s">
        <v>36</v>
      </c>
      <c r="B30" s="30" t="s">
        <v>43</v>
      </c>
      <c r="C30" s="30" t="s">
        <v>45</v>
      </c>
      <c r="D30" s="31" t="s">
        <v>20</v>
      </c>
      <c r="E30" s="31">
        <v>19</v>
      </c>
      <c r="F30" s="31" t="s">
        <v>303</v>
      </c>
      <c r="G30" s="31" t="s">
        <v>31</v>
      </c>
      <c r="H30" s="31" t="s">
        <v>40</v>
      </c>
      <c r="I30" s="31">
        <v>45</v>
      </c>
      <c r="J30" s="32">
        <v>0</v>
      </c>
      <c r="K30" s="32">
        <v>0</v>
      </c>
      <c r="L30" s="32">
        <v>1910</v>
      </c>
      <c r="M30" s="32">
        <v>2000</v>
      </c>
      <c r="N30" s="32">
        <v>2000</v>
      </c>
      <c r="O30" s="32">
        <v>0</v>
      </c>
      <c r="P30" s="32">
        <v>0</v>
      </c>
      <c r="Q30" s="32">
        <v>37900</v>
      </c>
      <c r="R30" s="32">
        <v>39800</v>
      </c>
      <c r="S30" s="32">
        <v>39800</v>
      </c>
    </row>
    <row r="31" spans="1:19" x14ac:dyDescent="0.3">
      <c r="A31" s="30" t="s">
        <v>36</v>
      </c>
      <c r="B31" s="30" t="s">
        <v>43</v>
      </c>
      <c r="C31" s="30" t="s">
        <v>130</v>
      </c>
      <c r="D31" s="31" t="s">
        <v>103</v>
      </c>
      <c r="E31" s="31">
        <v>7004</v>
      </c>
      <c r="F31" s="31">
        <v>7004</v>
      </c>
      <c r="G31" s="31" t="s">
        <v>39</v>
      </c>
      <c r="H31" s="31" t="s">
        <v>40</v>
      </c>
      <c r="I31" s="31">
        <v>45</v>
      </c>
      <c r="J31" s="32">
        <v>0</v>
      </c>
      <c r="K31" s="32">
        <v>0</v>
      </c>
      <c r="L31" s="32">
        <v>830</v>
      </c>
      <c r="M31" s="32">
        <v>880</v>
      </c>
      <c r="N31" s="32">
        <v>880</v>
      </c>
      <c r="O31" s="32">
        <v>0</v>
      </c>
      <c r="P31" s="32">
        <v>0</v>
      </c>
      <c r="Q31" s="32">
        <v>16800</v>
      </c>
      <c r="R31" s="32">
        <v>17700</v>
      </c>
      <c r="S31" s="32">
        <v>17700</v>
      </c>
    </row>
    <row r="32" spans="1:19" x14ac:dyDescent="0.3">
      <c r="A32" s="30" t="s">
        <v>36</v>
      </c>
      <c r="B32" s="30" t="s">
        <v>43</v>
      </c>
      <c r="C32" s="30" t="s">
        <v>131</v>
      </c>
      <c r="D32" s="31" t="s">
        <v>103</v>
      </c>
      <c r="E32" s="31">
        <v>516</v>
      </c>
      <c r="F32" s="31">
        <v>516</v>
      </c>
      <c r="G32" s="31" t="s">
        <v>31</v>
      </c>
      <c r="H32" s="31" t="s">
        <v>40</v>
      </c>
      <c r="I32" s="31">
        <v>35</v>
      </c>
      <c r="J32" s="32">
        <v>0</v>
      </c>
      <c r="K32" s="32">
        <v>0</v>
      </c>
      <c r="L32" s="32">
        <v>730</v>
      </c>
      <c r="M32" s="32">
        <v>1630</v>
      </c>
      <c r="N32" s="32">
        <v>1700</v>
      </c>
      <c r="O32" s="32">
        <v>0</v>
      </c>
      <c r="P32" s="32">
        <v>0</v>
      </c>
      <c r="Q32" s="32">
        <v>14500</v>
      </c>
      <c r="R32" s="32">
        <v>32400</v>
      </c>
      <c r="S32" s="32">
        <v>33800</v>
      </c>
    </row>
    <row r="33" spans="1:19" x14ac:dyDescent="0.3">
      <c r="A33" s="30" t="s">
        <v>36</v>
      </c>
      <c r="B33" s="30" t="s">
        <v>43</v>
      </c>
      <c r="C33" s="30" t="s">
        <v>132</v>
      </c>
      <c r="D33" s="31" t="s">
        <v>103</v>
      </c>
      <c r="E33" s="31">
        <v>563</v>
      </c>
      <c r="F33" s="31">
        <v>563</v>
      </c>
      <c r="G33" s="31" t="s">
        <v>39</v>
      </c>
      <c r="H33" s="31" t="s">
        <v>40</v>
      </c>
      <c r="I33" s="31">
        <v>30</v>
      </c>
      <c r="J33" s="32">
        <v>0</v>
      </c>
      <c r="K33" s="32">
        <v>0</v>
      </c>
      <c r="L33" s="32">
        <v>370</v>
      </c>
      <c r="M33" s="32">
        <v>750</v>
      </c>
      <c r="N33" s="32">
        <v>800</v>
      </c>
      <c r="O33" s="32">
        <v>0</v>
      </c>
      <c r="P33" s="32">
        <v>0</v>
      </c>
      <c r="Q33" s="32">
        <v>7300</v>
      </c>
      <c r="R33" s="32">
        <v>14800</v>
      </c>
      <c r="S33" s="32">
        <v>15600</v>
      </c>
    </row>
    <row r="34" spans="1:19" x14ac:dyDescent="0.3">
      <c r="A34" s="30" t="s">
        <v>36</v>
      </c>
      <c r="B34" s="30" t="s">
        <v>43</v>
      </c>
      <c r="C34" s="30" t="s">
        <v>133</v>
      </c>
      <c r="D34" s="31" t="s">
        <v>103</v>
      </c>
      <c r="E34" s="31">
        <v>580</v>
      </c>
      <c r="F34" s="31">
        <v>580</v>
      </c>
      <c r="G34" s="31" t="s">
        <v>31</v>
      </c>
      <c r="H34" s="31" t="s">
        <v>40</v>
      </c>
      <c r="I34" s="31">
        <v>35</v>
      </c>
      <c r="J34" s="32">
        <v>0</v>
      </c>
      <c r="K34" s="32">
        <v>0</v>
      </c>
      <c r="L34" s="32">
        <v>730</v>
      </c>
      <c r="M34" s="32">
        <v>1630</v>
      </c>
      <c r="N34" s="32">
        <v>1700</v>
      </c>
      <c r="O34" s="32">
        <v>0</v>
      </c>
      <c r="P34" s="32">
        <v>0</v>
      </c>
      <c r="Q34" s="32">
        <v>14500</v>
      </c>
      <c r="R34" s="32">
        <v>32400</v>
      </c>
      <c r="S34" s="32">
        <v>33800</v>
      </c>
    </row>
    <row r="35" spans="1:19" x14ac:dyDescent="0.3">
      <c r="A35" s="30" t="s">
        <v>36</v>
      </c>
      <c r="B35" s="30" t="s">
        <v>43</v>
      </c>
      <c r="C35" s="30" t="s">
        <v>49</v>
      </c>
      <c r="D35" s="31" t="s">
        <v>20</v>
      </c>
      <c r="E35" s="31">
        <v>564</v>
      </c>
      <c r="F35" s="31" t="s">
        <v>304</v>
      </c>
      <c r="G35" s="31" t="s">
        <v>39</v>
      </c>
      <c r="H35" s="31" t="s">
        <v>40</v>
      </c>
      <c r="I35" s="31">
        <v>45</v>
      </c>
      <c r="J35" s="32">
        <v>0</v>
      </c>
      <c r="K35" s="32">
        <v>0</v>
      </c>
      <c r="L35" s="32">
        <v>830</v>
      </c>
      <c r="M35" s="32">
        <v>880</v>
      </c>
      <c r="N35" s="32">
        <v>880</v>
      </c>
      <c r="O35" s="32">
        <v>0</v>
      </c>
      <c r="P35" s="32">
        <v>0</v>
      </c>
      <c r="Q35" s="32">
        <v>16800</v>
      </c>
      <c r="R35" s="32">
        <v>17700</v>
      </c>
      <c r="S35" s="32">
        <v>17700</v>
      </c>
    </row>
    <row r="36" spans="1:19" x14ac:dyDescent="0.3">
      <c r="A36" s="30" t="s">
        <v>36</v>
      </c>
      <c r="B36" s="30" t="s">
        <v>43</v>
      </c>
      <c r="C36" s="30" t="s">
        <v>44</v>
      </c>
      <c r="D36" s="31" t="s">
        <v>20</v>
      </c>
      <c r="E36" s="31">
        <v>18.100000000000001</v>
      </c>
      <c r="F36" s="31" t="s">
        <v>305</v>
      </c>
      <c r="G36" s="31" t="s">
        <v>25</v>
      </c>
      <c r="H36" s="31" t="s">
        <v>40</v>
      </c>
      <c r="I36" s="31">
        <v>45</v>
      </c>
      <c r="J36" s="32">
        <v>0</v>
      </c>
      <c r="K36" s="32">
        <v>0</v>
      </c>
      <c r="L36" s="32">
        <v>1910</v>
      </c>
      <c r="M36" s="32">
        <v>2000</v>
      </c>
      <c r="N36" s="32">
        <v>2000</v>
      </c>
      <c r="O36" s="32">
        <v>0</v>
      </c>
      <c r="P36" s="32">
        <v>0</v>
      </c>
      <c r="Q36" s="32">
        <v>37900</v>
      </c>
      <c r="R36" s="32">
        <v>39800</v>
      </c>
      <c r="S36" s="32">
        <v>39800</v>
      </c>
    </row>
    <row r="37" spans="1:19" ht="15" customHeight="1" x14ac:dyDescent="0.3">
      <c r="A37" s="30" t="s">
        <v>36</v>
      </c>
      <c r="B37" s="30" t="s">
        <v>51</v>
      </c>
      <c r="C37" s="30" t="s">
        <v>364</v>
      </c>
      <c r="D37" s="31" t="s">
        <v>20</v>
      </c>
      <c r="E37" s="31">
        <v>27</v>
      </c>
      <c r="F37" s="31" t="s">
        <v>306</v>
      </c>
      <c r="G37" s="31" t="s">
        <v>39</v>
      </c>
      <c r="H37" s="31" t="s">
        <v>40</v>
      </c>
      <c r="I37" s="31">
        <v>45</v>
      </c>
      <c r="J37" s="32">
        <v>0</v>
      </c>
      <c r="K37" s="32">
        <v>0</v>
      </c>
      <c r="L37" s="32">
        <v>830</v>
      </c>
      <c r="M37" s="32">
        <v>880</v>
      </c>
      <c r="N37" s="32">
        <v>880</v>
      </c>
      <c r="O37" s="32">
        <v>0</v>
      </c>
      <c r="P37" s="32">
        <v>0</v>
      </c>
      <c r="Q37" s="32">
        <v>16800</v>
      </c>
      <c r="R37" s="32">
        <v>17700</v>
      </c>
      <c r="S37" s="32">
        <v>17700</v>
      </c>
    </row>
    <row r="38" spans="1:19" ht="15" customHeight="1" x14ac:dyDescent="0.3">
      <c r="A38" s="30" t="s">
        <v>36</v>
      </c>
      <c r="B38" s="30" t="s">
        <v>51</v>
      </c>
      <c r="C38" s="30" t="s">
        <v>365</v>
      </c>
      <c r="D38" s="31" t="s">
        <v>20</v>
      </c>
      <c r="E38" s="31">
        <v>7083</v>
      </c>
      <c r="F38" s="31" t="s">
        <v>307</v>
      </c>
      <c r="G38" s="31" t="s">
        <v>39</v>
      </c>
      <c r="H38" s="31" t="s">
        <v>40</v>
      </c>
      <c r="I38" s="31">
        <v>35</v>
      </c>
      <c r="J38" s="32">
        <v>0</v>
      </c>
      <c r="K38" s="32">
        <v>0</v>
      </c>
      <c r="L38" s="32">
        <v>370</v>
      </c>
      <c r="M38" s="32">
        <v>750</v>
      </c>
      <c r="N38" s="32">
        <v>800</v>
      </c>
      <c r="O38" s="32">
        <v>0</v>
      </c>
      <c r="P38" s="32">
        <v>0</v>
      </c>
      <c r="Q38" s="32">
        <v>7300</v>
      </c>
      <c r="R38" s="32">
        <v>14800</v>
      </c>
      <c r="S38" s="32">
        <v>15600</v>
      </c>
    </row>
    <row r="39" spans="1:19" ht="15" customHeight="1" x14ac:dyDescent="0.3">
      <c r="A39" s="30" t="s">
        <v>36</v>
      </c>
      <c r="B39" s="30" t="s">
        <v>51</v>
      </c>
      <c r="C39" s="30" t="s">
        <v>363</v>
      </c>
      <c r="D39" s="31" t="s">
        <v>20</v>
      </c>
      <c r="E39" s="31">
        <v>559</v>
      </c>
      <c r="F39" s="31" t="s">
        <v>308</v>
      </c>
      <c r="G39" s="31" t="s">
        <v>25</v>
      </c>
      <c r="H39" s="31" t="s">
        <v>40</v>
      </c>
      <c r="I39" s="31">
        <v>45</v>
      </c>
      <c r="J39" s="32">
        <v>0</v>
      </c>
      <c r="K39" s="32">
        <v>0</v>
      </c>
      <c r="L39" s="32">
        <v>830</v>
      </c>
      <c r="M39" s="32">
        <v>880</v>
      </c>
      <c r="N39" s="32">
        <v>880</v>
      </c>
      <c r="O39" s="32">
        <v>0</v>
      </c>
      <c r="P39" s="32">
        <v>0</v>
      </c>
      <c r="Q39" s="32">
        <v>16800</v>
      </c>
      <c r="R39" s="32">
        <v>17700</v>
      </c>
      <c r="S39" s="32">
        <v>17700</v>
      </c>
    </row>
    <row r="40" spans="1:19" ht="15" customHeight="1" x14ac:dyDescent="0.3">
      <c r="A40" s="30" t="s">
        <v>36</v>
      </c>
      <c r="B40" s="30" t="s">
        <v>51</v>
      </c>
      <c r="C40" s="30" t="s">
        <v>362</v>
      </c>
      <c r="D40" s="31" t="s">
        <v>103</v>
      </c>
      <c r="E40" s="31">
        <v>29</v>
      </c>
      <c r="F40" s="31">
        <v>29</v>
      </c>
      <c r="G40" s="31" t="s">
        <v>39</v>
      </c>
      <c r="H40" s="31" t="s">
        <v>40</v>
      </c>
      <c r="I40" s="31">
        <v>45</v>
      </c>
      <c r="J40" s="32">
        <v>0</v>
      </c>
      <c r="K40" s="32">
        <v>0</v>
      </c>
      <c r="L40" s="32">
        <v>830</v>
      </c>
      <c r="M40" s="32">
        <v>880</v>
      </c>
      <c r="N40" s="32">
        <v>880</v>
      </c>
      <c r="O40" s="32">
        <v>0</v>
      </c>
      <c r="P40" s="32">
        <v>0</v>
      </c>
      <c r="Q40" s="32">
        <v>16800</v>
      </c>
      <c r="R40" s="32">
        <v>17700</v>
      </c>
      <c r="S40" s="32">
        <v>17700</v>
      </c>
    </row>
    <row r="41" spans="1:19" ht="15" customHeight="1" x14ac:dyDescent="0.3">
      <c r="A41" s="30" t="s">
        <v>36</v>
      </c>
      <c r="B41" s="30" t="s">
        <v>51</v>
      </c>
      <c r="C41" s="30" t="s">
        <v>361</v>
      </c>
      <c r="D41" s="31" t="s">
        <v>103</v>
      </c>
      <c r="E41" s="31">
        <v>702</v>
      </c>
      <c r="F41" s="31">
        <v>702</v>
      </c>
      <c r="G41" s="31" t="s">
        <v>39</v>
      </c>
      <c r="H41" s="31" t="s">
        <v>40</v>
      </c>
      <c r="I41" s="31">
        <v>45</v>
      </c>
      <c r="J41" s="32">
        <v>0</v>
      </c>
      <c r="K41" s="32">
        <v>0</v>
      </c>
      <c r="L41" s="32">
        <v>830</v>
      </c>
      <c r="M41" s="32">
        <v>880</v>
      </c>
      <c r="N41" s="32">
        <v>880</v>
      </c>
      <c r="O41" s="32">
        <v>0</v>
      </c>
      <c r="P41" s="32">
        <v>0</v>
      </c>
      <c r="Q41" s="32">
        <v>16800</v>
      </c>
      <c r="R41" s="32">
        <v>17700</v>
      </c>
      <c r="S41" s="32">
        <v>17700</v>
      </c>
    </row>
    <row r="42" spans="1:19" x14ac:dyDescent="0.3">
      <c r="A42" s="30" t="s">
        <v>71</v>
      </c>
      <c r="B42" s="30" t="s">
        <v>123</v>
      </c>
      <c r="C42" s="30" t="s">
        <v>124</v>
      </c>
      <c r="D42" s="31" t="s">
        <v>103</v>
      </c>
      <c r="E42" s="31">
        <v>520</v>
      </c>
      <c r="F42" s="31">
        <v>520</v>
      </c>
      <c r="G42" s="31" t="s">
        <v>39</v>
      </c>
      <c r="H42" s="31" t="s">
        <v>40</v>
      </c>
      <c r="I42" s="31">
        <v>30</v>
      </c>
      <c r="J42" s="32">
        <v>0</v>
      </c>
      <c r="K42" s="32">
        <v>0</v>
      </c>
      <c r="L42" s="32">
        <v>240</v>
      </c>
      <c r="M42" s="32">
        <v>490</v>
      </c>
      <c r="N42" s="32">
        <v>520</v>
      </c>
      <c r="O42" s="32">
        <v>0</v>
      </c>
      <c r="P42" s="32">
        <v>0</v>
      </c>
      <c r="Q42" s="32">
        <v>4700</v>
      </c>
      <c r="R42" s="32">
        <v>9600</v>
      </c>
      <c r="S42" s="32">
        <v>10100</v>
      </c>
    </row>
    <row r="43" spans="1:19" x14ac:dyDescent="0.3">
      <c r="A43" s="30" t="s">
        <v>71</v>
      </c>
      <c r="B43" s="30" t="s">
        <v>125</v>
      </c>
      <c r="C43" s="30" t="s">
        <v>126</v>
      </c>
      <c r="D43" s="31" t="s">
        <v>103</v>
      </c>
      <c r="E43" s="31">
        <v>655</v>
      </c>
      <c r="F43" s="31">
        <v>655</v>
      </c>
      <c r="G43" s="31" t="s">
        <v>39</v>
      </c>
      <c r="H43" s="31" t="s">
        <v>40</v>
      </c>
      <c r="I43" s="31">
        <v>40</v>
      </c>
      <c r="J43" s="32">
        <v>0</v>
      </c>
      <c r="K43" s="32">
        <v>0</v>
      </c>
      <c r="L43" s="32">
        <v>750</v>
      </c>
      <c r="M43" s="32">
        <v>790</v>
      </c>
      <c r="N43" s="32">
        <v>790</v>
      </c>
      <c r="O43" s="32">
        <v>0</v>
      </c>
      <c r="P43" s="32">
        <v>0</v>
      </c>
      <c r="Q43" s="32">
        <v>15100</v>
      </c>
      <c r="R43" s="32">
        <v>15900</v>
      </c>
      <c r="S43" s="32">
        <v>15900</v>
      </c>
    </row>
    <row r="44" spans="1:19" x14ac:dyDescent="0.3">
      <c r="A44" s="30" t="s">
        <v>71</v>
      </c>
      <c r="B44" s="30" t="s">
        <v>134</v>
      </c>
      <c r="C44" s="30" t="s">
        <v>135</v>
      </c>
      <c r="D44" s="31" t="s">
        <v>103</v>
      </c>
      <c r="E44" s="31">
        <v>414</v>
      </c>
      <c r="F44" s="31">
        <v>414</v>
      </c>
      <c r="G44" s="31" t="s">
        <v>39</v>
      </c>
      <c r="H44" s="31" t="s">
        <v>17</v>
      </c>
      <c r="I44" s="31">
        <v>30</v>
      </c>
      <c r="J44" s="32">
        <v>0</v>
      </c>
      <c r="K44" s="32">
        <v>0</v>
      </c>
      <c r="L44" s="32">
        <v>240</v>
      </c>
      <c r="M44" s="32">
        <v>490</v>
      </c>
      <c r="N44" s="32">
        <v>520</v>
      </c>
      <c r="O44" s="32">
        <v>0</v>
      </c>
      <c r="P44" s="32">
        <v>0</v>
      </c>
      <c r="Q44" s="32">
        <v>4700</v>
      </c>
      <c r="R44" s="32">
        <v>9600</v>
      </c>
      <c r="S44" s="32">
        <v>10100</v>
      </c>
    </row>
    <row r="45" spans="1:19" x14ac:dyDescent="0.3">
      <c r="A45" s="30" t="s">
        <v>71</v>
      </c>
      <c r="B45" s="30" t="s">
        <v>136</v>
      </c>
      <c r="C45" s="30" t="s">
        <v>115</v>
      </c>
      <c r="D45" s="31" t="s">
        <v>103</v>
      </c>
      <c r="E45" s="31">
        <v>408</v>
      </c>
      <c r="F45" s="31">
        <v>408</v>
      </c>
      <c r="G45" s="31" t="s">
        <v>39</v>
      </c>
      <c r="H45" s="31" t="s">
        <v>40</v>
      </c>
      <c r="I45" s="31">
        <v>30</v>
      </c>
      <c r="J45" s="32">
        <v>0</v>
      </c>
      <c r="K45" s="32">
        <v>0</v>
      </c>
      <c r="L45" s="32">
        <v>240</v>
      </c>
      <c r="M45" s="32">
        <v>490</v>
      </c>
      <c r="N45" s="32">
        <v>520</v>
      </c>
      <c r="O45" s="32">
        <v>0</v>
      </c>
      <c r="P45" s="32">
        <v>0</v>
      </c>
      <c r="Q45" s="32">
        <v>4700</v>
      </c>
      <c r="R45" s="32">
        <v>9600</v>
      </c>
      <c r="S45" s="32">
        <v>10100</v>
      </c>
    </row>
    <row r="46" spans="1:19" x14ac:dyDescent="0.3">
      <c r="A46" s="30" t="s">
        <v>71</v>
      </c>
      <c r="B46" s="30" t="s">
        <v>137</v>
      </c>
      <c r="C46" s="30" t="s">
        <v>138</v>
      </c>
      <c r="D46" s="31" t="s">
        <v>103</v>
      </c>
      <c r="E46" s="31">
        <v>508</v>
      </c>
      <c r="F46" s="31">
        <v>508</v>
      </c>
      <c r="G46" s="31" t="s">
        <v>39</v>
      </c>
      <c r="H46" s="31" t="s">
        <v>17</v>
      </c>
      <c r="I46" s="31">
        <v>25</v>
      </c>
      <c r="J46" s="32">
        <v>0</v>
      </c>
      <c r="K46" s="32">
        <v>0</v>
      </c>
      <c r="L46" s="32">
        <v>350</v>
      </c>
      <c r="M46" s="32">
        <v>710</v>
      </c>
      <c r="N46" s="32">
        <v>760</v>
      </c>
      <c r="O46" s="32">
        <v>0</v>
      </c>
      <c r="P46" s="32">
        <v>0</v>
      </c>
      <c r="Q46" s="32">
        <v>6900</v>
      </c>
      <c r="R46" s="32">
        <v>13990</v>
      </c>
      <c r="S46" s="32">
        <v>14700</v>
      </c>
    </row>
    <row r="47" spans="1:19" x14ac:dyDescent="0.3">
      <c r="A47" s="30" t="s">
        <v>71</v>
      </c>
      <c r="B47" s="30" t="s">
        <v>137</v>
      </c>
      <c r="C47" s="30" t="s">
        <v>139</v>
      </c>
      <c r="D47" s="31" t="s">
        <v>103</v>
      </c>
      <c r="E47" s="31">
        <v>509</v>
      </c>
      <c r="F47" s="31">
        <v>509</v>
      </c>
      <c r="G47" s="31" t="s">
        <v>39</v>
      </c>
      <c r="H47" s="31" t="s">
        <v>17</v>
      </c>
      <c r="I47" s="31">
        <v>25</v>
      </c>
      <c r="J47" s="32">
        <v>0</v>
      </c>
      <c r="K47" s="32">
        <v>0</v>
      </c>
      <c r="L47" s="32">
        <v>330</v>
      </c>
      <c r="M47" s="32">
        <v>680</v>
      </c>
      <c r="N47" s="32">
        <v>720</v>
      </c>
      <c r="O47" s="32">
        <v>0</v>
      </c>
      <c r="P47" s="32">
        <v>0</v>
      </c>
      <c r="Q47" s="32">
        <v>6600</v>
      </c>
      <c r="R47" s="32">
        <v>13320</v>
      </c>
      <c r="S47" s="32">
        <v>14000</v>
      </c>
    </row>
    <row r="48" spans="1:19" x14ac:dyDescent="0.3">
      <c r="A48" s="30" t="s">
        <v>71</v>
      </c>
      <c r="B48" s="30" t="s">
        <v>137</v>
      </c>
      <c r="C48" s="30" t="s">
        <v>140</v>
      </c>
      <c r="D48" s="31" t="s">
        <v>103</v>
      </c>
      <c r="E48" s="31">
        <v>541</v>
      </c>
      <c r="F48" s="31">
        <v>541</v>
      </c>
      <c r="G48" s="31" t="s">
        <v>39</v>
      </c>
      <c r="H48" s="31" t="s">
        <v>17</v>
      </c>
      <c r="I48" s="31">
        <v>30</v>
      </c>
      <c r="J48" s="32">
        <v>0</v>
      </c>
      <c r="K48" s="32">
        <v>0</v>
      </c>
      <c r="L48" s="32">
        <v>350</v>
      </c>
      <c r="M48" s="32">
        <v>710</v>
      </c>
      <c r="N48" s="32">
        <v>840</v>
      </c>
      <c r="O48" s="32">
        <v>0</v>
      </c>
      <c r="P48" s="32">
        <v>0</v>
      </c>
      <c r="Q48" s="32">
        <v>6900</v>
      </c>
      <c r="R48" s="32">
        <v>14000</v>
      </c>
      <c r="S48" s="32">
        <v>14700</v>
      </c>
    </row>
    <row r="49" spans="1:19" x14ac:dyDescent="0.3">
      <c r="A49" s="30" t="s">
        <v>71</v>
      </c>
      <c r="B49" s="30" t="s">
        <v>141</v>
      </c>
      <c r="C49" s="30" t="s">
        <v>142</v>
      </c>
      <c r="D49" s="31" t="s">
        <v>103</v>
      </c>
      <c r="E49" s="31">
        <v>931</v>
      </c>
      <c r="F49" s="31">
        <v>931</v>
      </c>
      <c r="G49" s="31" t="s">
        <v>39</v>
      </c>
      <c r="H49" s="31" t="s">
        <v>40</v>
      </c>
      <c r="I49" s="31">
        <v>40</v>
      </c>
      <c r="J49" s="32">
        <v>0</v>
      </c>
      <c r="K49" s="32">
        <v>0</v>
      </c>
      <c r="L49" s="32">
        <v>750</v>
      </c>
      <c r="M49" s="32">
        <v>790</v>
      </c>
      <c r="N49" s="32">
        <v>790</v>
      </c>
      <c r="O49" s="32">
        <v>0</v>
      </c>
      <c r="P49" s="32">
        <v>0</v>
      </c>
      <c r="Q49" s="32">
        <v>15100</v>
      </c>
      <c r="R49" s="32">
        <v>15900</v>
      </c>
      <c r="S49" s="32">
        <v>15900</v>
      </c>
    </row>
    <row r="50" spans="1:19" x14ac:dyDescent="0.3">
      <c r="A50" s="30" t="s">
        <v>71</v>
      </c>
      <c r="B50" s="30" t="s">
        <v>143</v>
      </c>
      <c r="C50" s="30" t="s">
        <v>144</v>
      </c>
      <c r="D50" s="31" t="s">
        <v>103</v>
      </c>
      <c r="E50" s="31">
        <v>909</v>
      </c>
      <c r="F50" s="31">
        <v>909</v>
      </c>
      <c r="G50" s="31" t="s">
        <v>39</v>
      </c>
      <c r="H50" s="31" t="s">
        <v>40</v>
      </c>
      <c r="I50" s="31">
        <v>30</v>
      </c>
      <c r="J50" s="32">
        <v>0</v>
      </c>
      <c r="K50" s="32">
        <v>0</v>
      </c>
      <c r="L50" s="32">
        <v>750</v>
      </c>
      <c r="M50" s="32">
        <v>790</v>
      </c>
      <c r="N50" s="32">
        <v>790</v>
      </c>
      <c r="O50" s="32">
        <v>0</v>
      </c>
      <c r="P50" s="32">
        <v>0</v>
      </c>
      <c r="Q50" s="32">
        <v>15100</v>
      </c>
      <c r="R50" s="32">
        <v>15900</v>
      </c>
      <c r="S50" s="32">
        <v>15900</v>
      </c>
    </row>
    <row r="51" spans="1:19" x14ac:dyDescent="0.3">
      <c r="A51" s="30" t="s">
        <v>71</v>
      </c>
      <c r="B51" s="30" t="s">
        <v>143</v>
      </c>
      <c r="C51" s="30" t="s">
        <v>145</v>
      </c>
      <c r="D51" s="31" t="s">
        <v>103</v>
      </c>
      <c r="E51" s="31">
        <v>910</v>
      </c>
      <c r="F51" s="31">
        <v>910</v>
      </c>
      <c r="G51" s="31" t="s">
        <v>39</v>
      </c>
      <c r="H51" s="31" t="s">
        <v>40</v>
      </c>
      <c r="I51" s="31">
        <v>30</v>
      </c>
      <c r="J51" s="32">
        <v>0</v>
      </c>
      <c r="K51" s="32">
        <v>0</v>
      </c>
      <c r="L51" s="32">
        <v>330</v>
      </c>
      <c r="M51" s="32">
        <v>680</v>
      </c>
      <c r="N51" s="32">
        <v>720</v>
      </c>
      <c r="O51" s="32">
        <v>0</v>
      </c>
      <c r="P51" s="32">
        <v>0</v>
      </c>
      <c r="Q51" s="32">
        <v>6600</v>
      </c>
      <c r="R51" s="32">
        <v>13300</v>
      </c>
      <c r="S51" s="32">
        <v>14000</v>
      </c>
    </row>
    <row r="52" spans="1:19" x14ac:dyDescent="0.3">
      <c r="A52" s="30" t="s">
        <v>71</v>
      </c>
      <c r="B52" s="30" t="s">
        <v>146</v>
      </c>
      <c r="C52" s="30" t="s">
        <v>147</v>
      </c>
      <c r="D52" s="31" t="s">
        <v>103</v>
      </c>
      <c r="E52" s="31">
        <v>820</v>
      </c>
      <c r="F52" s="31">
        <v>820</v>
      </c>
      <c r="G52" s="31" t="s">
        <v>39</v>
      </c>
      <c r="H52" s="31" t="s">
        <v>40</v>
      </c>
      <c r="I52" s="31">
        <v>25</v>
      </c>
      <c r="J52" s="32">
        <v>0</v>
      </c>
      <c r="K52" s="32">
        <v>0</v>
      </c>
      <c r="L52" s="32">
        <v>330</v>
      </c>
      <c r="M52" s="32">
        <v>680</v>
      </c>
      <c r="N52" s="32">
        <v>720</v>
      </c>
      <c r="O52" s="32">
        <v>0</v>
      </c>
      <c r="P52" s="32">
        <v>0</v>
      </c>
      <c r="Q52" s="32">
        <v>6600</v>
      </c>
      <c r="R52" s="32">
        <v>13300</v>
      </c>
      <c r="S52" s="32">
        <v>14000</v>
      </c>
    </row>
    <row r="53" spans="1:19" x14ac:dyDescent="0.3">
      <c r="A53" s="30" t="s">
        <v>71</v>
      </c>
      <c r="B53" s="30" t="s">
        <v>148</v>
      </c>
      <c r="C53" s="30" t="s">
        <v>149</v>
      </c>
      <c r="D53" s="31" t="s">
        <v>103</v>
      </c>
      <c r="E53" s="31">
        <v>920</v>
      </c>
      <c r="F53" s="31">
        <v>920</v>
      </c>
      <c r="G53" s="31" t="s">
        <v>39</v>
      </c>
      <c r="H53" s="31" t="s">
        <v>40</v>
      </c>
      <c r="I53" s="31">
        <v>40</v>
      </c>
      <c r="J53" s="32">
        <v>0</v>
      </c>
      <c r="K53" s="32">
        <v>0</v>
      </c>
      <c r="L53" s="32">
        <v>750</v>
      </c>
      <c r="M53" s="32">
        <v>790</v>
      </c>
      <c r="N53" s="32">
        <v>790</v>
      </c>
      <c r="O53" s="32">
        <v>0</v>
      </c>
      <c r="P53" s="32">
        <v>0</v>
      </c>
      <c r="Q53" s="32">
        <v>15100</v>
      </c>
      <c r="R53" s="32">
        <v>15900</v>
      </c>
      <c r="S53" s="32">
        <v>15900</v>
      </c>
    </row>
    <row r="54" spans="1:19" x14ac:dyDescent="0.3">
      <c r="A54" s="30" t="s">
        <v>71</v>
      </c>
      <c r="B54" s="30" t="s">
        <v>150</v>
      </c>
      <c r="C54" s="30" t="s">
        <v>120</v>
      </c>
      <c r="D54" s="31" t="s">
        <v>103</v>
      </c>
      <c r="E54" s="31">
        <v>972</v>
      </c>
      <c r="F54" s="31">
        <v>972</v>
      </c>
      <c r="G54" s="31" t="s">
        <v>39</v>
      </c>
      <c r="H54" s="31" t="s">
        <v>40</v>
      </c>
      <c r="I54" s="31">
        <v>40</v>
      </c>
      <c r="J54" s="32">
        <v>0</v>
      </c>
      <c r="K54" s="32">
        <v>0</v>
      </c>
      <c r="L54" s="32">
        <v>750</v>
      </c>
      <c r="M54" s="32">
        <v>790</v>
      </c>
      <c r="N54" s="32">
        <v>790</v>
      </c>
      <c r="O54" s="32">
        <v>0</v>
      </c>
      <c r="P54" s="32">
        <v>0</v>
      </c>
      <c r="Q54" s="32">
        <v>15100</v>
      </c>
      <c r="R54" s="32">
        <v>15900</v>
      </c>
      <c r="S54" s="32">
        <v>15900</v>
      </c>
    </row>
    <row r="55" spans="1:19" ht="14.4" customHeight="1" x14ac:dyDescent="0.3">
      <c r="A55" s="30" t="s">
        <v>71</v>
      </c>
      <c r="B55" s="30" t="s">
        <v>151</v>
      </c>
      <c r="C55" s="30" t="s">
        <v>152</v>
      </c>
      <c r="D55" s="31" t="s">
        <v>103</v>
      </c>
      <c r="E55" s="31">
        <v>975</v>
      </c>
      <c r="F55" s="31">
        <v>975</v>
      </c>
      <c r="G55" s="31" t="s">
        <v>39</v>
      </c>
      <c r="H55" s="31" t="s">
        <v>40</v>
      </c>
      <c r="I55" s="31">
        <v>40</v>
      </c>
      <c r="J55" s="32">
        <v>0</v>
      </c>
      <c r="K55" s="32">
        <v>0</v>
      </c>
      <c r="L55" s="32">
        <v>750</v>
      </c>
      <c r="M55" s="32">
        <v>790</v>
      </c>
      <c r="N55" s="32">
        <v>790</v>
      </c>
      <c r="O55" s="32">
        <v>0</v>
      </c>
      <c r="P55" s="32">
        <v>0</v>
      </c>
      <c r="Q55" s="32">
        <v>15100</v>
      </c>
      <c r="R55" s="32">
        <v>15900</v>
      </c>
      <c r="S55" s="32">
        <v>15900</v>
      </c>
    </row>
    <row r="56" spans="1:19" x14ac:dyDescent="0.3">
      <c r="A56" s="30" t="s">
        <v>71</v>
      </c>
      <c r="B56" s="30" t="s">
        <v>153</v>
      </c>
      <c r="C56" s="30" t="s">
        <v>154</v>
      </c>
      <c r="D56" s="31" t="s">
        <v>103</v>
      </c>
      <c r="E56" s="31">
        <v>561</v>
      </c>
      <c r="F56" s="31">
        <v>561</v>
      </c>
      <c r="G56" s="31" t="s">
        <v>39</v>
      </c>
      <c r="H56" s="31" t="s">
        <v>17</v>
      </c>
      <c r="I56" s="31">
        <v>30</v>
      </c>
      <c r="J56" s="32">
        <v>0</v>
      </c>
      <c r="K56" s="32">
        <v>0</v>
      </c>
      <c r="L56" s="32">
        <v>330</v>
      </c>
      <c r="M56" s="32">
        <v>680</v>
      </c>
      <c r="N56" s="32">
        <v>720</v>
      </c>
      <c r="O56" s="32">
        <v>0</v>
      </c>
      <c r="P56" s="32">
        <v>0</v>
      </c>
      <c r="Q56" s="32">
        <v>6600</v>
      </c>
      <c r="R56" s="32">
        <v>13300</v>
      </c>
      <c r="S56" s="32">
        <v>14000</v>
      </c>
    </row>
    <row r="57" spans="1:19" x14ac:dyDescent="0.3">
      <c r="A57" s="30" t="s">
        <v>71</v>
      </c>
      <c r="B57" s="30" t="s">
        <v>153</v>
      </c>
      <c r="C57" s="30" t="s">
        <v>122</v>
      </c>
      <c r="D57" s="31" t="s">
        <v>103</v>
      </c>
      <c r="E57" s="31">
        <v>562</v>
      </c>
      <c r="F57" s="31">
        <v>562</v>
      </c>
      <c r="G57" s="31" t="s">
        <v>39</v>
      </c>
      <c r="H57" s="31" t="s">
        <v>17</v>
      </c>
      <c r="I57" s="31">
        <v>30</v>
      </c>
      <c r="J57" s="32">
        <v>0</v>
      </c>
      <c r="K57" s="32">
        <v>0</v>
      </c>
      <c r="L57" s="32">
        <v>330</v>
      </c>
      <c r="M57" s="32">
        <v>680</v>
      </c>
      <c r="N57" s="32">
        <v>720</v>
      </c>
      <c r="O57" s="32">
        <v>0</v>
      </c>
      <c r="P57" s="32">
        <v>0</v>
      </c>
      <c r="Q57" s="32">
        <v>6600</v>
      </c>
      <c r="R57" s="32">
        <v>13300</v>
      </c>
      <c r="S57" s="32">
        <v>14000</v>
      </c>
    </row>
    <row r="58" spans="1:19" x14ac:dyDescent="0.3">
      <c r="A58" s="30" t="s">
        <v>71</v>
      </c>
      <c r="B58" s="30" t="s">
        <v>155</v>
      </c>
      <c r="C58" s="30" t="s">
        <v>156</v>
      </c>
      <c r="D58" s="31" t="s">
        <v>103</v>
      </c>
      <c r="E58" s="31">
        <v>950</v>
      </c>
      <c r="F58" s="31">
        <v>950</v>
      </c>
      <c r="G58" s="31" t="s">
        <v>39</v>
      </c>
      <c r="H58" s="31" t="s">
        <v>40</v>
      </c>
      <c r="I58" s="31">
        <v>35</v>
      </c>
      <c r="J58" s="32">
        <v>0</v>
      </c>
      <c r="K58" s="32">
        <v>0</v>
      </c>
      <c r="L58" s="32">
        <v>750</v>
      </c>
      <c r="M58" s="32">
        <v>790</v>
      </c>
      <c r="N58" s="32">
        <v>790</v>
      </c>
      <c r="O58" s="32">
        <v>0</v>
      </c>
      <c r="P58" s="32">
        <v>0</v>
      </c>
      <c r="Q58" s="32">
        <v>15100</v>
      </c>
      <c r="R58" s="32">
        <v>15900</v>
      </c>
      <c r="S58" s="32">
        <v>15900</v>
      </c>
    </row>
    <row r="59" spans="1:19" x14ac:dyDescent="0.3">
      <c r="A59" s="30" t="s">
        <v>71</v>
      </c>
      <c r="B59" s="30" t="s">
        <v>155</v>
      </c>
      <c r="C59" s="30" t="s">
        <v>157</v>
      </c>
      <c r="D59" s="31" t="s">
        <v>103</v>
      </c>
      <c r="E59" s="31">
        <v>951</v>
      </c>
      <c r="F59" s="31">
        <v>951</v>
      </c>
      <c r="G59" s="31" t="s">
        <v>39</v>
      </c>
      <c r="H59" s="31" t="s">
        <v>40</v>
      </c>
      <c r="I59" s="31">
        <v>35</v>
      </c>
      <c r="J59" s="32">
        <v>0</v>
      </c>
      <c r="K59" s="32">
        <v>0</v>
      </c>
      <c r="L59" s="32">
        <v>750</v>
      </c>
      <c r="M59" s="32">
        <v>790</v>
      </c>
      <c r="N59" s="32">
        <v>790</v>
      </c>
      <c r="O59" s="32">
        <v>0</v>
      </c>
      <c r="P59" s="32">
        <v>0</v>
      </c>
      <c r="Q59" s="32">
        <v>15100</v>
      </c>
      <c r="R59" s="32">
        <v>15900</v>
      </c>
      <c r="S59" s="32">
        <v>15900</v>
      </c>
    </row>
    <row r="60" spans="1:19" x14ac:dyDescent="0.3">
      <c r="A60" s="30" t="s">
        <v>71</v>
      </c>
      <c r="B60" s="30" t="s">
        <v>155</v>
      </c>
      <c r="C60" s="30" t="s">
        <v>158</v>
      </c>
      <c r="D60" s="31" t="s">
        <v>103</v>
      </c>
      <c r="E60" s="31">
        <v>952</v>
      </c>
      <c r="F60" s="31">
        <v>952</v>
      </c>
      <c r="G60" s="31" t="s">
        <v>39</v>
      </c>
      <c r="H60" s="31" t="s">
        <v>40</v>
      </c>
      <c r="I60" s="31">
        <v>35</v>
      </c>
      <c r="J60" s="32">
        <v>0</v>
      </c>
      <c r="K60" s="32">
        <v>0</v>
      </c>
      <c r="L60" s="32">
        <v>750</v>
      </c>
      <c r="M60" s="32">
        <v>790</v>
      </c>
      <c r="N60" s="32">
        <v>790</v>
      </c>
      <c r="O60" s="32">
        <v>0</v>
      </c>
      <c r="P60" s="32">
        <v>0</v>
      </c>
      <c r="Q60" s="32">
        <v>15100</v>
      </c>
      <c r="R60" s="32">
        <v>15900</v>
      </c>
      <c r="S60" s="32">
        <v>15900</v>
      </c>
    </row>
    <row r="61" spans="1:19" x14ac:dyDescent="0.3">
      <c r="A61" s="30" t="s">
        <v>71</v>
      </c>
      <c r="B61" s="30" t="s">
        <v>159</v>
      </c>
      <c r="C61" s="30" t="s">
        <v>160</v>
      </c>
      <c r="D61" s="31" t="s">
        <v>103</v>
      </c>
      <c r="E61" s="31">
        <v>406</v>
      </c>
      <c r="F61" s="31">
        <v>406</v>
      </c>
      <c r="G61" s="31" t="s">
        <v>39</v>
      </c>
      <c r="H61" s="31" t="s">
        <v>40</v>
      </c>
      <c r="I61" s="31">
        <v>25</v>
      </c>
      <c r="J61" s="32">
        <v>0</v>
      </c>
      <c r="K61" s="32">
        <v>0</v>
      </c>
      <c r="L61" s="32">
        <v>330</v>
      </c>
      <c r="M61" s="32">
        <v>680</v>
      </c>
      <c r="N61" s="32">
        <v>720</v>
      </c>
      <c r="O61" s="32">
        <v>0</v>
      </c>
      <c r="P61" s="32">
        <v>0</v>
      </c>
      <c r="Q61" s="32">
        <v>6600</v>
      </c>
      <c r="R61" s="32">
        <v>13300</v>
      </c>
      <c r="S61" s="32">
        <v>14000</v>
      </c>
    </row>
    <row r="62" spans="1:19" x14ac:dyDescent="0.3">
      <c r="A62" s="30" t="s">
        <v>71</v>
      </c>
      <c r="B62" s="30" t="s">
        <v>159</v>
      </c>
      <c r="C62" s="30" t="s">
        <v>115</v>
      </c>
      <c r="D62" s="31" t="s">
        <v>103</v>
      </c>
      <c r="E62" s="31">
        <v>405</v>
      </c>
      <c r="F62" s="31">
        <v>405</v>
      </c>
      <c r="G62" s="31" t="s">
        <v>39</v>
      </c>
      <c r="H62" s="31" t="s">
        <v>40</v>
      </c>
      <c r="I62" s="31">
        <v>25</v>
      </c>
      <c r="J62" s="32">
        <v>0</v>
      </c>
      <c r="K62" s="32">
        <v>0</v>
      </c>
      <c r="L62" s="32">
        <v>330</v>
      </c>
      <c r="M62" s="32">
        <v>680</v>
      </c>
      <c r="N62" s="32">
        <v>720</v>
      </c>
      <c r="O62" s="32">
        <v>0</v>
      </c>
      <c r="P62" s="32">
        <v>0</v>
      </c>
      <c r="Q62" s="32">
        <v>6600</v>
      </c>
      <c r="R62" s="32">
        <v>13300</v>
      </c>
      <c r="S62" s="32">
        <v>14000</v>
      </c>
    </row>
    <row r="63" spans="1:19" x14ac:dyDescent="0.3">
      <c r="A63" s="30" t="s">
        <v>71</v>
      </c>
      <c r="B63" s="30" t="s">
        <v>161</v>
      </c>
      <c r="C63" s="30" t="s">
        <v>162</v>
      </c>
      <c r="D63" s="31" t="s">
        <v>103</v>
      </c>
      <c r="E63" s="31">
        <v>973</v>
      </c>
      <c r="F63" s="31">
        <v>973</v>
      </c>
      <c r="G63" s="31" t="s">
        <v>39</v>
      </c>
      <c r="H63" s="31" t="s">
        <v>40</v>
      </c>
      <c r="I63" s="31">
        <v>30</v>
      </c>
      <c r="J63" s="32">
        <v>0</v>
      </c>
      <c r="K63" s="32">
        <v>0</v>
      </c>
      <c r="L63" s="32">
        <v>330</v>
      </c>
      <c r="M63" s="32">
        <v>680</v>
      </c>
      <c r="N63" s="32">
        <v>720</v>
      </c>
      <c r="O63" s="32">
        <v>0</v>
      </c>
      <c r="P63" s="32">
        <v>0</v>
      </c>
      <c r="Q63" s="32">
        <v>6600</v>
      </c>
      <c r="R63" s="32">
        <v>13300</v>
      </c>
      <c r="S63" s="32">
        <v>14000</v>
      </c>
    </row>
    <row r="64" spans="1:19" x14ac:dyDescent="0.3">
      <c r="A64" s="30" t="s">
        <v>71</v>
      </c>
      <c r="B64" s="30" t="s">
        <v>163</v>
      </c>
      <c r="C64" s="30" t="s">
        <v>164</v>
      </c>
      <c r="D64" s="31" t="s">
        <v>103</v>
      </c>
      <c r="E64" s="31">
        <v>956</v>
      </c>
      <c r="F64" s="31">
        <v>956</v>
      </c>
      <c r="G64" s="31" t="s">
        <v>39</v>
      </c>
      <c r="H64" s="31" t="s">
        <v>40</v>
      </c>
      <c r="I64" s="31">
        <v>35</v>
      </c>
      <c r="J64" s="32">
        <v>0</v>
      </c>
      <c r="K64" s="32">
        <v>0</v>
      </c>
      <c r="L64" s="32">
        <v>330</v>
      </c>
      <c r="M64" s="32">
        <v>680</v>
      </c>
      <c r="N64" s="32">
        <v>720</v>
      </c>
      <c r="O64" s="32">
        <v>0</v>
      </c>
      <c r="P64" s="32">
        <v>0</v>
      </c>
      <c r="Q64" s="32">
        <v>6600</v>
      </c>
      <c r="R64" s="32">
        <v>13300</v>
      </c>
      <c r="S64" s="32">
        <v>14000</v>
      </c>
    </row>
    <row r="65" spans="1:19" x14ac:dyDescent="0.3">
      <c r="A65" s="30" t="s">
        <v>71</v>
      </c>
      <c r="B65" s="30" t="s">
        <v>163</v>
      </c>
      <c r="C65" s="30" t="s">
        <v>165</v>
      </c>
      <c r="D65" s="31" t="s">
        <v>103</v>
      </c>
      <c r="E65" s="31">
        <v>958</v>
      </c>
      <c r="F65" s="31">
        <v>958</v>
      </c>
      <c r="G65" s="31" t="s">
        <v>39</v>
      </c>
      <c r="H65" s="31" t="s">
        <v>40</v>
      </c>
      <c r="I65" s="31">
        <v>35</v>
      </c>
      <c r="J65" s="32">
        <v>0</v>
      </c>
      <c r="K65" s="32">
        <v>0</v>
      </c>
      <c r="L65" s="32">
        <v>330</v>
      </c>
      <c r="M65" s="32">
        <v>680</v>
      </c>
      <c r="N65" s="32">
        <v>720</v>
      </c>
      <c r="O65" s="32">
        <v>0</v>
      </c>
      <c r="P65" s="32">
        <v>0</v>
      </c>
      <c r="Q65" s="32">
        <v>6600</v>
      </c>
      <c r="R65" s="32">
        <v>13300</v>
      </c>
      <c r="S65" s="32">
        <v>14000</v>
      </c>
    </row>
    <row r="66" spans="1:19" x14ac:dyDescent="0.3">
      <c r="A66" s="30" t="s">
        <v>71</v>
      </c>
      <c r="B66" s="30" t="s">
        <v>163</v>
      </c>
      <c r="C66" s="30" t="s">
        <v>166</v>
      </c>
      <c r="D66" s="31" t="s">
        <v>103</v>
      </c>
      <c r="E66" s="31">
        <v>960</v>
      </c>
      <c r="F66" s="31">
        <v>960</v>
      </c>
      <c r="G66" s="31" t="s">
        <v>39</v>
      </c>
      <c r="H66" s="31" t="s">
        <v>40</v>
      </c>
      <c r="I66" s="31">
        <v>35</v>
      </c>
      <c r="J66" s="32">
        <v>0</v>
      </c>
      <c r="K66" s="32">
        <v>0</v>
      </c>
      <c r="L66" s="32">
        <v>330</v>
      </c>
      <c r="M66" s="32">
        <v>680</v>
      </c>
      <c r="N66" s="32">
        <v>720</v>
      </c>
      <c r="O66" s="32">
        <v>0</v>
      </c>
      <c r="P66" s="32">
        <v>0</v>
      </c>
      <c r="Q66" s="32">
        <v>6600</v>
      </c>
      <c r="R66" s="32">
        <v>13300</v>
      </c>
      <c r="S66" s="32">
        <v>14000</v>
      </c>
    </row>
    <row r="67" spans="1:19" x14ac:dyDescent="0.3">
      <c r="A67" s="30" t="s">
        <v>71</v>
      </c>
      <c r="B67" s="30" t="s">
        <v>76</v>
      </c>
      <c r="C67" s="30" t="s">
        <v>78</v>
      </c>
      <c r="D67" s="31" t="s">
        <v>20</v>
      </c>
      <c r="E67" s="31">
        <v>7090</v>
      </c>
      <c r="F67" s="31" t="s">
        <v>309</v>
      </c>
      <c r="G67" s="31" t="s">
        <v>39</v>
      </c>
      <c r="H67" s="31" t="s">
        <v>40</v>
      </c>
      <c r="I67" s="31">
        <v>45</v>
      </c>
      <c r="J67" s="32">
        <v>0</v>
      </c>
      <c r="K67" s="32">
        <v>0</v>
      </c>
      <c r="L67" s="32">
        <v>750</v>
      </c>
      <c r="M67" s="32">
        <v>790</v>
      </c>
      <c r="N67" s="32">
        <v>790</v>
      </c>
      <c r="O67" s="32">
        <v>0</v>
      </c>
      <c r="P67" s="32">
        <v>0</v>
      </c>
      <c r="Q67" s="32">
        <v>15100</v>
      </c>
      <c r="R67" s="32">
        <v>15900</v>
      </c>
      <c r="S67" s="32">
        <v>15900</v>
      </c>
    </row>
    <row r="68" spans="1:19" x14ac:dyDescent="0.3">
      <c r="A68" s="30" t="s">
        <v>71</v>
      </c>
      <c r="B68" s="30" t="s">
        <v>76</v>
      </c>
      <c r="C68" s="30" t="s">
        <v>77</v>
      </c>
      <c r="D68" s="31" t="s">
        <v>20</v>
      </c>
      <c r="E68" s="31">
        <v>930</v>
      </c>
      <c r="F68" s="31" t="s">
        <v>310</v>
      </c>
      <c r="G68" s="31" t="s">
        <v>39</v>
      </c>
      <c r="H68" s="31" t="s">
        <v>40</v>
      </c>
      <c r="I68" s="31">
        <v>45</v>
      </c>
      <c r="J68" s="32">
        <v>0</v>
      </c>
      <c r="K68" s="32">
        <v>0</v>
      </c>
      <c r="L68" s="32">
        <v>750</v>
      </c>
      <c r="M68" s="32">
        <v>790</v>
      </c>
      <c r="N68" s="32">
        <v>790</v>
      </c>
      <c r="O68" s="32">
        <v>0</v>
      </c>
      <c r="P68" s="32">
        <v>0</v>
      </c>
      <c r="Q68" s="32">
        <v>15100</v>
      </c>
      <c r="R68" s="32">
        <v>15900</v>
      </c>
      <c r="S68" s="32">
        <v>15900</v>
      </c>
    </row>
    <row r="69" spans="1:19" x14ac:dyDescent="0.3">
      <c r="A69" s="30" t="s">
        <v>71</v>
      </c>
      <c r="B69" s="30" t="s">
        <v>76</v>
      </c>
      <c r="C69" s="30" t="s">
        <v>167</v>
      </c>
      <c r="D69" s="31" t="s">
        <v>103</v>
      </c>
      <c r="E69" s="31">
        <v>568</v>
      </c>
      <c r="F69" s="31">
        <v>568</v>
      </c>
      <c r="G69" s="31" t="s">
        <v>39</v>
      </c>
      <c r="H69" s="31" t="s">
        <v>40</v>
      </c>
      <c r="I69" s="31">
        <v>45</v>
      </c>
      <c r="J69" s="32">
        <v>0</v>
      </c>
      <c r="K69" s="32">
        <v>0</v>
      </c>
      <c r="L69" s="32">
        <v>750</v>
      </c>
      <c r="M69" s="32">
        <v>790</v>
      </c>
      <c r="N69" s="32">
        <v>790</v>
      </c>
      <c r="O69" s="32">
        <v>0</v>
      </c>
      <c r="P69" s="32">
        <v>0</v>
      </c>
      <c r="Q69" s="32">
        <v>15100</v>
      </c>
      <c r="R69" s="32">
        <v>15900</v>
      </c>
      <c r="S69" s="32">
        <v>15900</v>
      </c>
    </row>
    <row r="70" spans="1:19" x14ac:dyDescent="0.3">
      <c r="A70" s="30" t="s">
        <v>71</v>
      </c>
      <c r="B70" s="30" t="s">
        <v>79</v>
      </c>
      <c r="C70" s="30" t="s">
        <v>81</v>
      </c>
      <c r="D70" s="31" t="s">
        <v>20</v>
      </c>
      <c r="E70" s="31">
        <v>12.1</v>
      </c>
      <c r="F70" s="31" t="s">
        <v>311</v>
      </c>
      <c r="G70" s="31" t="s">
        <v>39</v>
      </c>
      <c r="H70" s="31" t="s">
        <v>40</v>
      </c>
      <c r="I70" s="31">
        <v>40</v>
      </c>
      <c r="J70" s="32">
        <v>0</v>
      </c>
      <c r="K70" s="32">
        <v>580</v>
      </c>
      <c r="L70" s="32">
        <v>890</v>
      </c>
      <c r="M70" s="32">
        <v>1200</v>
      </c>
      <c r="N70" s="32">
        <v>1610</v>
      </c>
      <c r="O70" s="32">
        <v>0</v>
      </c>
      <c r="P70" s="32">
        <v>11700</v>
      </c>
      <c r="Q70" s="32">
        <v>18000</v>
      </c>
      <c r="R70" s="32">
        <v>24200</v>
      </c>
      <c r="S70" s="32">
        <v>32600</v>
      </c>
    </row>
    <row r="71" spans="1:19" x14ac:dyDescent="0.3">
      <c r="A71" s="30" t="s">
        <v>71</v>
      </c>
      <c r="B71" s="30" t="s">
        <v>79</v>
      </c>
      <c r="C71" s="30" t="s">
        <v>80</v>
      </c>
      <c r="D71" s="31" t="s">
        <v>20</v>
      </c>
      <c r="E71" s="31">
        <v>10.1</v>
      </c>
      <c r="F71" s="31" t="s">
        <v>312</v>
      </c>
      <c r="G71" s="31" t="s">
        <v>39</v>
      </c>
      <c r="H71" s="31" t="s">
        <v>40</v>
      </c>
      <c r="I71" s="31">
        <v>55</v>
      </c>
      <c r="J71" s="32">
        <v>0</v>
      </c>
      <c r="K71" s="32">
        <v>580</v>
      </c>
      <c r="L71" s="32">
        <v>890</v>
      </c>
      <c r="M71" s="32">
        <v>1200</v>
      </c>
      <c r="N71" s="32">
        <v>1610</v>
      </c>
      <c r="O71" s="32">
        <v>0</v>
      </c>
      <c r="P71" s="32">
        <v>11700</v>
      </c>
      <c r="Q71" s="32">
        <v>18000</v>
      </c>
      <c r="R71" s="32">
        <v>24200</v>
      </c>
      <c r="S71" s="32">
        <v>32600</v>
      </c>
    </row>
    <row r="72" spans="1:19" x14ac:dyDescent="0.3">
      <c r="A72" s="30" t="s">
        <v>71</v>
      </c>
      <c r="B72" s="30" t="s">
        <v>79</v>
      </c>
      <c r="C72" s="30" t="s">
        <v>168</v>
      </c>
      <c r="D72" s="31" t="s">
        <v>103</v>
      </c>
      <c r="E72" s="31">
        <v>12</v>
      </c>
      <c r="F72" s="31">
        <v>12</v>
      </c>
      <c r="G72" s="31" t="s">
        <v>39</v>
      </c>
      <c r="H72" s="31" t="s">
        <v>40</v>
      </c>
      <c r="I72" s="31">
        <v>40</v>
      </c>
      <c r="J72" s="32">
        <v>0</v>
      </c>
      <c r="K72" s="32">
        <v>580</v>
      </c>
      <c r="L72" s="32">
        <v>890</v>
      </c>
      <c r="M72" s="32">
        <v>1200</v>
      </c>
      <c r="N72" s="32">
        <v>1610</v>
      </c>
      <c r="O72" s="32">
        <v>0</v>
      </c>
      <c r="P72" s="32">
        <v>11700</v>
      </c>
      <c r="Q72" s="32">
        <v>18000</v>
      </c>
      <c r="R72" s="32">
        <v>24200</v>
      </c>
      <c r="S72" s="32">
        <v>32600</v>
      </c>
    </row>
    <row r="73" spans="1:19" x14ac:dyDescent="0.3">
      <c r="A73" s="30" t="s">
        <v>71</v>
      </c>
      <c r="B73" s="30" t="s">
        <v>79</v>
      </c>
      <c r="C73" s="30" t="s">
        <v>169</v>
      </c>
      <c r="D73" s="31" t="s">
        <v>103</v>
      </c>
      <c r="E73" s="31">
        <v>9.1</v>
      </c>
      <c r="F73" s="31">
        <v>9.1</v>
      </c>
      <c r="G73" s="31" t="s">
        <v>39</v>
      </c>
      <c r="H73" s="31" t="s">
        <v>40</v>
      </c>
      <c r="I73" s="31">
        <v>55</v>
      </c>
      <c r="J73" s="32">
        <v>0</v>
      </c>
      <c r="K73" s="32">
        <v>580</v>
      </c>
      <c r="L73" s="32">
        <v>890</v>
      </c>
      <c r="M73" s="32">
        <v>1200</v>
      </c>
      <c r="N73" s="32">
        <v>1610</v>
      </c>
      <c r="O73" s="32">
        <v>0</v>
      </c>
      <c r="P73" s="32">
        <v>11700</v>
      </c>
      <c r="Q73" s="32">
        <v>18000</v>
      </c>
      <c r="R73" s="32">
        <v>24200</v>
      </c>
      <c r="S73" s="32">
        <v>32600</v>
      </c>
    </row>
    <row r="74" spans="1:19" ht="15" customHeight="1" x14ac:dyDescent="0.3">
      <c r="A74" s="30" t="s">
        <v>71</v>
      </c>
      <c r="B74" s="30" t="s">
        <v>79</v>
      </c>
      <c r="C74" s="30" t="s">
        <v>117</v>
      </c>
      <c r="D74" s="31" t="s">
        <v>103</v>
      </c>
      <c r="E74" s="31">
        <v>9</v>
      </c>
      <c r="F74" s="31">
        <v>9</v>
      </c>
      <c r="G74" s="31" t="s">
        <v>39</v>
      </c>
      <c r="H74" s="31" t="s">
        <v>40</v>
      </c>
      <c r="I74" s="31">
        <v>55</v>
      </c>
      <c r="J74" s="32">
        <v>0</v>
      </c>
      <c r="K74" s="32">
        <v>580</v>
      </c>
      <c r="L74" s="32">
        <v>890</v>
      </c>
      <c r="M74" s="32">
        <v>1200</v>
      </c>
      <c r="N74" s="32">
        <v>1610</v>
      </c>
      <c r="O74" s="32">
        <v>0</v>
      </c>
      <c r="P74" s="32">
        <v>11700</v>
      </c>
      <c r="Q74" s="32">
        <v>18000</v>
      </c>
      <c r="R74" s="32">
        <v>24200</v>
      </c>
      <c r="S74" s="32">
        <v>32600</v>
      </c>
    </row>
    <row r="75" spans="1:19" x14ac:dyDescent="0.3">
      <c r="A75" s="30" t="s">
        <v>71</v>
      </c>
      <c r="B75" s="30" t="s">
        <v>170</v>
      </c>
      <c r="C75" s="30" t="s">
        <v>172</v>
      </c>
      <c r="D75" s="31" t="s">
        <v>103</v>
      </c>
      <c r="E75" s="31">
        <v>10.1</v>
      </c>
      <c r="F75" s="31">
        <v>10.1</v>
      </c>
      <c r="G75" s="31" t="s">
        <v>39</v>
      </c>
      <c r="H75" s="31" t="s">
        <v>40</v>
      </c>
      <c r="I75" s="31">
        <v>55</v>
      </c>
      <c r="J75" s="32">
        <v>0</v>
      </c>
      <c r="K75" s="32">
        <v>580</v>
      </c>
      <c r="L75" s="32">
        <v>890</v>
      </c>
      <c r="M75" s="32">
        <v>1200</v>
      </c>
      <c r="N75" s="32">
        <v>1610</v>
      </c>
      <c r="O75" s="32">
        <v>0</v>
      </c>
      <c r="P75" s="32">
        <v>11700</v>
      </c>
      <c r="Q75" s="32">
        <v>18000</v>
      </c>
      <c r="R75" s="32">
        <v>24200</v>
      </c>
      <c r="S75" s="32">
        <v>32600</v>
      </c>
    </row>
    <row r="76" spans="1:19" x14ac:dyDescent="0.3">
      <c r="A76" s="30" t="s">
        <v>71</v>
      </c>
      <c r="B76" s="30" t="s">
        <v>170</v>
      </c>
      <c r="C76" s="30" t="s">
        <v>171</v>
      </c>
      <c r="D76" s="31" t="s">
        <v>103</v>
      </c>
      <c r="E76" s="31">
        <v>9002</v>
      </c>
      <c r="F76" s="31">
        <v>9002</v>
      </c>
      <c r="G76" s="31" t="s">
        <v>39</v>
      </c>
      <c r="H76" s="31" t="s">
        <v>40</v>
      </c>
      <c r="I76" s="31">
        <v>55</v>
      </c>
      <c r="J76" s="32">
        <v>0</v>
      </c>
      <c r="K76" s="32">
        <v>580</v>
      </c>
      <c r="L76" s="32">
        <v>890</v>
      </c>
      <c r="M76" s="32">
        <v>1200</v>
      </c>
      <c r="N76" s="32">
        <v>1610</v>
      </c>
      <c r="O76" s="32">
        <v>0</v>
      </c>
      <c r="P76" s="32">
        <v>11700</v>
      </c>
      <c r="Q76" s="32">
        <v>18000</v>
      </c>
      <c r="R76" s="32">
        <v>24200</v>
      </c>
      <c r="S76" s="32">
        <v>32600</v>
      </c>
    </row>
    <row r="77" spans="1:19" x14ac:dyDescent="0.3">
      <c r="A77" s="30" t="s">
        <v>71</v>
      </c>
      <c r="B77" s="30" t="s">
        <v>173</v>
      </c>
      <c r="C77" s="30" t="s">
        <v>174</v>
      </c>
      <c r="D77" s="31" t="s">
        <v>103</v>
      </c>
      <c r="E77" s="31">
        <v>585</v>
      </c>
      <c r="F77" s="31">
        <v>585</v>
      </c>
      <c r="G77" s="31" t="s">
        <v>39</v>
      </c>
      <c r="H77" s="31" t="s">
        <v>40</v>
      </c>
      <c r="I77" s="31">
        <v>35</v>
      </c>
      <c r="J77" s="32">
        <v>0</v>
      </c>
      <c r="K77" s="32">
        <v>0</v>
      </c>
      <c r="L77" s="32">
        <v>330</v>
      </c>
      <c r="M77" s="32">
        <v>680</v>
      </c>
      <c r="N77" s="32">
        <v>720</v>
      </c>
      <c r="O77" s="32">
        <v>0</v>
      </c>
      <c r="P77" s="32">
        <v>0</v>
      </c>
      <c r="Q77" s="32">
        <v>6600</v>
      </c>
      <c r="R77" s="32">
        <v>13300</v>
      </c>
      <c r="S77" s="32">
        <v>14000</v>
      </c>
    </row>
    <row r="78" spans="1:19" x14ac:dyDescent="0.3">
      <c r="A78" s="30" t="s">
        <v>71</v>
      </c>
      <c r="B78" s="30" t="s">
        <v>175</v>
      </c>
      <c r="C78" s="30" t="s">
        <v>176</v>
      </c>
      <c r="D78" s="31" t="s">
        <v>103</v>
      </c>
      <c r="E78" s="31">
        <v>402</v>
      </c>
      <c r="F78" s="31">
        <v>402</v>
      </c>
      <c r="G78" s="31" t="s">
        <v>39</v>
      </c>
      <c r="H78" s="31" t="s">
        <v>17</v>
      </c>
      <c r="I78" s="31">
        <v>25</v>
      </c>
      <c r="J78" s="32">
        <v>0</v>
      </c>
      <c r="K78" s="32">
        <v>0</v>
      </c>
      <c r="L78" s="32">
        <v>330</v>
      </c>
      <c r="M78" s="32">
        <v>680</v>
      </c>
      <c r="N78" s="32">
        <v>720</v>
      </c>
      <c r="O78" s="32">
        <v>0</v>
      </c>
      <c r="P78" s="32">
        <v>0</v>
      </c>
      <c r="Q78" s="32">
        <v>6600</v>
      </c>
      <c r="R78" s="32">
        <v>13300</v>
      </c>
      <c r="S78" s="32">
        <v>14000</v>
      </c>
    </row>
    <row r="79" spans="1:19" x14ac:dyDescent="0.3">
      <c r="A79" s="30" t="s">
        <v>71</v>
      </c>
      <c r="B79" s="30" t="s">
        <v>175</v>
      </c>
      <c r="C79" s="30" t="s">
        <v>177</v>
      </c>
      <c r="D79" s="31" t="s">
        <v>103</v>
      </c>
      <c r="E79" s="31">
        <v>513</v>
      </c>
      <c r="F79" s="31">
        <v>513</v>
      </c>
      <c r="G79" s="31" t="s">
        <v>39</v>
      </c>
      <c r="H79" s="31" t="s">
        <v>17</v>
      </c>
      <c r="I79" s="31">
        <v>25</v>
      </c>
      <c r="J79" s="32">
        <v>0</v>
      </c>
      <c r="K79" s="32">
        <v>0</v>
      </c>
      <c r="L79" s="32">
        <v>330</v>
      </c>
      <c r="M79" s="32">
        <v>680</v>
      </c>
      <c r="N79" s="32">
        <v>720</v>
      </c>
      <c r="O79" s="32">
        <v>0</v>
      </c>
      <c r="P79" s="32">
        <v>0</v>
      </c>
      <c r="Q79" s="32">
        <v>6600</v>
      </c>
      <c r="R79" s="32">
        <v>13300</v>
      </c>
      <c r="S79" s="32">
        <v>14000</v>
      </c>
    </row>
    <row r="80" spans="1:19" x14ac:dyDescent="0.3">
      <c r="A80" s="30" t="s">
        <v>71</v>
      </c>
      <c r="B80" s="30" t="s">
        <v>175</v>
      </c>
      <c r="C80" s="30" t="s">
        <v>133</v>
      </c>
      <c r="D80" s="31" t="s">
        <v>103</v>
      </c>
      <c r="E80" s="31">
        <v>515</v>
      </c>
      <c r="F80" s="31">
        <v>515</v>
      </c>
      <c r="G80" s="31" t="s">
        <v>39</v>
      </c>
      <c r="H80" s="31" t="s">
        <v>17</v>
      </c>
      <c r="I80" s="31">
        <v>25</v>
      </c>
      <c r="J80" s="32">
        <v>0</v>
      </c>
      <c r="K80" s="32">
        <v>0</v>
      </c>
      <c r="L80" s="32">
        <v>330</v>
      </c>
      <c r="M80" s="32">
        <v>680</v>
      </c>
      <c r="N80" s="32">
        <v>720</v>
      </c>
      <c r="O80" s="32">
        <v>0</v>
      </c>
      <c r="P80" s="32">
        <v>0</v>
      </c>
      <c r="Q80" s="32">
        <v>6600</v>
      </c>
      <c r="R80" s="32">
        <v>13300</v>
      </c>
      <c r="S80" s="32">
        <v>14000</v>
      </c>
    </row>
    <row r="81" spans="1:19" x14ac:dyDescent="0.3">
      <c r="A81" s="30" t="s">
        <v>71</v>
      </c>
      <c r="B81" s="30" t="s">
        <v>178</v>
      </c>
      <c r="C81" s="30" t="s">
        <v>179</v>
      </c>
      <c r="D81" s="31" t="s">
        <v>103</v>
      </c>
      <c r="E81" s="31">
        <v>811</v>
      </c>
      <c r="F81" s="31">
        <v>811</v>
      </c>
      <c r="G81" s="31" t="s">
        <v>39</v>
      </c>
      <c r="H81" s="31" t="s">
        <v>40</v>
      </c>
      <c r="I81" s="31">
        <v>25</v>
      </c>
      <c r="J81" s="32">
        <v>0</v>
      </c>
      <c r="K81" s="32">
        <v>0</v>
      </c>
      <c r="L81" s="32">
        <v>330</v>
      </c>
      <c r="M81" s="32">
        <v>680</v>
      </c>
      <c r="N81" s="32">
        <v>720</v>
      </c>
      <c r="O81" s="32">
        <v>0</v>
      </c>
      <c r="P81" s="32">
        <v>0</v>
      </c>
      <c r="Q81" s="32">
        <v>6600</v>
      </c>
      <c r="R81" s="32">
        <v>13300</v>
      </c>
      <c r="S81" s="32">
        <v>14000</v>
      </c>
    </row>
    <row r="82" spans="1:19" x14ac:dyDescent="0.3">
      <c r="A82" s="30" t="s">
        <v>71</v>
      </c>
      <c r="B82" s="30" t="s">
        <v>180</v>
      </c>
      <c r="C82" s="30" t="s">
        <v>181</v>
      </c>
      <c r="D82" s="31" t="s">
        <v>103</v>
      </c>
      <c r="E82" s="31">
        <v>1015</v>
      </c>
      <c r="F82" s="31">
        <v>1015</v>
      </c>
      <c r="G82" s="31" t="s">
        <v>39</v>
      </c>
      <c r="H82" s="31" t="s">
        <v>40</v>
      </c>
      <c r="I82" s="31">
        <v>25</v>
      </c>
      <c r="J82" s="32">
        <v>0</v>
      </c>
      <c r="K82" s="32">
        <v>0</v>
      </c>
      <c r="L82" s="32">
        <v>330</v>
      </c>
      <c r="M82" s="32">
        <v>680</v>
      </c>
      <c r="N82" s="32">
        <v>720</v>
      </c>
      <c r="O82" s="32">
        <v>0</v>
      </c>
      <c r="P82" s="32">
        <v>0</v>
      </c>
      <c r="Q82" s="32">
        <v>6600</v>
      </c>
      <c r="R82" s="32">
        <v>13300</v>
      </c>
      <c r="S82" s="32">
        <v>14000</v>
      </c>
    </row>
    <row r="83" spans="1:19" x14ac:dyDescent="0.3">
      <c r="A83" s="30" t="s">
        <v>71</v>
      </c>
      <c r="B83" s="30" t="s">
        <v>182</v>
      </c>
      <c r="C83" s="30" t="s">
        <v>183</v>
      </c>
      <c r="D83" s="31" t="s">
        <v>103</v>
      </c>
      <c r="E83" s="31">
        <v>504</v>
      </c>
      <c r="F83" s="31">
        <v>504</v>
      </c>
      <c r="G83" s="31" t="s">
        <v>39</v>
      </c>
      <c r="H83" s="31" t="s">
        <v>17</v>
      </c>
      <c r="I83" s="31">
        <v>25</v>
      </c>
      <c r="J83" s="32">
        <v>0</v>
      </c>
      <c r="K83" s="32">
        <v>0</v>
      </c>
      <c r="L83" s="32">
        <v>330</v>
      </c>
      <c r="M83" s="32">
        <v>680</v>
      </c>
      <c r="N83" s="32">
        <v>720</v>
      </c>
      <c r="O83" s="32">
        <v>0</v>
      </c>
      <c r="P83" s="32">
        <v>0</v>
      </c>
      <c r="Q83" s="32">
        <v>6600</v>
      </c>
      <c r="R83" s="32">
        <v>13300</v>
      </c>
      <c r="S83" s="32">
        <v>14000</v>
      </c>
    </row>
    <row r="84" spans="1:19" x14ac:dyDescent="0.3">
      <c r="A84" s="30" t="s">
        <v>71</v>
      </c>
      <c r="B84" s="30" t="s">
        <v>182</v>
      </c>
      <c r="C84" s="30" t="s">
        <v>184</v>
      </c>
      <c r="D84" s="31" t="s">
        <v>103</v>
      </c>
      <c r="E84" s="31">
        <v>505</v>
      </c>
      <c r="F84" s="31">
        <v>505</v>
      </c>
      <c r="G84" s="31" t="s">
        <v>39</v>
      </c>
      <c r="H84" s="31" t="s">
        <v>17</v>
      </c>
      <c r="I84" s="31">
        <v>25</v>
      </c>
      <c r="J84" s="32">
        <v>0</v>
      </c>
      <c r="K84" s="32">
        <v>0</v>
      </c>
      <c r="L84" s="32">
        <v>330</v>
      </c>
      <c r="M84" s="32">
        <v>680</v>
      </c>
      <c r="N84" s="32">
        <v>720</v>
      </c>
      <c r="O84" s="32">
        <v>0</v>
      </c>
      <c r="P84" s="32">
        <v>0</v>
      </c>
      <c r="Q84" s="32">
        <v>6600</v>
      </c>
      <c r="R84" s="32">
        <v>13300</v>
      </c>
      <c r="S84" s="32">
        <v>14000</v>
      </c>
    </row>
    <row r="85" spans="1:19" x14ac:dyDescent="0.3">
      <c r="A85" s="30" t="s">
        <v>71</v>
      </c>
      <c r="B85" s="30" t="s">
        <v>82</v>
      </c>
      <c r="C85" s="30" t="s">
        <v>84</v>
      </c>
      <c r="D85" s="31" t="s">
        <v>20</v>
      </c>
      <c r="E85" s="31">
        <v>67</v>
      </c>
      <c r="F85" s="31" t="s">
        <v>313</v>
      </c>
      <c r="G85" s="31" t="s">
        <v>39</v>
      </c>
      <c r="H85" s="31" t="s">
        <v>40</v>
      </c>
      <c r="I85" s="31">
        <v>50</v>
      </c>
      <c r="J85" s="32">
        <v>0</v>
      </c>
      <c r="K85" s="32">
        <v>0</v>
      </c>
      <c r="L85" s="32">
        <v>750</v>
      </c>
      <c r="M85" s="32">
        <v>790</v>
      </c>
      <c r="N85" s="32">
        <v>790</v>
      </c>
      <c r="O85" s="32">
        <v>0</v>
      </c>
      <c r="P85" s="32">
        <v>0</v>
      </c>
      <c r="Q85" s="32">
        <v>15100</v>
      </c>
      <c r="R85" s="32">
        <v>15900</v>
      </c>
      <c r="S85" s="32">
        <v>15900</v>
      </c>
    </row>
    <row r="86" spans="1:19" x14ac:dyDescent="0.3">
      <c r="A86" s="30" t="s">
        <v>36</v>
      </c>
      <c r="B86" s="30" t="s">
        <v>82</v>
      </c>
      <c r="C86" s="30" t="s">
        <v>185</v>
      </c>
      <c r="D86" s="31" t="s">
        <v>103</v>
      </c>
      <c r="E86" s="31">
        <v>657</v>
      </c>
      <c r="F86" s="31">
        <v>657</v>
      </c>
      <c r="G86" s="31" t="s">
        <v>39</v>
      </c>
      <c r="H86" s="31" t="s">
        <v>40</v>
      </c>
      <c r="I86" s="31">
        <v>50</v>
      </c>
      <c r="J86" s="32">
        <v>0</v>
      </c>
      <c r="K86" s="32">
        <v>0</v>
      </c>
      <c r="L86" s="32">
        <v>830</v>
      </c>
      <c r="M86" s="32">
        <v>880</v>
      </c>
      <c r="N86" s="32">
        <v>880</v>
      </c>
      <c r="O86" s="32">
        <v>0</v>
      </c>
      <c r="P86" s="32">
        <v>0</v>
      </c>
      <c r="Q86" s="32">
        <v>16800</v>
      </c>
      <c r="R86" s="32">
        <v>17700</v>
      </c>
      <c r="S86" s="32">
        <v>17700</v>
      </c>
    </row>
    <row r="87" spans="1:19" x14ac:dyDescent="0.3">
      <c r="A87" s="30" t="s">
        <v>71</v>
      </c>
      <c r="B87" s="30" t="s">
        <v>82</v>
      </c>
      <c r="C87" s="30" t="s">
        <v>83</v>
      </c>
      <c r="D87" s="31" t="s">
        <v>20</v>
      </c>
      <c r="E87" s="31">
        <v>30</v>
      </c>
      <c r="F87" s="31" t="s">
        <v>314</v>
      </c>
      <c r="G87" s="31" t="s">
        <v>39</v>
      </c>
      <c r="H87" s="31" t="s">
        <v>40</v>
      </c>
      <c r="I87" s="31">
        <v>50</v>
      </c>
      <c r="J87" s="32">
        <v>0</v>
      </c>
      <c r="K87" s="32">
        <v>0</v>
      </c>
      <c r="L87" s="32">
        <v>750</v>
      </c>
      <c r="M87" s="32">
        <v>790</v>
      </c>
      <c r="N87" s="32">
        <v>790</v>
      </c>
      <c r="O87" s="32">
        <v>0</v>
      </c>
      <c r="P87" s="32">
        <v>0</v>
      </c>
      <c r="Q87" s="32">
        <v>15100</v>
      </c>
      <c r="R87" s="32">
        <v>15900</v>
      </c>
      <c r="S87" s="32">
        <v>15900</v>
      </c>
    </row>
    <row r="88" spans="1:19" ht="15" customHeight="1" x14ac:dyDescent="0.3">
      <c r="A88" s="30" t="s">
        <v>71</v>
      </c>
      <c r="B88" s="30" t="s">
        <v>186</v>
      </c>
      <c r="C88" s="30" t="s">
        <v>187</v>
      </c>
      <c r="D88" s="31" t="s">
        <v>103</v>
      </c>
      <c r="E88" s="31">
        <v>801</v>
      </c>
      <c r="F88" s="31">
        <v>801</v>
      </c>
      <c r="G88" s="31" t="s">
        <v>39</v>
      </c>
      <c r="H88" s="31" t="s">
        <v>40</v>
      </c>
      <c r="I88" s="31">
        <v>35</v>
      </c>
      <c r="J88" s="32">
        <v>0</v>
      </c>
      <c r="K88" s="32">
        <v>0</v>
      </c>
      <c r="L88" s="32">
        <v>330</v>
      </c>
      <c r="M88" s="32">
        <v>680</v>
      </c>
      <c r="N88" s="32">
        <v>720</v>
      </c>
      <c r="O88" s="32">
        <v>0</v>
      </c>
      <c r="P88" s="32">
        <v>0</v>
      </c>
      <c r="Q88" s="32">
        <v>6600</v>
      </c>
      <c r="R88" s="32">
        <v>13300</v>
      </c>
      <c r="S88" s="32">
        <v>14000</v>
      </c>
    </row>
    <row r="89" spans="1:19" x14ac:dyDescent="0.3">
      <c r="A89" s="30" t="s">
        <v>71</v>
      </c>
      <c r="B89" s="30" t="s">
        <v>186</v>
      </c>
      <c r="C89" s="30" t="s">
        <v>188</v>
      </c>
      <c r="D89" s="31" t="s">
        <v>103</v>
      </c>
      <c r="E89" s="31">
        <v>506</v>
      </c>
      <c r="F89" s="31">
        <v>506</v>
      </c>
      <c r="G89" s="31" t="s">
        <v>39</v>
      </c>
      <c r="H89" s="31" t="s">
        <v>40</v>
      </c>
      <c r="I89" s="31">
        <v>35</v>
      </c>
      <c r="J89" s="32">
        <v>0</v>
      </c>
      <c r="K89" s="32">
        <v>0</v>
      </c>
      <c r="L89" s="32">
        <v>330</v>
      </c>
      <c r="M89" s="32">
        <v>680</v>
      </c>
      <c r="N89" s="32">
        <v>720</v>
      </c>
      <c r="O89" s="32">
        <v>0</v>
      </c>
      <c r="P89" s="32">
        <v>0</v>
      </c>
      <c r="Q89" s="32">
        <v>6600</v>
      </c>
      <c r="R89" s="32">
        <v>13300</v>
      </c>
      <c r="S89" s="32">
        <v>14000</v>
      </c>
    </row>
    <row r="90" spans="1:19" x14ac:dyDescent="0.3">
      <c r="A90" s="30" t="s">
        <v>71</v>
      </c>
      <c r="B90" s="30" t="s">
        <v>186</v>
      </c>
      <c r="C90" s="30" t="s">
        <v>189</v>
      </c>
      <c r="D90" s="31" t="s">
        <v>103</v>
      </c>
      <c r="E90" s="31">
        <v>583</v>
      </c>
      <c r="F90" s="31">
        <v>583</v>
      </c>
      <c r="G90" s="31" t="s">
        <v>39</v>
      </c>
      <c r="H90" s="31" t="s">
        <v>40</v>
      </c>
      <c r="I90" s="31">
        <v>35</v>
      </c>
      <c r="J90" s="32">
        <v>0</v>
      </c>
      <c r="K90" s="32">
        <v>0</v>
      </c>
      <c r="L90" s="32">
        <v>330</v>
      </c>
      <c r="M90" s="32">
        <v>680</v>
      </c>
      <c r="N90" s="32">
        <v>720</v>
      </c>
      <c r="O90" s="32">
        <v>0</v>
      </c>
      <c r="P90" s="32">
        <v>0</v>
      </c>
      <c r="Q90" s="32">
        <v>6600</v>
      </c>
      <c r="R90" s="32">
        <v>13300</v>
      </c>
      <c r="S90" s="32">
        <v>14000</v>
      </c>
    </row>
    <row r="91" spans="1:19" x14ac:dyDescent="0.3">
      <c r="A91" s="30" t="s">
        <v>71</v>
      </c>
      <c r="B91" s="30" t="s">
        <v>190</v>
      </c>
      <c r="C91" s="30" t="s">
        <v>191</v>
      </c>
      <c r="D91" s="31" t="s">
        <v>103</v>
      </c>
      <c r="E91" s="31">
        <v>526</v>
      </c>
      <c r="F91" s="31">
        <v>526</v>
      </c>
      <c r="G91" s="31" t="s">
        <v>39</v>
      </c>
      <c r="H91" s="31" t="s">
        <v>40</v>
      </c>
      <c r="I91" s="31">
        <v>30</v>
      </c>
      <c r="J91" s="32">
        <v>0</v>
      </c>
      <c r="K91" s="32">
        <v>0</v>
      </c>
      <c r="L91" s="32">
        <v>330</v>
      </c>
      <c r="M91" s="32">
        <v>680</v>
      </c>
      <c r="N91" s="32">
        <v>720</v>
      </c>
      <c r="O91" s="32">
        <v>0</v>
      </c>
      <c r="P91" s="32">
        <v>0</v>
      </c>
      <c r="Q91" s="32">
        <v>6600</v>
      </c>
      <c r="R91" s="32">
        <v>13300</v>
      </c>
      <c r="S91" s="32">
        <v>14000</v>
      </c>
    </row>
    <row r="92" spans="1:19" x14ac:dyDescent="0.3">
      <c r="A92" s="30" t="s">
        <v>71</v>
      </c>
      <c r="B92" s="30" t="s">
        <v>192</v>
      </c>
      <c r="C92" s="30" t="s">
        <v>193</v>
      </c>
      <c r="D92" s="31" t="s">
        <v>103</v>
      </c>
      <c r="E92" s="31">
        <v>413</v>
      </c>
      <c r="F92" s="31">
        <v>413</v>
      </c>
      <c r="G92" s="31" t="s">
        <v>39</v>
      </c>
      <c r="H92" s="31" t="s">
        <v>40</v>
      </c>
      <c r="I92" s="31">
        <v>30</v>
      </c>
      <c r="J92" s="32">
        <v>0</v>
      </c>
      <c r="K92" s="32">
        <v>0</v>
      </c>
      <c r="L92" s="32">
        <v>240</v>
      </c>
      <c r="M92" s="32">
        <v>490</v>
      </c>
      <c r="N92" s="32">
        <v>520</v>
      </c>
      <c r="O92" s="32">
        <v>0</v>
      </c>
      <c r="P92" s="32">
        <v>0</v>
      </c>
      <c r="Q92" s="32">
        <v>4700</v>
      </c>
      <c r="R92" s="32">
        <v>9600</v>
      </c>
      <c r="S92" s="32">
        <v>10100</v>
      </c>
    </row>
    <row r="93" spans="1:19" x14ac:dyDescent="0.3">
      <c r="A93" s="30" t="s">
        <v>71</v>
      </c>
      <c r="B93" s="30" t="s">
        <v>192</v>
      </c>
      <c r="C93" s="30" t="s">
        <v>115</v>
      </c>
      <c r="D93" s="31" t="s">
        <v>103</v>
      </c>
      <c r="E93" s="31">
        <v>412</v>
      </c>
      <c r="F93" s="31">
        <v>412</v>
      </c>
      <c r="G93" s="31" t="s">
        <v>39</v>
      </c>
      <c r="H93" s="31" t="s">
        <v>40</v>
      </c>
      <c r="I93" s="31">
        <v>30</v>
      </c>
      <c r="J93" s="32">
        <v>0</v>
      </c>
      <c r="K93" s="32">
        <v>0</v>
      </c>
      <c r="L93" s="32">
        <v>330</v>
      </c>
      <c r="M93" s="32">
        <v>680</v>
      </c>
      <c r="N93" s="32">
        <v>720</v>
      </c>
      <c r="O93" s="32">
        <v>0</v>
      </c>
      <c r="P93" s="32">
        <v>0</v>
      </c>
      <c r="Q93" s="32">
        <v>6600</v>
      </c>
      <c r="R93" s="32">
        <v>13300</v>
      </c>
      <c r="S93" s="32">
        <v>14000</v>
      </c>
    </row>
    <row r="94" spans="1:19" x14ac:dyDescent="0.3">
      <c r="A94" s="30" t="s">
        <v>71</v>
      </c>
      <c r="B94" s="30" t="s">
        <v>194</v>
      </c>
      <c r="C94" s="30" t="s">
        <v>196</v>
      </c>
      <c r="D94" s="31" t="s">
        <v>103</v>
      </c>
      <c r="E94" s="31">
        <v>569</v>
      </c>
      <c r="F94" s="31">
        <v>569</v>
      </c>
      <c r="G94" s="31" t="s">
        <v>39</v>
      </c>
      <c r="H94" s="31" t="s">
        <v>40</v>
      </c>
      <c r="I94" s="31">
        <v>35</v>
      </c>
      <c r="J94" s="32">
        <v>0</v>
      </c>
      <c r="K94" s="32">
        <v>0</v>
      </c>
      <c r="L94" s="32">
        <v>330</v>
      </c>
      <c r="M94" s="32">
        <v>680</v>
      </c>
      <c r="N94" s="32">
        <v>720</v>
      </c>
      <c r="O94" s="32">
        <v>0</v>
      </c>
      <c r="P94" s="32">
        <v>0</v>
      </c>
      <c r="Q94" s="32">
        <v>6600</v>
      </c>
      <c r="R94" s="32">
        <v>13300</v>
      </c>
      <c r="S94" s="32">
        <v>14000</v>
      </c>
    </row>
    <row r="95" spans="1:19" x14ac:dyDescent="0.3">
      <c r="A95" s="30" t="s">
        <v>71</v>
      </c>
      <c r="B95" s="30" t="s">
        <v>194</v>
      </c>
      <c r="C95" s="30" t="s">
        <v>195</v>
      </c>
      <c r="D95" s="31" t="s">
        <v>103</v>
      </c>
      <c r="E95" s="31">
        <v>560</v>
      </c>
      <c r="F95" s="31">
        <v>560</v>
      </c>
      <c r="G95" s="31" t="s">
        <v>39</v>
      </c>
      <c r="H95" s="31" t="s">
        <v>40</v>
      </c>
      <c r="I95" s="31">
        <v>35</v>
      </c>
      <c r="J95" s="32">
        <v>0</v>
      </c>
      <c r="K95" s="32">
        <v>0</v>
      </c>
      <c r="L95" s="32">
        <v>330</v>
      </c>
      <c r="M95" s="32">
        <v>680</v>
      </c>
      <c r="N95" s="32">
        <v>720</v>
      </c>
      <c r="O95" s="32">
        <v>0</v>
      </c>
      <c r="P95" s="32">
        <v>0</v>
      </c>
      <c r="Q95" s="32">
        <v>6600</v>
      </c>
      <c r="R95" s="32">
        <v>13300</v>
      </c>
      <c r="S95" s="32">
        <v>14000</v>
      </c>
    </row>
    <row r="96" spans="1:19" x14ac:dyDescent="0.3">
      <c r="A96" s="30" t="s">
        <v>71</v>
      </c>
      <c r="B96" s="30" t="s">
        <v>194</v>
      </c>
      <c r="C96" s="30" t="s">
        <v>197</v>
      </c>
      <c r="D96" s="31" t="s">
        <v>103</v>
      </c>
      <c r="E96" s="31">
        <v>555</v>
      </c>
      <c r="F96" s="31">
        <v>555</v>
      </c>
      <c r="G96" s="31" t="s">
        <v>39</v>
      </c>
      <c r="H96" s="31" t="s">
        <v>40</v>
      </c>
      <c r="I96" s="31">
        <v>35</v>
      </c>
      <c r="J96" s="32">
        <v>0</v>
      </c>
      <c r="K96" s="32">
        <v>0</v>
      </c>
      <c r="L96" s="32">
        <v>330</v>
      </c>
      <c r="M96" s="32">
        <v>680</v>
      </c>
      <c r="N96" s="32">
        <v>720</v>
      </c>
      <c r="O96" s="32">
        <v>0</v>
      </c>
      <c r="P96" s="32">
        <v>0</v>
      </c>
      <c r="Q96" s="32">
        <v>6600</v>
      </c>
      <c r="R96" s="32">
        <v>13300</v>
      </c>
      <c r="S96" s="32">
        <v>14000</v>
      </c>
    </row>
    <row r="97" spans="1:19" x14ac:dyDescent="0.3">
      <c r="A97" s="30" t="s">
        <v>71</v>
      </c>
      <c r="B97" s="30" t="s">
        <v>198</v>
      </c>
      <c r="C97" s="30" t="s">
        <v>199</v>
      </c>
      <c r="D97" s="31" t="s">
        <v>103</v>
      </c>
      <c r="E97" s="31">
        <v>584</v>
      </c>
      <c r="F97" s="31">
        <v>584</v>
      </c>
      <c r="G97" s="31" t="s">
        <v>39</v>
      </c>
      <c r="H97" s="31" t="s">
        <v>40</v>
      </c>
      <c r="I97" s="31">
        <v>35</v>
      </c>
      <c r="J97" s="32">
        <v>0</v>
      </c>
      <c r="K97" s="32">
        <v>0</v>
      </c>
      <c r="L97" s="32">
        <v>330</v>
      </c>
      <c r="M97" s="32">
        <v>680</v>
      </c>
      <c r="N97" s="32">
        <v>720</v>
      </c>
      <c r="O97" s="32">
        <v>0</v>
      </c>
      <c r="P97" s="32">
        <v>0</v>
      </c>
      <c r="Q97" s="32">
        <v>6600</v>
      </c>
      <c r="R97" s="32">
        <v>13300</v>
      </c>
      <c r="S97" s="32">
        <v>14000</v>
      </c>
    </row>
    <row r="98" spans="1:19" x14ac:dyDescent="0.3">
      <c r="A98" s="30" t="s">
        <v>71</v>
      </c>
      <c r="B98" s="30" t="s">
        <v>200</v>
      </c>
      <c r="C98" s="30" t="s">
        <v>202</v>
      </c>
      <c r="D98" s="31" t="s">
        <v>103</v>
      </c>
      <c r="E98" s="31">
        <v>519</v>
      </c>
      <c r="F98" s="31">
        <v>519</v>
      </c>
      <c r="G98" s="31" t="s">
        <v>39</v>
      </c>
      <c r="H98" s="31" t="s">
        <v>40</v>
      </c>
      <c r="I98" s="31">
        <v>25</v>
      </c>
      <c r="J98" s="32">
        <v>0</v>
      </c>
      <c r="K98" s="32">
        <v>0</v>
      </c>
      <c r="L98" s="32">
        <v>330</v>
      </c>
      <c r="M98" s="32">
        <v>680</v>
      </c>
      <c r="N98" s="32">
        <v>720</v>
      </c>
      <c r="O98" s="32">
        <v>0</v>
      </c>
      <c r="P98" s="32">
        <v>0</v>
      </c>
      <c r="Q98" s="32">
        <v>6600</v>
      </c>
      <c r="R98" s="32">
        <v>13300</v>
      </c>
      <c r="S98" s="32">
        <v>14000</v>
      </c>
    </row>
    <row r="99" spans="1:19" x14ac:dyDescent="0.3">
      <c r="A99" s="30" t="s">
        <v>71</v>
      </c>
      <c r="B99" s="30" t="s">
        <v>200</v>
      </c>
      <c r="C99" s="30" t="s">
        <v>201</v>
      </c>
      <c r="D99" s="31" t="s">
        <v>103</v>
      </c>
      <c r="E99" s="31">
        <v>830</v>
      </c>
      <c r="F99" s="31">
        <v>830</v>
      </c>
      <c r="G99" s="31" t="s">
        <v>39</v>
      </c>
      <c r="H99" s="31" t="s">
        <v>40</v>
      </c>
      <c r="I99" s="31">
        <v>25</v>
      </c>
      <c r="J99" s="32">
        <v>0</v>
      </c>
      <c r="K99" s="32">
        <v>0</v>
      </c>
      <c r="L99" s="32">
        <v>330</v>
      </c>
      <c r="M99" s="32">
        <v>680</v>
      </c>
      <c r="N99" s="32">
        <v>720</v>
      </c>
      <c r="O99" s="32">
        <v>0</v>
      </c>
      <c r="P99" s="32">
        <v>0</v>
      </c>
      <c r="Q99" s="32">
        <v>6600</v>
      </c>
      <c r="R99" s="32">
        <v>13300</v>
      </c>
      <c r="S99" s="32">
        <v>14000</v>
      </c>
    </row>
    <row r="100" spans="1:19" x14ac:dyDescent="0.3">
      <c r="A100" s="30" t="s">
        <v>71</v>
      </c>
      <c r="B100" s="30" t="s">
        <v>203</v>
      </c>
      <c r="C100" s="30" t="s">
        <v>160</v>
      </c>
      <c r="D100" s="31" t="s">
        <v>103</v>
      </c>
      <c r="E100" s="31">
        <v>407</v>
      </c>
      <c r="F100" s="31">
        <v>407</v>
      </c>
      <c r="G100" s="31" t="s">
        <v>39</v>
      </c>
      <c r="H100" s="31" t="s">
        <v>40</v>
      </c>
      <c r="I100" s="31">
        <v>25</v>
      </c>
      <c r="J100" s="32">
        <v>0</v>
      </c>
      <c r="K100" s="32">
        <v>0</v>
      </c>
      <c r="L100" s="32">
        <v>330</v>
      </c>
      <c r="M100" s="32">
        <v>680</v>
      </c>
      <c r="N100" s="32">
        <v>720</v>
      </c>
      <c r="O100" s="32">
        <v>0</v>
      </c>
      <c r="P100" s="32">
        <v>0</v>
      </c>
      <c r="Q100" s="32">
        <v>6600</v>
      </c>
      <c r="R100" s="32">
        <v>13300</v>
      </c>
      <c r="S100" s="32">
        <v>14000</v>
      </c>
    </row>
    <row r="101" spans="1:19" x14ac:dyDescent="0.3">
      <c r="A101" s="30" t="s">
        <v>71</v>
      </c>
      <c r="B101" s="30" t="s">
        <v>204</v>
      </c>
      <c r="C101" s="30" t="s">
        <v>110</v>
      </c>
      <c r="D101" s="31" t="s">
        <v>103</v>
      </c>
      <c r="E101" s="31">
        <v>603</v>
      </c>
      <c r="F101" s="31">
        <v>603</v>
      </c>
      <c r="G101" s="31" t="s">
        <v>39</v>
      </c>
      <c r="H101" s="31" t="s">
        <v>17</v>
      </c>
      <c r="I101" s="31">
        <v>25</v>
      </c>
      <c r="J101" s="32">
        <v>0</v>
      </c>
      <c r="K101" s="32">
        <v>0</v>
      </c>
      <c r="L101" s="32">
        <v>330</v>
      </c>
      <c r="M101" s="32">
        <v>680</v>
      </c>
      <c r="N101" s="32">
        <v>720</v>
      </c>
      <c r="O101" s="32">
        <v>0</v>
      </c>
      <c r="P101" s="32">
        <v>0</v>
      </c>
      <c r="Q101" s="32">
        <v>6600</v>
      </c>
      <c r="R101" s="32">
        <v>13300</v>
      </c>
      <c r="S101" s="32">
        <v>14000</v>
      </c>
    </row>
    <row r="102" spans="1:19" x14ac:dyDescent="0.3">
      <c r="A102" s="30" t="s">
        <v>71</v>
      </c>
      <c r="B102" s="30" t="s">
        <v>204</v>
      </c>
      <c r="C102" s="30" t="s">
        <v>205</v>
      </c>
      <c r="D102" s="31" t="s">
        <v>103</v>
      </c>
      <c r="E102" s="31">
        <v>604</v>
      </c>
      <c r="F102" s="31">
        <v>604</v>
      </c>
      <c r="G102" s="31" t="s">
        <v>39</v>
      </c>
      <c r="H102" s="31" t="s">
        <v>17</v>
      </c>
      <c r="I102" s="31">
        <v>25</v>
      </c>
      <c r="J102" s="32">
        <v>0</v>
      </c>
      <c r="K102" s="32">
        <v>0</v>
      </c>
      <c r="L102" s="32">
        <v>330</v>
      </c>
      <c r="M102" s="32">
        <v>680</v>
      </c>
      <c r="N102" s="32">
        <v>720</v>
      </c>
      <c r="O102" s="32">
        <v>0</v>
      </c>
      <c r="P102" s="32">
        <v>0</v>
      </c>
      <c r="Q102" s="32">
        <v>6600</v>
      </c>
      <c r="R102" s="32">
        <v>13300</v>
      </c>
      <c r="S102" s="32">
        <v>14000</v>
      </c>
    </row>
    <row r="103" spans="1:19" x14ac:dyDescent="0.3">
      <c r="A103" s="30" t="s">
        <v>71</v>
      </c>
      <c r="B103" s="30" t="s">
        <v>85</v>
      </c>
      <c r="C103" s="30" t="s">
        <v>86</v>
      </c>
      <c r="D103" s="31" t="s">
        <v>20</v>
      </c>
      <c r="E103" s="31">
        <v>17</v>
      </c>
      <c r="F103" s="31" t="s">
        <v>315</v>
      </c>
      <c r="G103" s="31" t="s">
        <v>39</v>
      </c>
      <c r="H103" s="31" t="s">
        <v>40</v>
      </c>
      <c r="I103" s="31">
        <v>45</v>
      </c>
      <c r="J103" s="32">
        <v>0</v>
      </c>
      <c r="K103" s="32">
        <v>0</v>
      </c>
      <c r="L103" s="32">
        <v>750</v>
      </c>
      <c r="M103" s="32">
        <v>790</v>
      </c>
      <c r="N103" s="32">
        <v>790</v>
      </c>
      <c r="O103" s="32">
        <v>0</v>
      </c>
      <c r="P103" s="32">
        <v>0</v>
      </c>
      <c r="Q103" s="32">
        <v>15100</v>
      </c>
      <c r="R103" s="32">
        <v>15900</v>
      </c>
      <c r="S103" s="32">
        <v>15900</v>
      </c>
    </row>
    <row r="104" spans="1:19" x14ac:dyDescent="0.3">
      <c r="A104" s="30" t="s">
        <v>71</v>
      </c>
      <c r="B104" s="30" t="s">
        <v>85</v>
      </c>
      <c r="C104" s="30" t="s">
        <v>206</v>
      </c>
      <c r="D104" s="31" t="s">
        <v>103</v>
      </c>
      <c r="E104" s="31">
        <v>17.100000000000001</v>
      </c>
      <c r="F104" s="31">
        <v>17.100000000000001</v>
      </c>
      <c r="G104" s="31" t="s">
        <v>39</v>
      </c>
      <c r="H104" s="31" t="s">
        <v>40</v>
      </c>
      <c r="I104" s="31">
        <v>45</v>
      </c>
      <c r="J104" s="32">
        <v>0</v>
      </c>
      <c r="K104" s="32">
        <v>0</v>
      </c>
      <c r="L104" s="32">
        <v>750</v>
      </c>
      <c r="M104" s="32">
        <v>790</v>
      </c>
      <c r="N104" s="32">
        <v>790</v>
      </c>
      <c r="O104" s="32">
        <v>0</v>
      </c>
      <c r="P104" s="32">
        <v>0</v>
      </c>
      <c r="Q104" s="32">
        <v>15100</v>
      </c>
      <c r="R104" s="32">
        <v>15900</v>
      </c>
      <c r="S104" s="32">
        <v>15900</v>
      </c>
    </row>
    <row r="105" spans="1:19" x14ac:dyDescent="0.3">
      <c r="A105" s="30" t="s">
        <v>71</v>
      </c>
      <c r="B105" s="30" t="s">
        <v>207</v>
      </c>
      <c r="C105" s="30" t="s">
        <v>208</v>
      </c>
      <c r="D105" s="31" t="s">
        <v>103</v>
      </c>
      <c r="E105" s="31">
        <v>512</v>
      </c>
      <c r="F105" s="31">
        <v>512</v>
      </c>
      <c r="G105" s="31" t="s">
        <v>39</v>
      </c>
      <c r="H105" s="31" t="s">
        <v>17</v>
      </c>
      <c r="I105" s="31">
        <v>25</v>
      </c>
      <c r="J105" s="32">
        <v>0</v>
      </c>
      <c r="K105" s="32">
        <v>0</v>
      </c>
      <c r="L105" s="32">
        <v>330</v>
      </c>
      <c r="M105" s="32">
        <v>680</v>
      </c>
      <c r="N105" s="32">
        <v>720</v>
      </c>
      <c r="O105" s="32">
        <v>0</v>
      </c>
      <c r="P105" s="32">
        <v>0</v>
      </c>
      <c r="Q105" s="32">
        <v>6600</v>
      </c>
      <c r="R105" s="32">
        <v>13300</v>
      </c>
      <c r="S105" s="32">
        <v>14000</v>
      </c>
    </row>
    <row r="106" spans="1:19" x14ac:dyDescent="0.3">
      <c r="A106" s="30" t="s">
        <v>71</v>
      </c>
      <c r="B106" s="30" t="s">
        <v>209</v>
      </c>
      <c r="C106" s="30" t="s">
        <v>210</v>
      </c>
      <c r="D106" s="31" t="s">
        <v>103</v>
      </c>
      <c r="E106" s="31">
        <v>674</v>
      </c>
      <c r="F106" s="31">
        <v>674</v>
      </c>
      <c r="G106" s="31" t="s">
        <v>39</v>
      </c>
      <c r="H106" s="31" t="s">
        <v>40</v>
      </c>
      <c r="I106" s="31">
        <v>35</v>
      </c>
      <c r="J106" s="32">
        <v>0</v>
      </c>
      <c r="K106" s="32">
        <v>0</v>
      </c>
      <c r="L106" s="32">
        <v>330</v>
      </c>
      <c r="M106" s="32">
        <v>680</v>
      </c>
      <c r="N106" s="32">
        <v>720</v>
      </c>
      <c r="O106" s="32">
        <v>0</v>
      </c>
      <c r="P106" s="32">
        <v>0</v>
      </c>
      <c r="Q106" s="32">
        <v>6600</v>
      </c>
      <c r="R106" s="32">
        <v>13300</v>
      </c>
      <c r="S106" s="32">
        <v>14000</v>
      </c>
    </row>
    <row r="107" spans="1:19" x14ac:dyDescent="0.3">
      <c r="A107" s="30" t="s">
        <v>71</v>
      </c>
      <c r="B107" s="30" t="s">
        <v>209</v>
      </c>
      <c r="C107" s="30" t="s">
        <v>28</v>
      </c>
      <c r="D107" s="31" t="s">
        <v>103</v>
      </c>
      <c r="E107" s="31">
        <v>510</v>
      </c>
      <c r="F107" s="31">
        <v>510</v>
      </c>
      <c r="G107" s="31" t="s">
        <v>39</v>
      </c>
      <c r="H107" s="31" t="s">
        <v>40</v>
      </c>
      <c r="I107" s="31">
        <v>35</v>
      </c>
      <c r="J107" s="32">
        <v>0</v>
      </c>
      <c r="K107" s="32">
        <v>0</v>
      </c>
      <c r="L107" s="32">
        <v>330</v>
      </c>
      <c r="M107" s="32">
        <v>680</v>
      </c>
      <c r="N107" s="32">
        <v>720</v>
      </c>
      <c r="O107" s="32">
        <v>0</v>
      </c>
      <c r="P107" s="32">
        <v>0</v>
      </c>
      <c r="Q107" s="32">
        <v>6600</v>
      </c>
      <c r="R107" s="32">
        <v>13300</v>
      </c>
      <c r="S107" s="32">
        <v>14000</v>
      </c>
    </row>
    <row r="108" spans="1:19" x14ac:dyDescent="0.3">
      <c r="A108" s="30" t="s">
        <v>71</v>
      </c>
      <c r="B108" s="30" t="s">
        <v>209</v>
      </c>
      <c r="C108" s="30" t="s">
        <v>183</v>
      </c>
      <c r="D108" s="31" t="s">
        <v>103</v>
      </c>
      <c r="E108" s="31">
        <v>511</v>
      </c>
      <c r="F108" s="31">
        <v>511</v>
      </c>
      <c r="G108" s="31" t="s">
        <v>39</v>
      </c>
      <c r="H108" s="31" t="s">
        <v>40</v>
      </c>
      <c r="I108" s="31">
        <v>35</v>
      </c>
      <c r="J108" s="32">
        <v>0</v>
      </c>
      <c r="K108" s="32">
        <v>0</v>
      </c>
      <c r="L108" s="32">
        <v>330</v>
      </c>
      <c r="M108" s="32">
        <v>680</v>
      </c>
      <c r="N108" s="32">
        <v>720</v>
      </c>
      <c r="O108" s="32">
        <v>0</v>
      </c>
      <c r="P108" s="32">
        <v>0</v>
      </c>
      <c r="Q108" s="32">
        <v>6600</v>
      </c>
      <c r="R108" s="32">
        <v>13300</v>
      </c>
      <c r="S108" s="32">
        <v>14000</v>
      </c>
    </row>
    <row r="109" spans="1:19" x14ac:dyDescent="0.3">
      <c r="A109" s="30" t="s">
        <v>71</v>
      </c>
      <c r="B109" s="30" t="s">
        <v>209</v>
      </c>
      <c r="C109" s="30" t="s">
        <v>211</v>
      </c>
      <c r="D109" s="31" t="s">
        <v>103</v>
      </c>
      <c r="E109" s="31">
        <v>514</v>
      </c>
      <c r="F109" s="31">
        <v>514</v>
      </c>
      <c r="G109" s="31" t="s">
        <v>39</v>
      </c>
      <c r="H109" s="31" t="s">
        <v>40</v>
      </c>
      <c r="I109" s="31">
        <v>25</v>
      </c>
      <c r="J109" s="32">
        <v>0</v>
      </c>
      <c r="K109" s="32">
        <v>0</v>
      </c>
      <c r="L109" s="32">
        <v>330</v>
      </c>
      <c r="M109" s="32">
        <v>680</v>
      </c>
      <c r="N109" s="32">
        <v>720</v>
      </c>
      <c r="O109" s="32">
        <v>0</v>
      </c>
      <c r="P109" s="32">
        <v>0</v>
      </c>
      <c r="Q109" s="32">
        <v>6600</v>
      </c>
      <c r="R109" s="32">
        <v>13300</v>
      </c>
      <c r="S109" s="32">
        <v>14000</v>
      </c>
    </row>
    <row r="110" spans="1:19" x14ac:dyDescent="0.3">
      <c r="A110" s="30" t="s">
        <v>71</v>
      </c>
      <c r="B110" s="30" t="s">
        <v>209</v>
      </c>
      <c r="C110" s="30" t="s">
        <v>212</v>
      </c>
      <c r="D110" s="31" t="s">
        <v>103</v>
      </c>
      <c r="E110" s="31">
        <v>518</v>
      </c>
      <c r="F110" s="31">
        <v>518</v>
      </c>
      <c r="G110" s="31" t="s">
        <v>39</v>
      </c>
      <c r="H110" s="31" t="s">
        <v>40</v>
      </c>
      <c r="I110" s="31">
        <v>25</v>
      </c>
      <c r="J110" s="32">
        <v>0</v>
      </c>
      <c r="K110" s="32">
        <v>0</v>
      </c>
      <c r="L110" s="32">
        <v>330</v>
      </c>
      <c r="M110" s="32">
        <v>680</v>
      </c>
      <c r="N110" s="32">
        <v>720</v>
      </c>
      <c r="O110" s="32">
        <v>0</v>
      </c>
      <c r="P110" s="32">
        <v>0</v>
      </c>
      <c r="Q110" s="32">
        <v>6600</v>
      </c>
      <c r="R110" s="32">
        <v>13300</v>
      </c>
      <c r="S110" s="32">
        <v>14000</v>
      </c>
    </row>
    <row r="111" spans="1:19" x14ac:dyDescent="0.3">
      <c r="A111" s="30" t="s">
        <v>71</v>
      </c>
      <c r="B111" s="30" t="s">
        <v>209</v>
      </c>
      <c r="C111" s="30" t="s">
        <v>213</v>
      </c>
      <c r="D111" s="31" t="s">
        <v>103</v>
      </c>
      <c r="E111" s="31">
        <v>582</v>
      </c>
      <c r="F111" s="31">
        <v>582</v>
      </c>
      <c r="G111" s="31" t="s">
        <v>39</v>
      </c>
      <c r="H111" s="31" t="s">
        <v>40</v>
      </c>
      <c r="I111" s="31">
        <v>35</v>
      </c>
      <c r="J111" s="32">
        <v>0</v>
      </c>
      <c r="K111" s="32">
        <v>0</v>
      </c>
      <c r="L111" s="32">
        <v>330</v>
      </c>
      <c r="M111" s="32">
        <v>680</v>
      </c>
      <c r="N111" s="32">
        <v>720</v>
      </c>
      <c r="O111" s="32">
        <v>0</v>
      </c>
      <c r="P111" s="32">
        <v>0</v>
      </c>
      <c r="Q111" s="32">
        <v>6600</v>
      </c>
      <c r="R111" s="32">
        <v>13300</v>
      </c>
      <c r="S111" s="32">
        <v>14000</v>
      </c>
    </row>
    <row r="112" spans="1:19" x14ac:dyDescent="0.3">
      <c r="A112" s="30" t="s">
        <v>71</v>
      </c>
      <c r="B112" s="30" t="s">
        <v>214</v>
      </c>
      <c r="C112" s="30" t="s">
        <v>215</v>
      </c>
      <c r="D112" s="31" t="s">
        <v>103</v>
      </c>
      <c r="E112" s="31">
        <v>817</v>
      </c>
      <c r="F112" s="31">
        <v>817</v>
      </c>
      <c r="G112" s="31" t="s">
        <v>39</v>
      </c>
      <c r="H112" s="31" t="s">
        <v>40</v>
      </c>
      <c r="I112" s="31">
        <v>30</v>
      </c>
      <c r="J112" s="32">
        <v>0</v>
      </c>
      <c r="K112" s="32">
        <v>0</v>
      </c>
      <c r="L112" s="32">
        <v>330</v>
      </c>
      <c r="M112" s="32">
        <v>680</v>
      </c>
      <c r="N112" s="32">
        <v>720</v>
      </c>
      <c r="O112" s="32">
        <v>0</v>
      </c>
      <c r="P112" s="32">
        <v>0</v>
      </c>
      <c r="Q112" s="32">
        <v>6600</v>
      </c>
      <c r="R112" s="32">
        <v>13300</v>
      </c>
      <c r="S112" s="32">
        <v>14000</v>
      </c>
    </row>
    <row r="113" spans="1:19" x14ac:dyDescent="0.3">
      <c r="A113" s="30" t="s">
        <v>71</v>
      </c>
      <c r="B113" s="30" t="s">
        <v>214</v>
      </c>
      <c r="C113" s="30" t="s">
        <v>216</v>
      </c>
      <c r="D113" s="31" t="s">
        <v>103</v>
      </c>
      <c r="E113" s="31">
        <v>901</v>
      </c>
      <c r="F113" s="31">
        <v>901</v>
      </c>
      <c r="G113" s="31" t="s">
        <v>39</v>
      </c>
      <c r="H113" s="31" t="s">
        <v>40</v>
      </c>
      <c r="I113" s="31">
        <v>30</v>
      </c>
      <c r="J113" s="32">
        <v>0</v>
      </c>
      <c r="K113" s="32">
        <v>0</v>
      </c>
      <c r="L113" s="32">
        <v>330</v>
      </c>
      <c r="M113" s="32">
        <v>680</v>
      </c>
      <c r="N113" s="32">
        <v>720</v>
      </c>
      <c r="O113" s="32">
        <v>0</v>
      </c>
      <c r="P113" s="32">
        <v>0</v>
      </c>
      <c r="Q113" s="32">
        <v>6600</v>
      </c>
      <c r="R113" s="32">
        <v>13300</v>
      </c>
      <c r="S113" s="32">
        <v>14000</v>
      </c>
    </row>
    <row r="114" spans="1:19" x14ac:dyDescent="0.3">
      <c r="A114" s="30" t="s">
        <v>71</v>
      </c>
      <c r="B114" s="30" t="s">
        <v>217</v>
      </c>
      <c r="C114" s="30" t="s">
        <v>218</v>
      </c>
      <c r="D114" s="31" t="s">
        <v>103</v>
      </c>
      <c r="E114" s="31">
        <v>672</v>
      </c>
      <c r="F114" s="31">
        <v>672</v>
      </c>
      <c r="G114" s="31" t="s">
        <v>39</v>
      </c>
      <c r="H114" s="31" t="s">
        <v>40</v>
      </c>
      <c r="I114" s="31">
        <v>45</v>
      </c>
      <c r="J114" s="32">
        <v>0</v>
      </c>
      <c r="K114" s="32">
        <v>0</v>
      </c>
      <c r="L114" s="32">
        <v>750</v>
      </c>
      <c r="M114" s="32">
        <v>790</v>
      </c>
      <c r="N114" s="32">
        <v>790</v>
      </c>
      <c r="O114" s="32">
        <v>0</v>
      </c>
      <c r="P114" s="32">
        <v>0</v>
      </c>
      <c r="Q114" s="32">
        <v>15100</v>
      </c>
      <c r="R114" s="32">
        <v>15900</v>
      </c>
      <c r="S114" s="32">
        <v>15900</v>
      </c>
    </row>
    <row r="115" spans="1:19" x14ac:dyDescent="0.3">
      <c r="A115" s="30" t="s">
        <v>71</v>
      </c>
      <c r="B115" s="30" t="s">
        <v>219</v>
      </c>
      <c r="C115" s="30" t="s">
        <v>220</v>
      </c>
      <c r="D115" s="31" t="s">
        <v>103</v>
      </c>
      <c r="E115" s="31">
        <v>586</v>
      </c>
      <c r="F115" s="31">
        <v>586</v>
      </c>
      <c r="G115" s="31" t="s">
        <v>39</v>
      </c>
      <c r="H115" s="31" t="s">
        <v>40</v>
      </c>
      <c r="I115" s="31">
        <v>35</v>
      </c>
      <c r="J115" s="32">
        <v>0</v>
      </c>
      <c r="K115" s="32">
        <v>0</v>
      </c>
      <c r="L115" s="32">
        <v>330</v>
      </c>
      <c r="M115" s="32">
        <v>680</v>
      </c>
      <c r="N115" s="32">
        <v>720</v>
      </c>
      <c r="O115" s="32">
        <v>0</v>
      </c>
      <c r="P115" s="32">
        <v>0</v>
      </c>
      <c r="Q115" s="32">
        <v>6600</v>
      </c>
      <c r="R115" s="32">
        <v>13300</v>
      </c>
      <c r="S115" s="32">
        <v>14000</v>
      </c>
    </row>
    <row r="116" spans="1:19" x14ac:dyDescent="0.3">
      <c r="A116" s="30" t="s">
        <v>36</v>
      </c>
      <c r="B116" s="30" t="s">
        <v>52</v>
      </c>
      <c r="C116" s="30" t="s">
        <v>54</v>
      </c>
      <c r="D116" s="31" t="s">
        <v>20</v>
      </c>
      <c r="E116" s="31">
        <v>11</v>
      </c>
      <c r="F116" s="31" t="s">
        <v>316</v>
      </c>
      <c r="G116" s="31" t="s">
        <v>39</v>
      </c>
      <c r="H116" s="31" t="s">
        <v>40</v>
      </c>
      <c r="I116" s="31">
        <v>55</v>
      </c>
      <c r="J116" s="32">
        <v>0</v>
      </c>
      <c r="K116" s="32">
        <v>0</v>
      </c>
      <c r="L116" s="32">
        <v>830</v>
      </c>
      <c r="M116" s="32">
        <v>880</v>
      </c>
      <c r="N116" s="32">
        <v>880</v>
      </c>
      <c r="O116" s="32">
        <v>0</v>
      </c>
      <c r="P116" s="32">
        <v>0</v>
      </c>
      <c r="Q116" s="32">
        <v>16800</v>
      </c>
      <c r="R116" s="32">
        <v>17700</v>
      </c>
      <c r="S116" s="32">
        <v>17700</v>
      </c>
    </row>
    <row r="117" spans="1:19" x14ac:dyDescent="0.3">
      <c r="A117" s="30" t="s">
        <v>36</v>
      </c>
      <c r="B117" s="30" t="s">
        <v>52</v>
      </c>
      <c r="C117" s="30" t="s">
        <v>53</v>
      </c>
      <c r="D117" s="31" t="s">
        <v>20</v>
      </c>
      <c r="E117" s="31">
        <v>14</v>
      </c>
      <c r="F117" s="31" t="s">
        <v>318</v>
      </c>
      <c r="G117" s="31" t="s">
        <v>39</v>
      </c>
      <c r="H117" s="31" t="s">
        <v>40</v>
      </c>
      <c r="I117" s="31">
        <v>55</v>
      </c>
      <c r="J117" s="32">
        <v>0</v>
      </c>
      <c r="K117" s="32">
        <v>580</v>
      </c>
      <c r="L117" s="32">
        <v>890</v>
      </c>
      <c r="M117" s="32">
        <v>1200</v>
      </c>
      <c r="N117" s="32">
        <v>1610</v>
      </c>
      <c r="O117" s="32">
        <v>0</v>
      </c>
      <c r="P117" s="32">
        <v>11700</v>
      </c>
      <c r="Q117" s="32">
        <v>18000</v>
      </c>
      <c r="R117" s="32">
        <v>24200</v>
      </c>
      <c r="S117" s="32">
        <v>32600</v>
      </c>
    </row>
    <row r="118" spans="1:19" x14ac:dyDescent="0.3">
      <c r="A118" s="30" t="s">
        <v>36</v>
      </c>
      <c r="B118" s="30" t="s">
        <v>52</v>
      </c>
      <c r="C118" s="30" t="s">
        <v>221</v>
      </c>
      <c r="D118" s="31" t="s">
        <v>103</v>
      </c>
      <c r="E118" s="31">
        <v>542</v>
      </c>
      <c r="F118" s="31">
        <v>542</v>
      </c>
      <c r="G118" s="31" t="s">
        <v>39</v>
      </c>
      <c r="H118" s="31" t="s">
        <v>40</v>
      </c>
      <c r="I118" s="31">
        <v>45</v>
      </c>
      <c r="J118" s="32">
        <v>0</v>
      </c>
      <c r="K118" s="32">
        <v>0</v>
      </c>
      <c r="L118" s="32">
        <v>890</v>
      </c>
      <c r="M118" s="32">
        <v>950</v>
      </c>
      <c r="N118" s="32">
        <v>950</v>
      </c>
      <c r="O118" s="32">
        <v>0</v>
      </c>
      <c r="P118" s="32">
        <v>0</v>
      </c>
      <c r="Q118" s="32">
        <v>18100</v>
      </c>
      <c r="R118" s="32">
        <v>19000</v>
      </c>
      <c r="S118" s="32">
        <v>19000</v>
      </c>
    </row>
    <row r="119" spans="1:19" x14ac:dyDescent="0.3">
      <c r="A119" s="30" t="s">
        <v>36</v>
      </c>
      <c r="B119" s="30" t="s">
        <v>52</v>
      </c>
      <c r="C119" s="30" t="s">
        <v>222</v>
      </c>
      <c r="D119" s="31" t="s">
        <v>103</v>
      </c>
      <c r="E119" s="31">
        <v>543</v>
      </c>
      <c r="F119" s="31">
        <v>543</v>
      </c>
      <c r="G119" s="31" t="s">
        <v>39</v>
      </c>
      <c r="H119" s="31" t="s">
        <v>40</v>
      </c>
      <c r="I119" s="31">
        <v>45</v>
      </c>
      <c r="J119" s="32">
        <v>0</v>
      </c>
      <c r="K119" s="32">
        <v>0</v>
      </c>
      <c r="L119" s="32">
        <v>830</v>
      </c>
      <c r="M119" s="32">
        <v>880</v>
      </c>
      <c r="N119" s="32">
        <v>880</v>
      </c>
      <c r="O119" s="32">
        <v>0</v>
      </c>
      <c r="P119" s="32">
        <v>0</v>
      </c>
      <c r="Q119" s="32">
        <v>16800</v>
      </c>
      <c r="R119" s="32">
        <v>17700</v>
      </c>
      <c r="S119" s="32">
        <v>17700</v>
      </c>
    </row>
    <row r="120" spans="1:19" x14ac:dyDescent="0.3">
      <c r="A120" s="30" t="s">
        <v>36</v>
      </c>
      <c r="B120" s="30" t="s">
        <v>52</v>
      </c>
      <c r="C120" s="30" t="s">
        <v>223</v>
      </c>
      <c r="D120" s="31" t="s">
        <v>103</v>
      </c>
      <c r="E120" s="31">
        <v>544</v>
      </c>
      <c r="F120" s="31">
        <v>544</v>
      </c>
      <c r="G120" s="31" t="s">
        <v>39</v>
      </c>
      <c r="H120" s="31" t="s">
        <v>40</v>
      </c>
      <c r="I120" s="31">
        <v>55</v>
      </c>
      <c r="J120" s="32">
        <v>0</v>
      </c>
      <c r="K120" s="32">
        <v>0</v>
      </c>
      <c r="L120" s="32">
        <v>890</v>
      </c>
      <c r="M120" s="32">
        <v>950</v>
      </c>
      <c r="N120" s="32">
        <v>950</v>
      </c>
      <c r="O120" s="32">
        <v>0</v>
      </c>
      <c r="P120" s="32">
        <v>0</v>
      </c>
      <c r="Q120" s="32">
        <v>18100</v>
      </c>
      <c r="R120" s="32">
        <v>19000</v>
      </c>
      <c r="S120" s="32">
        <v>19000</v>
      </c>
    </row>
    <row r="121" spans="1:19" x14ac:dyDescent="0.3">
      <c r="A121" s="30" t="s">
        <v>36</v>
      </c>
      <c r="B121" s="30" t="s">
        <v>52</v>
      </c>
      <c r="C121" s="30" t="s">
        <v>55</v>
      </c>
      <c r="D121" s="31" t="s">
        <v>20</v>
      </c>
      <c r="E121" s="31">
        <v>10</v>
      </c>
      <c r="F121" s="31" t="s">
        <v>319</v>
      </c>
      <c r="G121" s="31" t="s">
        <v>39</v>
      </c>
      <c r="H121" s="31" t="s">
        <v>40</v>
      </c>
      <c r="I121" s="31">
        <v>55</v>
      </c>
      <c r="J121" s="32">
        <v>0</v>
      </c>
      <c r="K121" s="32">
        <v>0</v>
      </c>
      <c r="L121" s="32">
        <v>870</v>
      </c>
      <c r="M121" s="32">
        <v>920</v>
      </c>
      <c r="N121" s="32">
        <v>920</v>
      </c>
      <c r="O121" s="32">
        <v>0</v>
      </c>
      <c r="P121" s="32">
        <v>0</v>
      </c>
      <c r="Q121" s="32">
        <v>16800</v>
      </c>
      <c r="R121" s="32">
        <v>17700</v>
      </c>
      <c r="S121" s="32">
        <v>17700</v>
      </c>
    </row>
    <row r="122" spans="1:19" ht="15" customHeight="1" x14ac:dyDescent="0.3">
      <c r="A122" s="30" t="s">
        <v>71</v>
      </c>
      <c r="B122" s="30" t="s">
        <v>87</v>
      </c>
      <c r="C122" s="30" t="s">
        <v>89</v>
      </c>
      <c r="D122" s="31" t="s">
        <v>20</v>
      </c>
      <c r="E122" s="31">
        <v>8115</v>
      </c>
      <c r="F122" s="31" t="s">
        <v>317</v>
      </c>
      <c r="G122" s="31" t="s">
        <v>39</v>
      </c>
      <c r="H122" s="31" t="s">
        <v>40</v>
      </c>
      <c r="I122" s="31">
        <v>45</v>
      </c>
      <c r="J122" s="32">
        <v>0</v>
      </c>
      <c r="K122" s="32">
        <v>0</v>
      </c>
      <c r="L122" s="32">
        <v>750</v>
      </c>
      <c r="M122" s="32">
        <v>790</v>
      </c>
      <c r="N122" s="32">
        <v>790</v>
      </c>
      <c r="O122" s="32">
        <v>0</v>
      </c>
      <c r="P122" s="32">
        <v>0</v>
      </c>
      <c r="Q122" s="32">
        <v>15100</v>
      </c>
      <c r="R122" s="32">
        <v>15900</v>
      </c>
      <c r="S122" s="32">
        <v>15900</v>
      </c>
    </row>
    <row r="123" spans="1:19" x14ac:dyDescent="0.3">
      <c r="A123" s="30" t="s">
        <v>71</v>
      </c>
      <c r="B123" s="30" t="s">
        <v>87</v>
      </c>
      <c r="C123" s="30" t="s">
        <v>88</v>
      </c>
      <c r="D123" s="31" t="s">
        <v>20</v>
      </c>
      <c r="E123" s="31">
        <v>13</v>
      </c>
      <c r="F123" s="31" t="s">
        <v>320</v>
      </c>
      <c r="G123" s="31" t="s">
        <v>39</v>
      </c>
      <c r="H123" s="31" t="s">
        <v>40</v>
      </c>
      <c r="I123" s="31">
        <v>35</v>
      </c>
      <c r="J123" s="32">
        <v>0</v>
      </c>
      <c r="K123" s="32">
        <v>0</v>
      </c>
      <c r="L123" s="32">
        <v>330</v>
      </c>
      <c r="M123" s="32">
        <v>680</v>
      </c>
      <c r="N123" s="32">
        <v>720</v>
      </c>
      <c r="O123" s="32">
        <v>0</v>
      </c>
      <c r="P123" s="32">
        <v>0</v>
      </c>
      <c r="Q123" s="32">
        <v>6600</v>
      </c>
      <c r="R123" s="32">
        <v>13300</v>
      </c>
      <c r="S123" s="32">
        <v>14000</v>
      </c>
    </row>
    <row r="124" spans="1:19" x14ac:dyDescent="0.3">
      <c r="A124" s="30" t="s">
        <v>71</v>
      </c>
      <c r="B124" s="30" t="s">
        <v>87</v>
      </c>
      <c r="C124" s="30" t="s">
        <v>68</v>
      </c>
      <c r="D124" s="31" t="s">
        <v>20</v>
      </c>
      <c r="E124" s="31">
        <v>326</v>
      </c>
      <c r="F124" s="31" t="s">
        <v>321</v>
      </c>
      <c r="G124" s="31" t="s">
        <v>39</v>
      </c>
      <c r="H124" s="31" t="s">
        <v>40</v>
      </c>
      <c r="I124" s="31">
        <v>45</v>
      </c>
      <c r="J124" s="32">
        <v>0</v>
      </c>
      <c r="K124" s="32">
        <v>0</v>
      </c>
      <c r="L124" s="32">
        <v>750</v>
      </c>
      <c r="M124" s="32">
        <v>790</v>
      </c>
      <c r="N124" s="32">
        <v>790</v>
      </c>
      <c r="O124" s="32">
        <v>0</v>
      </c>
      <c r="P124" s="32">
        <v>0</v>
      </c>
      <c r="Q124" s="32">
        <v>15100</v>
      </c>
      <c r="R124" s="32">
        <v>15900</v>
      </c>
      <c r="S124" s="32">
        <v>15900</v>
      </c>
    </row>
    <row r="125" spans="1:19" x14ac:dyDescent="0.3">
      <c r="A125" s="30" t="s">
        <v>71</v>
      </c>
      <c r="B125" s="30" t="s">
        <v>224</v>
      </c>
      <c r="C125" s="30" t="s">
        <v>225</v>
      </c>
      <c r="D125" s="31" t="s">
        <v>103</v>
      </c>
      <c r="E125" s="31">
        <v>540</v>
      </c>
      <c r="F125" s="31">
        <v>540</v>
      </c>
      <c r="G125" s="31" t="s">
        <v>39</v>
      </c>
      <c r="H125" s="31" t="s">
        <v>40</v>
      </c>
      <c r="I125" s="31">
        <v>30</v>
      </c>
      <c r="J125" s="32">
        <v>0</v>
      </c>
      <c r="K125" s="32">
        <v>0</v>
      </c>
      <c r="L125" s="32">
        <v>330</v>
      </c>
      <c r="M125" s="32">
        <v>680</v>
      </c>
      <c r="N125" s="32">
        <v>720</v>
      </c>
      <c r="O125" s="32">
        <v>0</v>
      </c>
      <c r="P125" s="32">
        <v>0</v>
      </c>
      <c r="Q125" s="32">
        <v>6600</v>
      </c>
      <c r="R125" s="32">
        <v>13300</v>
      </c>
      <c r="S125" s="32">
        <v>14000</v>
      </c>
    </row>
    <row r="126" spans="1:19" x14ac:dyDescent="0.3">
      <c r="A126" s="30" t="s">
        <v>71</v>
      </c>
      <c r="B126" s="30" t="s">
        <v>226</v>
      </c>
      <c r="C126" s="30" t="s">
        <v>227</v>
      </c>
      <c r="D126" s="31" t="s">
        <v>103</v>
      </c>
      <c r="E126" s="31">
        <v>613</v>
      </c>
      <c r="F126" s="31">
        <v>613</v>
      </c>
      <c r="G126" s="31" t="s">
        <v>39</v>
      </c>
      <c r="H126" s="31" t="s">
        <v>40</v>
      </c>
      <c r="I126" s="31">
        <v>30</v>
      </c>
      <c r="J126" s="32">
        <v>0</v>
      </c>
      <c r="K126" s="32">
        <v>0</v>
      </c>
      <c r="L126" s="32">
        <v>330</v>
      </c>
      <c r="M126" s="32">
        <v>680</v>
      </c>
      <c r="N126" s="32">
        <v>720</v>
      </c>
      <c r="O126" s="32">
        <v>0</v>
      </c>
      <c r="P126" s="32">
        <v>0</v>
      </c>
      <c r="Q126" s="32">
        <v>6600</v>
      </c>
      <c r="R126" s="32">
        <v>13300</v>
      </c>
      <c r="S126" s="32">
        <v>14000</v>
      </c>
    </row>
    <row r="127" spans="1:19" x14ac:dyDescent="0.3">
      <c r="A127" s="30" t="s">
        <v>71</v>
      </c>
      <c r="B127" s="30" t="s">
        <v>228</v>
      </c>
      <c r="C127" s="30" t="s">
        <v>229</v>
      </c>
      <c r="D127" s="31" t="s">
        <v>103</v>
      </c>
      <c r="E127" s="31">
        <v>976</v>
      </c>
      <c r="F127" s="31">
        <v>976</v>
      </c>
      <c r="G127" s="31" t="s">
        <v>39</v>
      </c>
      <c r="H127" s="31" t="s">
        <v>40</v>
      </c>
      <c r="I127" s="31">
        <v>30</v>
      </c>
      <c r="J127" s="32">
        <v>0</v>
      </c>
      <c r="K127" s="32">
        <v>0</v>
      </c>
      <c r="L127" s="32">
        <v>330</v>
      </c>
      <c r="M127" s="32">
        <v>680</v>
      </c>
      <c r="N127" s="32">
        <v>720</v>
      </c>
      <c r="O127" s="32">
        <v>0</v>
      </c>
      <c r="P127" s="32">
        <v>0</v>
      </c>
      <c r="Q127" s="32">
        <v>6600</v>
      </c>
      <c r="R127" s="32">
        <v>13300</v>
      </c>
      <c r="S127" s="32">
        <v>14000</v>
      </c>
    </row>
    <row r="128" spans="1:19" x14ac:dyDescent="0.3">
      <c r="A128" s="30" t="s">
        <v>71</v>
      </c>
      <c r="B128" s="30" t="s">
        <v>90</v>
      </c>
      <c r="C128" s="30" t="s">
        <v>92</v>
      </c>
      <c r="D128" s="31" t="s">
        <v>20</v>
      </c>
      <c r="E128" s="31">
        <v>8</v>
      </c>
      <c r="F128" s="31" t="s">
        <v>322</v>
      </c>
      <c r="G128" s="31" t="s">
        <v>39</v>
      </c>
      <c r="H128" s="31" t="s">
        <v>40</v>
      </c>
      <c r="I128" s="31">
        <v>55</v>
      </c>
      <c r="J128" s="32">
        <v>0</v>
      </c>
      <c r="K128" s="32">
        <v>0</v>
      </c>
      <c r="L128" s="32">
        <v>750</v>
      </c>
      <c r="M128" s="32">
        <v>790</v>
      </c>
      <c r="N128" s="32">
        <v>790</v>
      </c>
      <c r="O128" s="32">
        <v>0</v>
      </c>
      <c r="P128" s="32">
        <v>0</v>
      </c>
      <c r="Q128" s="32">
        <v>15100</v>
      </c>
      <c r="R128" s="32">
        <v>15900</v>
      </c>
      <c r="S128" s="32">
        <v>15900</v>
      </c>
    </row>
    <row r="129" spans="1:19" x14ac:dyDescent="0.3">
      <c r="A129" s="30" t="s">
        <v>71</v>
      </c>
      <c r="B129" s="30" t="s">
        <v>90</v>
      </c>
      <c r="C129" s="30" t="s">
        <v>91</v>
      </c>
      <c r="D129" s="31" t="s">
        <v>20</v>
      </c>
      <c r="E129" s="31">
        <v>8067</v>
      </c>
      <c r="F129" s="31" t="s">
        <v>323</v>
      </c>
      <c r="G129" s="31" t="s">
        <v>39</v>
      </c>
      <c r="H129" s="31" t="s">
        <v>40</v>
      </c>
      <c r="I129" s="31">
        <v>50</v>
      </c>
      <c r="J129" s="32">
        <v>0</v>
      </c>
      <c r="K129" s="32">
        <v>0</v>
      </c>
      <c r="L129" s="32">
        <v>750</v>
      </c>
      <c r="M129" s="32">
        <v>790</v>
      </c>
      <c r="N129" s="32">
        <v>790</v>
      </c>
      <c r="O129" s="32">
        <v>0</v>
      </c>
      <c r="P129" s="32">
        <v>0</v>
      </c>
      <c r="Q129" s="32">
        <v>15100</v>
      </c>
      <c r="R129" s="32">
        <v>15900</v>
      </c>
      <c r="S129" s="32">
        <v>15900</v>
      </c>
    </row>
    <row r="130" spans="1:19" x14ac:dyDescent="0.3">
      <c r="A130" s="30" t="s">
        <v>71</v>
      </c>
      <c r="B130" s="30" t="s">
        <v>90</v>
      </c>
      <c r="C130" s="30" t="s">
        <v>94</v>
      </c>
      <c r="D130" s="31" t="s">
        <v>20</v>
      </c>
      <c r="E130" s="31">
        <v>8178</v>
      </c>
      <c r="F130" s="31" t="s">
        <v>324</v>
      </c>
      <c r="G130" s="31" t="s">
        <v>39</v>
      </c>
      <c r="H130" s="31" t="s">
        <v>40</v>
      </c>
      <c r="I130" s="31">
        <v>50</v>
      </c>
      <c r="J130" s="32">
        <v>0</v>
      </c>
      <c r="K130" s="32">
        <v>0</v>
      </c>
      <c r="L130" s="32">
        <v>750</v>
      </c>
      <c r="M130" s="32">
        <v>790</v>
      </c>
      <c r="N130" s="32">
        <v>790</v>
      </c>
      <c r="O130" s="32">
        <v>0</v>
      </c>
      <c r="P130" s="32">
        <v>0</v>
      </c>
      <c r="Q130" s="32">
        <v>15100</v>
      </c>
      <c r="R130" s="32">
        <v>15900</v>
      </c>
      <c r="S130" s="32">
        <v>15900</v>
      </c>
    </row>
    <row r="131" spans="1:19" x14ac:dyDescent="0.3">
      <c r="A131" s="30" t="s">
        <v>71</v>
      </c>
      <c r="B131" s="30" t="s">
        <v>90</v>
      </c>
      <c r="C131" s="30" t="s">
        <v>93</v>
      </c>
      <c r="D131" s="31" t="s">
        <v>20</v>
      </c>
      <c r="E131" s="31">
        <v>6</v>
      </c>
      <c r="F131" s="31" t="s">
        <v>324</v>
      </c>
      <c r="G131" s="31" t="s">
        <v>39</v>
      </c>
      <c r="H131" s="31" t="s">
        <v>40</v>
      </c>
      <c r="I131" s="31">
        <v>55</v>
      </c>
      <c r="J131" s="32">
        <v>0</v>
      </c>
      <c r="K131" s="32">
        <v>0</v>
      </c>
      <c r="L131" s="32">
        <v>750</v>
      </c>
      <c r="M131" s="32">
        <v>790</v>
      </c>
      <c r="N131" s="32">
        <v>790</v>
      </c>
      <c r="O131" s="32">
        <v>0</v>
      </c>
      <c r="P131" s="32">
        <v>0</v>
      </c>
      <c r="Q131" s="32">
        <v>15100</v>
      </c>
      <c r="R131" s="32">
        <v>15900</v>
      </c>
      <c r="S131" s="32">
        <v>15900</v>
      </c>
    </row>
    <row r="132" spans="1:19" x14ac:dyDescent="0.3">
      <c r="A132" s="30" t="s">
        <v>71</v>
      </c>
      <c r="B132" s="30" t="s">
        <v>238</v>
      </c>
      <c r="C132" s="30" t="s">
        <v>239</v>
      </c>
      <c r="D132" s="31" t="s">
        <v>103</v>
      </c>
      <c r="E132" s="31">
        <v>980</v>
      </c>
      <c r="F132" s="31">
        <v>980</v>
      </c>
      <c r="G132" s="31" t="s">
        <v>25</v>
      </c>
      <c r="H132" s="31" t="s">
        <v>40</v>
      </c>
      <c r="I132" s="31">
        <v>35</v>
      </c>
      <c r="J132" s="32">
        <v>0</v>
      </c>
      <c r="K132" s="32">
        <v>0</v>
      </c>
      <c r="L132" s="32">
        <v>730</v>
      </c>
      <c r="M132" s="32">
        <v>1630</v>
      </c>
      <c r="N132" s="32">
        <v>1700</v>
      </c>
      <c r="O132" s="32">
        <v>0</v>
      </c>
      <c r="P132" s="32">
        <v>0</v>
      </c>
      <c r="Q132" s="32">
        <v>14500</v>
      </c>
      <c r="R132" s="32">
        <v>32400</v>
      </c>
      <c r="S132" s="32">
        <v>33800</v>
      </c>
    </row>
    <row r="133" spans="1:19" x14ac:dyDescent="0.3">
      <c r="A133" s="30" t="s">
        <v>71</v>
      </c>
      <c r="B133" s="30" t="s">
        <v>240</v>
      </c>
      <c r="C133" s="30" t="s">
        <v>241</v>
      </c>
      <c r="D133" s="31" t="s">
        <v>103</v>
      </c>
      <c r="E133" s="31">
        <v>3</v>
      </c>
      <c r="F133" s="31">
        <v>3</v>
      </c>
      <c r="G133" s="31" t="s">
        <v>25</v>
      </c>
      <c r="H133" s="31" t="s">
        <v>40</v>
      </c>
      <c r="I133" s="31">
        <v>35</v>
      </c>
      <c r="J133" s="32">
        <v>0</v>
      </c>
      <c r="K133" s="32">
        <v>0</v>
      </c>
      <c r="L133" s="32">
        <v>730</v>
      </c>
      <c r="M133" s="32">
        <v>1630</v>
      </c>
      <c r="N133" s="32">
        <v>1700</v>
      </c>
      <c r="O133" s="32">
        <v>0</v>
      </c>
      <c r="P133" s="32">
        <v>0</v>
      </c>
      <c r="Q133" s="32">
        <v>14500</v>
      </c>
      <c r="R133" s="32">
        <v>32400</v>
      </c>
      <c r="S133" s="32">
        <v>33800</v>
      </c>
    </row>
    <row r="134" spans="1:19" x14ac:dyDescent="0.3">
      <c r="A134" s="30" t="s">
        <v>12</v>
      </c>
      <c r="B134" s="30" t="s">
        <v>13</v>
      </c>
      <c r="C134" s="30" t="s">
        <v>242</v>
      </c>
      <c r="D134" s="31" t="s">
        <v>103</v>
      </c>
      <c r="E134" s="31">
        <v>608</v>
      </c>
      <c r="F134" s="31">
        <v>608</v>
      </c>
      <c r="G134" s="31" t="s">
        <v>16</v>
      </c>
      <c r="H134" s="31" t="s">
        <v>17</v>
      </c>
      <c r="I134" s="31">
        <v>45</v>
      </c>
      <c r="J134" s="32">
        <v>0</v>
      </c>
      <c r="K134" s="32">
        <v>0</v>
      </c>
      <c r="L134" s="32">
        <v>3970</v>
      </c>
      <c r="M134" s="32">
        <v>4040</v>
      </c>
      <c r="N134" s="32">
        <v>4040</v>
      </c>
      <c r="O134" s="32">
        <v>0</v>
      </c>
      <c r="P134" s="32">
        <v>0</v>
      </c>
      <c r="Q134" s="32">
        <v>78800</v>
      </c>
      <c r="R134" s="32">
        <v>80100</v>
      </c>
      <c r="S134" s="32">
        <v>80100</v>
      </c>
    </row>
    <row r="135" spans="1:19" x14ac:dyDescent="0.3">
      <c r="A135" s="30" t="s">
        <v>12</v>
      </c>
      <c r="B135" s="30" t="s">
        <v>13</v>
      </c>
      <c r="C135" s="30" t="s">
        <v>14</v>
      </c>
      <c r="D135" s="31" t="s">
        <v>15</v>
      </c>
      <c r="E135" s="31">
        <v>607</v>
      </c>
      <c r="F135" s="31">
        <v>295</v>
      </c>
      <c r="G135" s="31" t="s">
        <v>16</v>
      </c>
      <c r="H135" s="31" t="s">
        <v>17</v>
      </c>
      <c r="I135" s="31">
        <v>45</v>
      </c>
      <c r="J135" s="32">
        <v>0</v>
      </c>
      <c r="K135" s="32">
        <v>0</v>
      </c>
      <c r="L135" s="32">
        <v>3970</v>
      </c>
      <c r="M135" s="32">
        <v>4040</v>
      </c>
      <c r="N135" s="32">
        <v>4040</v>
      </c>
      <c r="O135" s="32">
        <v>0</v>
      </c>
      <c r="P135" s="32">
        <v>0</v>
      </c>
      <c r="Q135" s="32">
        <v>78800</v>
      </c>
      <c r="R135" s="32">
        <v>80100</v>
      </c>
      <c r="S135" s="32">
        <v>80100</v>
      </c>
    </row>
    <row r="136" spans="1:19" x14ac:dyDescent="0.3">
      <c r="A136" s="30" t="s">
        <v>12</v>
      </c>
      <c r="B136" s="30" t="s">
        <v>13</v>
      </c>
      <c r="C136" s="30" t="s">
        <v>18</v>
      </c>
      <c r="D136" s="31" t="s">
        <v>15</v>
      </c>
      <c r="E136" s="31">
        <v>620</v>
      </c>
      <c r="F136" s="31">
        <v>295</v>
      </c>
      <c r="G136" s="31" t="s">
        <v>16</v>
      </c>
      <c r="H136" s="31" t="s">
        <v>17</v>
      </c>
      <c r="I136" s="31">
        <v>45</v>
      </c>
      <c r="J136" s="32">
        <v>0</v>
      </c>
      <c r="K136" s="32">
        <v>0</v>
      </c>
      <c r="L136" s="32">
        <v>3970</v>
      </c>
      <c r="M136" s="32">
        <v>4040</v>
      </c>
      <c r="N136" s="32">
        <v>4040</v>
      </c>
      <c r="O136" s="32">
        <v>0</v>
      </c>
      <c r="P136" s="32">
        <v>0</v>
      </c>
      <c r="Q136" s="32">
        <v>78800</v>
      </c>
      <c r="R136" s="32">
        <v>80100</v>
      </c>
      <c r="S136" s="32">
        <v>80100</v>
      </c>
    </row>
    <row r="137" spans="1:19" x14ac:dyDescent="0.3">
      <c r="A137" s="30" t="s">
        <v>12</v>
      </c>
      <c r="B137" s="30" t="s">
        <v>13</v>
      </c>
      <c r="C137" s="30" t="s">
        <v>19</v>
      </c>
      <c r="D137" s="31" t="s">
        <v>20</v>
      </c>
      <c r="E137" s="31">
        <v>621</v>
      </c>
      <c r="F137" s="31" t="s">
        <v>325</v>
      </c>
      <c r="G137" s="31" t="s">
        <v>16</v>
      </c>
      <c r="H137" s="31" t="s">
        <v>17</v>
      </c>
      <c r="I137" s="31">
        <v>45</v>
      </c>
      <c r="J137" s="32">
        <v>0</v>
      </c>
      <c r="K137" s="32">
        <v>0</v>
      </c>
      <c r="L137" s="32">
        <v>3970</v>
      </c>
      <c r="M137" s="32">
        <v>4040</v>
      </c>
      <c r="N137" s="32">
        <v>4040</v>
      </c>
      <c r="O137" s="32">
        <v>0</v>
      </c>
      <c r="P137" s="32">
        <v>0</v>
      </c>
      <c r="Q137" s="32">
        <v>78800</v>
      </c>
      <c r="R137" s="32">
        <v>80100</v>
      </c>
      <c r="S137" s="32">
        <v>80100</v>
      </c>
    </row>
    <row r="138" spans="1:19" x14ac:dyDescent="0.3">
      <c r="A138" s="30" t="s">
        <v>12</v>
      </c>
      <c r="B138" s="30" t="s">
        <v>13</v>
      </c>
      <c r="C138" s="30" t="s">
        <v>21</v>
      </c>
      <c r="D138" s="31" t="s">
        <v>20</v>
      </c>
      <c r="E138" s="31">
        <v>622</v>
      </c>
      <c r="F138" s="31" t="s">
        <v>326</v>
      </c>
      <c r="G138" s="31" t="s">
        <v>22</v>
      </c>
      <c r="H138" s="31" t="s">
        <v>17</v>
      </c>
      <c r="I138" s="31">
        <v>45</v>
      </c>
      <c r="J138" s="32">
        <v>0</v>
      </c>
      <c r="K138" s="32">
        <v>0</v>
      </c>
      <c r="L138" s="32">
        <v>2940</v>
      </c>
      <c r="M138" s="32">
        <v>3020</v>
      </c>
      <c r="N138" s="32">
        <v>3020</v>
      </c>
      <c r="O138" s="32">
        <v>0</v>
      </c>
      <c r="P138" s="32">
        <v>0</v>
      </c>
      <c r="Q138" s="32">
        <v>58400</v>
      </c>
      <c r="R138" s="32">
        <v>59900</v>
      </c>
      <c r="S138" s="32">
        <v>59900</v>
      </c>
    </row>
    <row r="139" spans="1:19" x14ac:dyDescent="0.3">
      <c r="A139" s="30" t="s">
        <v>71</v>
      </c>
      <c r="B139" s="30" t="s">
        <v>230</v>
      </c>
      <c r="C139" s="30" t="s">
        <v>232</v>
      </c>
      <c r="D139" s="31" t="s">
        <v>103</v>
      </c>
      <c r="E139" s="31">
        <v>601</v>
      </c>
      <c r="F139" s="31">
        <v>601</v>
      </c>
      <c r="G139" s="31" t="s">
        <v>39</v>
      </c>
      <c r="H139" s="31" t="s">
        <v>40</v>
      </c>
      <c r="I139" s="31">
        <v>40</v>
      </c>
      <c r="J139" s="32">
        <v>0</v>
      </c>
      <c r="K139" s="32">
        <v>0</v>
      </c>
      <c r="L139" s="32">
        <v>750</v>
      </c>
      <c r="M139" s="32">
        <v>790</v>
      </c>
      <c r="N139" s="32">
        <v>790</v>
      </c>
      <c r="O139" s="32">
        <v>0</v>
      </c>
      <c r="P139" s="32">
        <v>0</v>
      </c>
      <c r="Q139" s="32">
        <v>15100</v>
      </c>
      <c r="R139" s="32">
        <v>15900</v>
      </c>
      <c r="S139" s="32">
        <v>15900</v>
      </c>
    </row>
    <row r="140" spans="1:19" x14ac:dyDescent="0.3">
      <c r="A140" s="30" t="s">
        <v>71</v>
      </c>
      <c r="B140" s="30" t="s">
        <v>230</v>
      </c>
      <c r="C140" s="30" t="s">
        <v>231</v>
      </c>
      <c r="D140" s="31" t="s">
        <v>103</v>
      </c>
      <c r="E140" s="31">
        <v>600</v>
      </c>
      <c r="F140" s="31">
        <v>600</v>
      </c>
      <c r="G140" s="31" t="s">
        <v>39</v>
      </c>
      <c r="H140" s="31" t="s">
        <v>40</v>
      </c>
      <c r="I140" s="31">
        <v>40</v>
      </c>
      <c r="J140" s="32">
        <v>0</v>
      </c>
      <c r="K140" s="32">
        <v>0</v>
      </c>
      <c r="L140" s="32">
        <v>750</v>
      </c>
      <c r="M140" s="32">
        <v>790</v>
      </c>
      <c r="N140" s="32">
        <v>790</v>
      </c>
      <c r="O140" s="32">
        <v>0</v>
      </c>
      <c r="P140" s="32">
        <v>0</v>
      </c>
      <c r="Q140" s="32">
        <v>15100</v>
      </c>
      <c r="R140" s="32">
        <v>15900</v>
      </c>
      <c r="S140" s="32">
        <v>15900</v>
      </c>
    </row>
    <row r="141" spans="1:19" x14ac:dyDescent="0.3">
      <c r="A141" s="30" t="s">
        <v>71</v>
      </c>
      <c r="B141" s="30" t="s">
        <v>233</v>
      </c>
      <c r="C141" s="30" t="s">
        <v>234</v>
      </c>
      <c r="D141" s="31" t="s">
        <v>103</v>
      </c>
      <c r="E141" s="31">
        <v>507</v>
      </c>
      <c r="F141" s="31">
        <v>507</v>
      </c>
      <c r="G141" s="31" t="s">
        <v>39</v>
      </c>
      <c r="H141" s="31" t="s">
        <v>40</v>
      </c>
      <c r="I141" s="31">
        <v>35</v>
      </c>
      <c r="J141" s="32">
        <v>0</v>
      </c>
      <c r="K141" s="32">
        <v>0</v>
      </c>
      <c r="L141" s="32">
        <v>330</v>
      </c>
      <c r="M141" s="32">
        <v>680</v>
      </c>
      <c r="N141" s="32">
        <v>720</v>
      </c>
      <c r="O141" s="32">
        <v>0</v>
      </c>
      <c r="P141" s="32">
        <v>0</v>
      </c>
      <c r="Q141" s="32">
        <v>6600</v>
      </c>
      <c r="R141" s="32">
        <v>13300</v>
      </c>
      <c r="S141" s="32">
        <v>14000</v>
      </c>
    </row>
    <row r="142" spans="1:19" x14ac:dyDescent="0.3">
      <c r="A142" s="30" t="s">
        <v>71</v>
      </c>
      <c r="B142" s="30" t="s">
        <v>235</v>
      </c>
      <c r="C142" s="30" t="s">
        <v>236</v>
      </c>
      <c r="D142" s="31" t="s">
        <v>103</v>
      </c>
      <c r="E142" s="31">
        <v>701</v>
      </c>
      <c r="F142" s="31">
        <v>701</v>
      </c>
      <c r="G142" s="31" t="s">
        <v>39</v>
      </c>
      <c r="H142" s="31" t="s">
        <v>40</v>
      </c>
      <c r="I142" s="31">
        <v>45</v>
      </c>
      <c r="J142" s="32">
        <v>0</v>
      </c>
      <c r="K142" s="32">
        <v>0</v>
      </c>
      <c r="L142" s="32">
        <v>750</v>
      </c>
      <c r="M142" s="32">
        <v>790</v>
      </c>
      <c r="N142" s="32">
        <v>790</v>
      </c>
      <c r="O142" s="32">
        <v>0</v>
      </c>
      <c r="P142" s="32">
        <v>0</v>
      </c>
      <c r="Q142" s="32">
        <v>15100</v>
      </c>
      <c r="R142" s="32">
        <v>15900</v>
      </c>
      <c r="S142" s="32">
        <v>15900</v>
      </c>
    </row>
    <row r="143" spans="1:19" x14ac:dyDescent="0.3">
      <c r="A143" s="30" t="s">
        <v>36</v>
      </c>
      <c r="B143" s="30" t="s">
        <v>56</v>
      </c>
      <c r="C143" s="30" t="s">
        <v>49</v>
      </c>
      <c r="D143" s="31" t="s">
        <v>103</v>
      </c>
      <c r="E143" s="31">
        <v>656</v>
      </c>
      <c r="F143" s="31">
        <v>656</v>
      </c>
      <c r="G143" s="31" t="s">
        <v>39</v>
      </c>
      <c r="H143" s="31" t="s">
        <v>40</v>
      </c>
      <c r="I143" s="31">
        <v>45</v>
      </c>
      <c r="J143" s="32">
        <v>0</v>
      </c>
      <c r="K143" s="32">
        <v>0</v>
      </c>
      <c r="L143" s="32">
        <v>830</v>
      </c>
      <c r="M143" s="32">
        <v>880</v>
      </c>
      <c r="N143" s="32">
        <v>880</v>
      </c>
      <c r="O143" s="32">
        <v>0</v>
      </c>
      <c r="P143" s="32">
        <v>0</v>
      </c>
      <c r="Q143" s="32">
        <v>16800</v>
      </c>
      <c r="R143" s="32">
        <v>17700</v>
      </c>
      <c r="S143" s="32">
        <v>17700</v>
      </c>
    </row>
    <row r="144" spans="1:19" x14ac:dyDescent="0.3">
      <c r="A144" s="30" t="s">
        <v>36</v>
      </c>
      <c r="B144" s="30" t="s">
        <v>56</v>
      </c>
      <c r="C144" s="30" t="s">
        <v>57</v>
      </c>
      <c r="D144" s="31" t="s">
        <v>20</v>
      </c>
      <c r="E144" s="31">
        <v>7006</v>
      </c>
      <c r="F144" s="31" t="s">
        <v>327</v>
      </c>
      <c r="G144" s="31" t="s">
        <v>39</v>
      </c>
      <c r="H144" s="31" t="s">
        <v>40</v>
      </c>
      <c r="I144" s="31">
        <v>45</v>
      </c>
      <c r="J144" s="32">
        <v>0</v>
      </c>
      <c r="K144" s="32">
        <v>0</v>
      </c>
      <c r="L144" s="32">
        <v>830</v>
      </c>
      <c r="M144" s="32">
        <v>880</v>
      </c>
      <c r="N144" s="32">
        <v>880</v>
      </c>
      <c r="O144" s="32">
        <v>0</v>
      </c>
      <c r="P144" s="32">
        <v>0</v>
      </c>
      <c r="Q144" s="32">
        <v>16800</v>
      </c>
      <c r="R144" s="32">
        <v>17700</v>
      </c>
      <c r="S144" s="32">
        <v>17700</v>
      </c>
    </row>
    <row r="145" spans="1:19" x14ac:dyDescent="0.3">
      <c r="A145" s="30" t="s">
        <v>36</v>
      </c>
      <c r="B145" s="30" t="s">
        <v>56</v>
      </c>
      <c r="C145" s="30" t="s">
        <v>237</v>
      </c>
      <c r="D145" s="31" t="s">
        <v>103</v>
      </c>
      <c r="E145" s="31">
        <v>605</v>
      </c>
      <c r="F145" s="31">
        <v>605</v>
      </c>
      <c r="G145" s="31" t="s">
        <v>61</v>
      </c>
      <c r="H145" s="31" t="s">
        <v>40</v>
      </c>
      <c r="I145" s="31">
        <v>35</v>
      </c>
      <c r="J145" s="32">
        <v>0</v>
      </c>
      <c r="K145" s="32">
        <v>0</v>
      </c>
      <c r="L145" s="32">
        <v>690</v>
      </c>
      <c r="M145" s="32">
        <v>1550</v>
      </c>
      <c r="N145" s="32">
        <v>1620</v>
      </c>
      <c r="O145" s="32">
        <v>0</v>
      </c>
      <c r="P145" s="32">
        <v>0</v>
      </c>
      <c r="Q145" s="32">
        <v>13800</v>
      </c>
      <c r="R145" s="32">
        <v>30780</v>
      </c>
      <c r="S145" s="32">
        <v>32100</v>
      </c>
    </row>
    <row r="146" spans="1:19" x14ac:dyDescent="0.3">
      <c r="A146" s="30" t="s">
        <v>36</v>
      </c>
      <c r="B146" s="30" t="s">
        <v>56</v>
      </c>
      <c r="C146" s="30" t="s">
        <v>58</v>
      </c>
      <c r="D146" s="31" t="s">
        <v>20</v>
      </c>
      <c r="E146" s="31">
        <v>7007</v>
      </c>
      <c r="F146" s="31" t="s">
        <v>328</v>
      </c>
      <c r="G146" s="31" t="s">
        <v>39</v>
      </c>
      <c r="H146" s="31" t="s">
        <v>40</v>
      </c>
      <c r="I146" s="31">
        <v>45</v>
      </c>
      <c r="J146" s="32">
        <v>0</v>
      </c>
      <c r="K146" s="32">
        <v>0</v>
      </c>
      <c r="L146" s="32">
        <v>830</v>
      </c>
      <c r="M146" s="32">
        <v>880</v>
      </c>
      <c r="N146" s="32">
        <v>880</v>
      </c>
      <c r="O146" s="32">
        <v>0</v>
      </c>
      <c r="P146" s="32">
        <v>0</v>
      </c>
      <c r="Q146" s="32">
        <v>16800</v>
      </c>
      <c r="R146" s="32">
        <v>17700</v>
      </c>
      <c r="S146" s="32">
        <v>17700</v>
      </c>
    </row>
    <row r="147" spans="1:19" x14ac:dyDescent="0.3">
      <c r="A147" s="30" t="s">
        <v>71</v>
      </c>
      <c r="B147" s="30" t="s">
        <v>243</v>
      </c>
      <c r="C147" s="30" t="s">
        <v>244</v>
      </c>
      <c r="D147" s="31" t="s">
        <v>103</v>
      </c>
      <c r="E147" s="31">
        <v>521</v>
      </c>
      <c r="F147" s="31">
        <v>521</v>
      </c>
      <c r="G147" s="31" t="s">
        <v>39</v>
      </c>
      <c r="H147" s="31" t="s">
        <v>40</v>
      </c>
      <c r="I147" s="31">
        <v>30</v>
      </c>
      <c r="J147" s="32">
        <v>0</v>
      </c>
      <c r="K147" s="32">
        <v>0</v>
      </c>
      <c r="L147" s="32">
        <v>330</v>
      </c>
      <c r="M147" s="32">
        <v>680</v>
      </c>
      <c r="N147" s="32">
        <v>720</v>
      </c>
      <c r="O147" s="32">
        <v>0</v>
      </c>
      <c r="P147" s="32">
        <v>0</v>
      </c>
      <c r="Q147" s="32">
        <v>6600</v>
      </c>
      <c r="R147" s="32">
        <v>13300</v>
      </c>
      <c r="S147" s="32">
        <v>14000</v>
      </c>
    </row>
    <row r="148" spans="1:19" x14ac:dyDescent="0.3">
      <c r="A148" s="30" t="s">
        <v>71</v>
      </c>
      <c r="B148" s="30" t="s">
        <v>245</v>
      </c>
      <c r="C148" s="30" t="s">
        <v>246</v>
      </c>
      <c r="D148" s="31" t="s">
        <v>103</v>
      </c>
      <c r="E148" s="31">
        <v>611</v>
      </c>
      <c r="F148" s="31">
        <v>611</v>
      </c>
      <c r="G148" s="31" t="s">
        <v>39</v>
      </c>
      <c r="H148" s="31" t="s">
        <v>40</v>
      </c>
      <c r="I148" s="31">
        <v>30</v>
      </c>
      <c r="J148" s="32">
        <v>0</v>
      </c>
      <c r="K148" s="32">
        <v>0</v>
      </c>
      <c r="L148" s="32">
        <v>330</v>
      </c>
      <c r="M148" s="32">
        <v>680</v>
      </c>
      <c r="N148" s="32">
        <v>720</v>
      </c>
      <c r="O148" s="32">
        <v>0</v>
      </c>
      <c r="P148" s="32">
        <v>0</v>
      </c>
      <c r="Q148" s="32">
        <v>6600</v>
      </c>
      <c r="R148" s="32">
        <v>13300</v>
      </c>
      <c r="S148" s="32">
        <v>14000</v>
      </c>
    </row>
    <row r="149" spans="1:19" x14ac:dyDescent="0.3">
      <c r="A149" s="30" t="s">
        <v>71</v>
      </c>
      <c r="B149" s="30" t="s">
        <v>95</v>
      </c>
      <c r="C149" s="30" t="s">
        <v>62</v>
      </c>
      <c r="D149" s="31" t="s">
        <v>20</v>
      </c>
      <c r="E149" s="31">
        <v>24</v>
      </c>
      <c r="F149" s="31" t="s">
        <v>329</v>
      </c>
      <c r="G149" s="31" t="s">
        <v>39</v>
      </c>
      <c r="H149" s="31" t="s">
        <v>40</v>
      </c>
      <c r="I149" s="31">
        <v>35</v>
      </c>
      <c r="J149" s="32">
        <v>0</v>
      </c>
      <c r="K149" s="32">
        <v>0</v>
      </c>
      <c r="L149" s="32">
        <v>330</v>
      </c>
      <c r="M149" s="32">
        <v>680</v>
      </c>
      <c r="N149" s="32">
        <v>720</v>
      </c>
      <c r="O149" s="32">
        <v>0</v>
      </c>
      <c r="P149" s="32">
        <v>0</v>
      </c>
      <c r="Q149" s="32">
        <v>6600</v>
      </c>
      <c r="R149" s="32">
        <v>13300</v>
      </c>
      <c r="S149" s="32">
        <v>14000</v>
      </c>
    </row>
    <row r="150" spans="1:19" x14ac:dyDescent="0.3">
      <c r="A150" s="30" t="s">
        <v>71</v>
      </c>
      <c r="B150" s="30" t="s">
        <v>95</v>
      </c>
      <c r="C150" s="30" t="s">
        <v>60</v>
      </c>
      <c r="D150" s="31" t="s">
        <v>20</v>
      </c>
      <c r="E150" s="31">
        <v>429</v>
      </c>
      <c r="F150" s="31" t="s">
        <v>330</v>
      </c>
      <c r="G150" s="31" t="s">
        <v>39</v>
      </c>
      <c r="H150" s="31" t="s">
        <v>40</v>
      </c>
      <c r="I150" s="31">
        <v>45</v>
      </c>
      <c r="J150" s="32">
        <v>0</v>
      </c>
      <c r="K150" s="32">
        <v>0</v>
      </c>
      <c r="L150" s="32">
        <v>750</v>
      </c>
      <c r="M150" s="32">
        <v>790</v>
      </c>
      <c r="N150" s="32">
        <v>790</v>
      </c>
      <c r="O150" s="32">
        <v>0</v>
      </c>
      <c r="P150" s="32">
        <v>0</v>
      </c>
      <c r="Q150" s="32">
        <v>15100</v>
      </c>
      <c r="R150" s="32">
        <v>15900</v>
      </c>
      <c r="S150" s="32">
        <v>15900</v>
      </c>
    </row>
    <row r="151" spans="1:19" x14ac:dyDescent="0.3">
      <c r="A151" s="30" t="s">
        <v>12</v>
      </c>
      <c r="B151" s="30" t="s">
        <v>23</v>
      </c>
      <c r="C151" s="30" t="s">
        <v>212</v>
      </c>
      <c r="D151" s="31" t="s">
        <v>103</v>
      </c>
      <c r="E151" s="31">
        <v>552</v>
      </c>
      <c r="F151" s="31">
        <v>552</v>
      </c>
      <c r="G151" s="31" t="s">
        <v>31</v>
      </c>
      <c r="H151" s="31" t="s">
        <v>17</v>
      </c>
      <c r="I151" s="31">
        <v>45</v>
      </c>
      <c r="J151" s="32">
        <v>1980</v>
      </c>
      <c r="K151" s="32">
        <v>2160</v>
      </c>
      <c r="L151" s="32">
        <v>2160</v>
      </c>
      <c r="M151" s="32">
        <v>2160</v>
      </c>
      <c r="N151" s="32">
        <v>2160</v>
      </c>
      <c r="O151" s="32">
        <v>52500</v>
      </c>
      <c r="P151" s="32">
        <v>57100</v>
      </c>
      <c r="Q151" s="32">
        <v>57100</v>
      </c>
      <c r="R151" s="32">
        <v>57100</v>
      </c>
      <c r="S151" s="32">
        <v>57100</v>
      </c>
    </row>
    <row r="152" spans="1:19" x14ac:dyDescent="0.3">
      <c r="A152" s="30" t="s">
        <v>12</v>
      </c>
      <c r="B152" s="30" t="s">
        <v>23</v>
      </c>
      <c r="C152" s="30" t="s">
        <v>28</v>
      </c>
      <c r="D152" s="31" t="s">
        <v>20</v>
      </c>
      <c r="E152" s="31">
        <v>82.1</v>
      </c>
      <c r="F152" s="31" t="s">
        <v>331</v>
      </c>
      <c r="G152" s="31" t="s">
        <v>25</v>
      </c>
      <c r="H152" s="31" t="s">
        <v>17</v>
      </c>
      <c r="I152" s="31">
        <v>45</v>
      </c>
      <c r="J152" s="32">
        <v>2270</v>
      </c>
      <c r="K152" s="32">
        <v>2520</v>
      </c>
      <c r="L152" s="32">
        <v>2600</v>
      </c>
      <c r="M152" s="32">
        <v>2600</v>
      </c>
      <c r="N152" s="32">
        <v>2600</v>
      </c>
      <c r="O152" s="32">
        <v>48300</v>
      </c>
      <c r="P152" s="32">
        <v>53600</v>
      </c>
      <c r="Q152" s="32">
        <v>55400</v>
      </c>
      <c r="R152" s="32">
        <v>55400</v>
      </c>
      <c r="S152" s="32">
        <v>55400</v>
      </c>
    </row>
    <row r="153" spans="1:19" x14ac:dyDescent="0.3">
      <c r="A153" s="30" t="s">
        <v>12</v>
      </c>
      <c r="B153" s="30" t="s">
        <v>23</v>
      </c>
      <c r="C153" s="30" t="s">
        <v>247</v>
      </c>
      <c r="D153" s="31" t="s">
        <v>103</v>
      </c>
      <c r="E153" s="31">
        <v>661</v>
      </c>
      <c r="F153" s="31">
        <v>661</v>
      </c>
      <c r="G153" s="31" t="s">
        <v>25</v>
      </c>
      <c r="H153" s="31" t="s">
        <v>17</v>
      </c>
      <c r="I153" s="31">
        <v>45</v>
      </c>
      <c r="J153" s="32">
        <v>0</v>
      </c>
      <c r="K153" s="32">
        <v>0</v>
      </c>
      <c r="L153" s="32">
        <v>1910</v>
      </c>
      <c r="M153" s="32">
        <v>2000</v>
      </c>
      <c r="N153" s="32">
        <v>2000</v>
      </c>
      <c r="O153" s="32">
        <v>0</v>
      </c>
      <c r="P153" s="32">
        <v>0</v>
      </c>
      <c r="Q153" s="32">
        <v>37900</v>
      </c>
      <c r="R153" s="32">
        <v>39800</v>
      </c>
      <c r="S153" s="32">
        <v>39800</v>
      </c>
    </row>
    <row r="154" spans="1:19" x14ac:dyDescent="0.3">
      <c r="A154" s="30" t="s">
        <v>12</v>
      </c>
      <c r="B154" s="30" t="s">
        <v>23</v>
      </c>
      <c r="C154" s="30" t="s">
        <v>248</v>
      </c>
      <c r="D154" s="31" t="s">
        <v>103</v>
      </c>
      <c r="E154" s="31">
        <v>530</v>
      </c>
      <c r="F154" s="31">
        <v>530</v>
      </c>
      <c r="G154" s="31" t="s">
        <v>25</v>
      </c>
      <c r="H154" s="31" t="s">
        <v>17</v>
      </c>
      <c r="I154" s="31">
        <v>55</v>
      </c>
      <c r="J154" s="32">
        <v>2370</v>
      </c>
      <c r="K154" s="32">
        <v>2480</v>
      </c>
      <c r="L154" s="32">
        <v>2480</v>
      </c>
      <c r="M154" s="32">
        <v>2480</v>
      </c>
      <c r="N154" s="32">
        <v>2480</v>
      </c>
      <c r="O154" s="32">
        <v>47200</v>
      </c>
      <c r="P154" s="32">
        <v>49500</v>
      </c>
      <c r="Q154" s="32">
        <v>49500</v>
      </c>
      <c r="R154" s="32">
        <v>49500</v>
      </c>
      <c r="S154" s="32">
        <v>49500</v>
      </c>
    </row>
    <row r="155" spans="1:19" x14ac:dyDescent="0.3">
      <c r="A155" s="30" t="s">
        <v>12</v>
      </c>
      <c r="B155" s="30" t="s">
        <v>23</v>
      </c>
      <c r="C155" s="30" t="s">
        <v>250</v>
      </c>
      <c r="D155" s="31" t="s">
        <v>103</v>
      </c>
      <c r="E155" s="31">
        <v>609</v>
      </c>
      <c r="F155" s="31">
        <v>609</v>
      </c>
      <c r="G155" s="31" t="s">
        <v>31</v>
      </c>
      <c r="H155" s="31" t="s">
        <v>17</v>
      </c>
      <c r="I155" s="31">
        <v>35</v>
      </c>
      <c r="J155" s="32">
        <v>1980</v>
      </c>
      <c r="K155" s="32">
        <v>2160</v>
      </c>
      <c r="L155" s="32">
        <v>2160</v>
      </c>
      <c r="M155" s="32">
        <v>2160</v>
      </c>
      <c r="N155" s="32">
        <v>2160</v>
      </c>
      <c r="O155" s="32">
        <v>52500</v>
      </c>
      <c r="P155" s="32">
        <v>57100</v>
      </c>
      <c r="Q155" s="32">
        <v>57100</v>
      </c>
      <c r="R155" s="32">
        <v>57100</v>
      </c>
      <c r="S155" s="32">
        <v>57100</v>
      </c>
    </row>
    <row r="156" spans="1:19" x14ac:dyDescent="0.3">
      <c r="A156" s="30" t="s">
        <v>12</v>
      </c>
      <c r="B156" s="30" t="s">
        <v>23</v>
      </c>
      <c r="C156" s="30" t="s">
        <v>24</v>
      </c>
      <c r="D156" s="31" t="s">
        <v>20</v>
      </c>
      <c r="E156" s="31">
        <v>2.1</v>
      </c>
      <c r="F156" s="31" t="s">
        <v>332</v>
      </c>
      <c r="G156" s="31" t="s">
        <v>25</v>
      </c>
      <c r="H156" s="31" t="s">
        <v>17</v>
      </c>
      <c r="I156" s="31">
        <v>55</v>
      </c>
      <c r="J156" s="32">
        <v>0</v>
      </c>
      <c r="K156" s="32">
        <v>0</v>
      </c>
      <c r="L156" s="32">
        <v>1910</v>
      </c>
      <c r="M156" s="32">
        <v>2000</v>
      </c>
      <c r="N156" s="32">
        <v>2000</v>
      </c>
      <c r="O156" s="32">
        <v>0</v>
      </c>
      <c r="P156" s="32">
        <v>0</v>
      </c>
      <c r="Q156" s="32">
        <v>37900</v>
      </c>
      <c r="R156" s="32">
        <v>39800</v>
      </c>
      <c r="S156" s="32">
        <v>39800</v>
      </c>
    </row>
    <row r="157" spans="1:19" ht="15" customHeight="1" x14ac:dyDescent="0.3">
      <c r="A157" s="30" t="s">
        <v>12</v>
      </c>
      <c r="B157" s="30" t="s">
        <v>23</v>
      </c>
      <c r="C157" s="30" t="s">
        <v>26</v>
      </c>
      <c r="D157" s="31" t="s">
        <v>15</v>
      </c>
      <c r="E157" s="31">
        <v>940</v>
      </c>
      <c r="F157" s="31" t="s">
        <v>27</v>
      </c>
      <c r="G157" s="31" t="s">
        <v>25</v>
      </c>
      <c r="H157" s="31" t="s">
        <v>17</v>
      </c>
      <c r="I157" s="31">
        <v>45</v>
      </c>
      <c r="J157" s="32">
        <v>2370</v>
      </c>
      <c r="K157" s="32">
        <v>2480</v>
      </c>
      <c r="L157" s="32">
        <v>2480</v>
      </c>
      <c r="M157" s="32">
        <v>2480</v>
      </c>
      <c r="N157" s="32">
        <v>2480</v>
      </c>
      <c r="O157" s="32">
        <v>47200</v>
      </c>
      <c r="P157" s="32">
        <v>49500</v>
      </c>
      <c r="Q157" s="32">
        <v>49500</v>
      </c>
      <c r="R157" s="32">
        <v>49500</v>
      </c>
      <c r="S157" s="32">
        <v>49500</v>
      </c>
    </row>
    <row r="158" spans="1:19" x14ac:dyDescent="0.3">
      <c r="A158" s="30" t="s">
        <v>12</v>
      </c>
      <c r="B158" s="30" t="s">
        <v>23</v>
      </c>
      <c r="C158" s="30" t="s">
        <v>199</v>
      </c>
      <c r="D158" s="31" t="s">
        <v>103</v>
      </c>
      <c r="E158" s="31">
        <v>531</v>
      </c>
      <c r="F158" s="31">
        <v>531</v>
      </c>
      <c r="G158" s="31" t="s">
        <v>25</v>
      </c>
      <c r="H158" s="31" t="s">
        <v>17</v>
      </c>
      <c r="I158" s="31">
        <v>45</v>
      </c>
      <c r="J158" s="32">
        <v>2270</v>
      </c>
      <c r="K158" s="32">
        <v>2520</v>
      </c>
      <c r="L158" s="32">
        <v>2600</v>
      </c>
      <c r="M158" s="32">
        <v>2600</v>
      </c>
      <c r="N158" s="32">
        <v>2600</v>
      </c>
      <c r="O158" s="32">
        <v>48300</v>
      </c>
      <c r="P158" s="32">
        <v>53600</v>
      </c>
      <c r="Q158" s="32">
        <v>55400</v>
      </c>
      <c r="R158" s="32">
        <v>55400</v>
      </c>
      <c r="S158" s="32">
        <v>55400</v>
      </c>
    </row>
    <row r="159" spans="1:19" x14ac:dyDescent="0.3">
      <c r="A159" s="30" t="s">
        <v>12</v>
      </c>
      <c r="B159" s="30" t="s">
        <v>23</v>
      </c>
      <c r="C159" s="30" t="s">
        <v>29</v>
      </c>
      <c r="D159" s="31" t="s">
        <v>15</v>
      </c>
      <c r="E159" s="31">
        <v>551</v>
      </c>
      <c r="F159" s="31" t="s">
        <v>331</v>
      </c>
      <c r="G159" s="31" t="s">
        <v>25</v>
      </c>
      <c r="H159" s="31" t="s">
        <v>17</v>
      </c>
      <c r="I159" s="31">
        <v>45</v>
      </c>
      <c r="J159" s="32">
        <v>2270</v>
      </c>
      <c r="K159" s="32">
        <v>2520</v>
      </c>
      <c r="L159" s="32">
        <v>2600</v>
      </c>
      <c r="M159" s="32">
        <v>2600</v>
      </c>
      <c r="N159" s="32">
        <v>2600</v>
      </c>
      <c r="O159" s="32">
        <v>48300</v>
      </c>
      <c r="P159" s="32">
        <v>53600</v>
      </c>
      <c r="Q159" s="32">
        <v>55400</v>
      </c>
      <c r="R159" s="32">
        <v>55400</v>
      </c>
      <c r="S159" s="32">
        <v>55400</v>
      </c>
    </row>
    <row r="160" spans="1:19" x14ac:dyDescent="0.3">
      <c r="A160" s="30" t="s">
        <v>12</v>
      </c>
      <c r="B160" s="30" t="s">
        <v>23</v>
      </c>
      <c r="C160" s="30" t="s">
        <v>32</v>
      </c>
      <c r="D160" s="31" t="s">
        <v>15</v>
      </c>
      <c r="E160" s="31">
        <v>5099</v>
      </c>
      <c r="F160" s="31" t="s">
        <v>333</v>
      </c>
      <c r="G160" s="31" t="s">
        <v>31</v>
      </c>
      <c r="H160" s="31" t="s">
        <v>17</v>
      </c>
      <c r="I160" s="31">
        <v>35</v>
      </c>
      <c r="J160" s="32">
        <v>1980</v>
      </c>
      <c r="K160" s="32">
        <v>2160</v>
      </c>
      <c r="L160" s="32">
        <v>2160</v>
      </c>
      <c r="M160" s="32">
        <v>2160</v>
      </c>
      <c r="N160" s="32">
        <v>2160</v>
      </c>
      <c r="O160" s="32">
        <v>52500</v>
      </c>
      <c r="P160" s="32">
        <v>57100</v>
      </c>
      <c r="Q160" s="32">
        <v>57100</v>
      </c>
      <c r="R160" s="32">
        <v>57100</v>
      </c>
      <c r="S160" s="32">
        <v>57100</v>
      </c>
    </row>
    <row r="161" spans="1:19" x14ac:dyDescent="0.3">
      <c r="A161" s="30" t="s">
        <v>12</v>
      </c>
      <c r="B161" s="30" t="s">
        <v>23</v>
      </c>
      <c r="C161" s="30" t="s">
        <v>30</v>
      </c>
      <c r="D161" s="31" t="s">
        <v>15</v>
      </c>
      <c r="E161" s="31">
        <v>287</v>
      </c>
      <c r="F161" s="31" t="s">
        <v>333</v>
      </c>
      <c r="G161" s="31" t="s">
        <v>31</v>
      </c>
      <c r="H161" s="31" t="s">
        <v>17</v>
      </c>
      <c r="I161" s="31">
        <v>35</v>
      </c>
      <c r="J161" s="32">
        <v>1980</v>
      </c>
      <c r="K161" s="32">
        <v>2160</v>
      </c>
      <c r="L161" s="32">
        <v>2160</v>
      </c>
      <c r="M161" s="32">
        <v>2160</v>
      </c>
      <c r="N161" s="32">
        <v>2160</v>
      </c>
      <c r="O161" s="32">
        <v>52500</v>
      </c>
      <c r="P161" s="32">
        <v>57100</v>
      </c>
      <c r="Q161" s="32">
        <v>57100</v>
      </c>
      <c r="R161" s="32">
        <v>57100</v>
      </c>
      <c r="S161" s="32">
        <v>57100</v>
      </c>
    </row>
    <row r="162" spans="1:19" x14ac:dyDescent="0.3">
      <c r="A162" s="30" t="s">
        <v>12</v>
      </c>
      <c r="B162" s="30" t="s">
        <v>23</v>
      </c>
      <c r="C162" s="30" t="s">
        <v>21</v>
      </c>
      <c r="D162" s="31" t="s">
        <v>20</v>
      </c>
      <c r="E162" s="31">
        <v>33</v>
      </c>
      <c r="F162" s="31" t="s">
        <v>296</v>
      </c>
      <c r="G162" s="31" t="s">
        <v>25</v>
      </c>
      <c r="H162" s="31" t="s">
        <v>17</v>
      </c>
      <c r="I162" s="31">
        <v>55</v>
      </c>
      <c r="J162" s="32">
        <v>0</v>
      </c>
      <c r="K162" s="32">
        <v>0</v>
      </c>
      <c r="L162" s="32">
        <v>1910</v>
      </c>
      <c r="M162" s="32">
        <v>2000</v>
      </c>
      <c r="N162" s="32">
        <v>2000</v>
      </c>
      <c r="O162" s="32">
        <v>0</v>
      </c>
      <c r="P162" s="32">
        <v>0</v>
      </c>
      <c r="Q162" s="32">
        <v>37900</v>
      </c>
      <c r="R162" s="32">
        <v>39800</v>
      </c>
      <c r="S162" s="32">
        <v>39800</v>
      </c>
    </row>
    <row r="163" spans="1:19" x14ac:dyDescent="0.3">
      <c r="A163" s="30" t="s">
        <v>12</v>
      </c>
      <c r="B163" s="30" t="s">
        <v>23</v>
      </c>
      <c r="C163" s="30" t="s">
        <v>19</v>
      </c>
      <c r="D163" s="31" t="s">
        <v>20</v>
      </c>
      <c r="E163" s="31">
        <v>660</v>
      </c>
      <c r="F163" s="31" t="s">
        <v>334</v>
      </c>
      <c r="G163" s="31" t="s">
        <v>25</v>
      </c>
      <c r="H163" s="31" t="s">
        <v>17</v>
      </c>
      <c r="I163" s="31">
        <v>55</v>
      </c>
      <c r="J163" s="32">
        <v>0</v>
      </c>
      <c r="K163" s="32">
        <v>0</v>
      </c>
      <c r="L163" s="32">
        <v>1910</v>
      </c>
      <c r="M163" s="32">
        <v>2000</v>
      </c>
      <c r="N163" s="32">
        <v>2000</v>
      </c>
      <c r="O163" s="32">
        <v>0</v>
      </c>
      <c r="P163" s="32">
        <v>0</v>
      </c>
      <c r="Q163" s="32">
        <v>37900</v>
      </c>
      <c r="R163" s="32">
        <v>39800</v>
      </c>
      <c r="S163" s="32">
        <v>39800</v>
      </c>
    </row>
    <row r="164" spans="1:19" x14ac:dyDescent="0.3">
      <c r="A164" s="30" t="s">
        <v>12</v>
      </c>
      <c r="B164" s="30" t="s">
        <v>23</v>
      </c>
      <c r="C164" s="30" t="s">
        <v>249</v>
      </c>
      <c r="D164" s="31" t="s">
        <v>103</v>
      </c>
      <c r="E164" s="31">
        <v>550</v>
      </c>
      <c r="F164" s="31">
        <v>550</v>
      </c>
      <c r="G164" s="31" t="s">
        <v>25</v>
      </c>
      <c r="H164" s="31" t="s">
        <v>17</v>
      </c>
      <c r="I164" s="31">
        <v>45</v>
      </c>
      <c r="J164" s="32">
        <v>2370</v>
      </c>
      <c r="K164" s="32">
        <v>2480</v>
      </c>
      <c r="L164" s="32">
        <v>2480</v>
      </c>
      <c r="M164" s="32">
        <v>2480</v>
      </c>
      <c r="N164" s="32">
        <v>2480</v>
      </c>
      <c r="O164" s="32">
        <v>47200</v>
      </c>
      <c r="P164" s="32">
        <v>49500</v>
      </c>
      <c r="Q164" s="32">
        <v>49500</v>
      </c>
      <c r="R164" s="32">
        <v>49500</v>
      </c>
      <c r="S164" s="32">
        <v>49500</v>
      </c>
    </row>
    <row r="165" spans="1:19" x14ac:dyDescent="0.3">
      <c r="A165" s="30" t="s">
        <v>12</v>
      </c>
      <c r="B165" s="30" t="s">
        <v>23</v>
      </c>
      <c r="C165" s="30" t="s">
        <v>34</v>
      </c>
      <c r="D165" s="31" t="s">
        <v>15</v>
      </c>
      <c r="E165" s="31">
        <v>5096</v>
      </c>
      <c r="F165" s="31" t="s">
        <v>335</v>
      </c>
      <c r="G165" s="31" t="s">
        <v>25</v>
      </c>
      <c r="H165" s="31" t="s">
        <v>17</v>
      </c>
      <c r="I165" s="31">
        <v>35</v>
      </c>
      <c r="J165" s="32">
        <v>1980</v>
      </c>
      <c r="K165" s="32">
        <v>2160</v>
      </c>
      <c r="L165" s="32">
        <v>2160</v>
      </c>
      <c r="M165" s="32">
        <v>2160</v>
      </c>
      <c r="N165" s="32">
        <v>2160</v>
      </c>
      <c r="O165" s="32">
        <v>52500</v>
      </c>
      <c r="P165" s="32">
        <v>57100</v>
      </c>
      <c r="Q165" s="32">
        <v>57100</v>
      </c>
      <c r="R165" s="32">
        <v>57100</v>
      </c>
      <c r="S165" s="32">
        <v>57100</v>
      </c>
    </row>
    <row r="166" spans="1:19" x14ac:dyDescent="0.3">
      <c r="A166" s="30" t="s">
        <v>12</v>
      </c>
      <c r="B166" s="30" t="s">
        <v>23</v>
      </c>
      <c r="C166" s="30" t="s">
        <v>33</v>
      </c>
      <c r="D166" s="31" t="s">
        <v>20</v>
      </c>
      <c r="E166" s="31">
        <v>5098</v>
      </c>
      <c r="F166" s="31" t="s">
        <v>335</v>
      </c>
      <c r="G166" s="31" t="s">
        <v>31</v>
      </c>
      <c r="H166" s="31" t="s">
        <v>17</v>
      </c>
      <c r="I166" s="31">
        <v>35</v>
      </c>
      <c r="J166" s="32">
        <v>1980</v>
      </c>
      <c r="K166" s="32">
        <v>2160</v>
      </c>
      <c r="L166" s="32">
        <v>2160</v>
      </c>
      <c r="M166" s="32">
        <v>2160</v>
      </c>
      <c r="N166" s="32">
        <v>2160</v>
      </c>
      <c r="O166" s="32">
        <v>52500</v>
      </c>
      <c r="P166" s="32">
        <v>57100</v>
      </c>
      <c r="Q166" s="32">
        <v>57100</v>
      </c>
      <c r="R166" s="32">
        <v>57100</v>
      </c>
      <c r="S166" s="32">
        <v>57100</v>
      </c>
    </row>
    <row r="167" spans="1:19" x14ac:dyDescent="0.3">
      <c r="A167" s="30" t="s">
        <v>12</v>
      </c>
      <c r="B167" s="30" t="s">
        <v>23</v>
      </c>
      <c r="C167" s="30" t="s">
        <v>35</v>
      </c>
      <c r="D167" s="31" t="s">
        <v>20</v>
      </c>
      <c r="E167" s="31">
        <v>7075</v>
      </c>
      <c r="F167" s="31" t="s">
        <v>336</v>
      </c>
      <c r="G167" s="31" t="s">
        <v>25</v>
      </c>
      <c r="H167" s="31" t="s">
        <v>17</v>
      </c>
      <c r="I167" s="31">
        <v>45</v>
      </c>
      <c r="J167" s="32">
        <v>0</v>
      </c>
      <c r="K167" s="32">
        <v>0</v>
      </c>
      <c r="L167" s="32">
        <v>1910</v>
      </c>
      <c r="M167" s="32">
        <v>2000</v>
      </c>
      <c r="N167" s="32">
        <v>2000</v>
      </c>
      <c r="O167" s="32">
        <v>0</v>
      </c>
      <c r="P167" s="32">
        <v>0</v>
      </c>
      <c r="Q167" s="32">
        <v>37900</v>
      </c>
      <c r="R167" s="32">
        <v>39800</v>
      </c>
      <c r="S167" s="32">
        <v>39800</v>
      </c>
    </row>
    <row r="168" spans="1:19" x14ac:dyDescent="0.3">
      <c r="A168" s="30" t="s">
        <v>71</v>
      </c>
      <c r="B168" s="30" t="s">
        <v>251</v>
      </c>
      <c r="C168" s="30" t="s">
        <v>46</v>
      </c>
      <c r="D168" s="31" t="s">
        <v>103</v>
      </c>
      <c r="E168" s="31">
        <v>610</v>
      </c>
      <c r="F168" s="31">
        <v>610</v>
      </c>
      <c r="G168" s="31" t="s">
        <v>39</v>
      </c>
      <c r="H168" s="31" t="s">
        <v>40</v>
      </c>
      <c r="I168" s="31">
        <v>30</v>
      </c>
      <c r="J168" s="32">
        <v>0</v>
      </c>
      <c r="K168" s="32">
        <v>0</v>
      </c>
      <c r="L168" s="32">
        <v>330</v>
      </c>
      <c r="M168" s="32">
        <v>680</v>
      </c>
      <c r="N168" s="32">
        <v>720</v>
      </c>
      <c r="O168" s="32">
        <v>0</v>
      </c>
      <c r="P168" s="32">
        <v>0</v>
      </c>
      <c r="Q168" s="32">
        <v>6600</v>
      </c>
      <c r="R168" s="32">
        <v>13300</v>
      </c>
      <c r="S168" s="32">
        <v>14000</v>
      </c>
    </row>
    <row r="169" spans="1:19" x14ac:dyDescent="0.3">
      <c r="A169" s="30" t="s">
        <v>71</v>
      </c>
      <c r="B169" s="30" t="s">
        <v>251</v>
      </c>
      <c r="C169" s="30" t="s">
        <v>252</v>
      </c>
      <c r="D169" s="31" t="s">
        <v>103</v>
      </c>
      <c r="E169" s="31">
        <v>612</v>
      </c>
      <c r="F169" s="31">
        <v>612</v>
      </c>
      <c r="G169" s="31" t="s">
        <v>39</v>
      </c>
      <c r="H169" s="31" t="s">
        <v>40</v>
      </c>
      <c r="I169" s="31">
        <v>30</v>
      </c>
      <c r="J169" s="32">
        <v>0</v>
      </c>
      <c r="K169" s="32">
        <v>0</v>
      </c>
      <c r="L169" s="32">
        <v>330</v>
      </c>
      <c r="M169" s="32">
        <v>680</v>
      </c>
      <c r="N169" s="32">
        <v>720</v>
      </c>
      <c r="O169" s="32">
        <v>0</v>
      </c>
      <c r="P169" s="32">
        <v>0</v>
      </c>
      <c r="Q169" s="32">
        <v>6600</v>
      </c>
      <c r="R169" s="32">
        <v>13300</v>
      </c>
      <c r="S169" s="32">
        <v>14000</v>
      </c>
    </row>
    <row r="170" spans="1:19" x14ac:dyDescent="0.3">
      <c r="A170" s="30" t="s">
        <v>71</v>
      </c>
      <c r="B170" s="30" t="s">
        <v>96</v>
      </c>
      <c r="C170" s="30" t="s">
        <v>253</v>
      </c>
      <c r="D170" s="31" t="s">
        <v>103</v>
      </c>
      <c r="E170" s="31">
        <v>502</v>
      </c>
      <c r="F170" s="31">
        <v>502</v>
      </c>
      <c r="G170" s="31" t="s">
        <v>254</v>
      </c>
      <c r="H170" s="31" t="s">
        <v>40</v>
      </c>
      <c r="I170" s="31">
        <v>35</v>
      </c>
      <c r="J170" s="32">
        <v>0</v>
      </c>
      <c r="K170" s="32">
        <v>0</v>
      </c>
      <c r="L170" s="32">
        <v>390</v>
      </c>
      <c r="M170" s="32">
        <v>790</v>
      </c>
      <c r="N170" s="32">
        <v>840</v>
      </c>
      <c r="O170" s="32">
        <v>0</v>
      </c>
      <c r="P170" s="32">
        <v>0</v>
      </c>
      <c r="Q170" s="32">
        <v>7700</v>
      </c>
      <c r="R170" s="32">
        <v>15500</v>
      </c>
      <c r="S170" s="32">
        <v>16400</v>
      </c>
    </row>
    <row r="171" spans="1:19" x14ac:dyDescent="0.3">
      <c r="A171" s="30" t="s">
        <v>71</v>
      </c>
      <c r="B171" s="30" t="s">
        <v>96</v>
      </c>
      <c r="C171" s="30" t="s">
        <v>97</v>
      </c>
      <c r="D171" s="31" t="s">
        <v>20</v>
      </c>
      <c r="E171" s="31">
        <v>8150</v>
      </c>
      <c r="F171" s="31" t="s">
        <v>337</v>
      </c>
      <c r="G171" s="31" t="s">
        <v>25</v>
      </c>
      <c r="H171" s="31" t="s">
        <v>40</v>
      </c>
      <c r="I171" s="31">
        <v>35</v>
      </c>
      <c r="J171" s="32">
        <v>0</v>
      </c>
      <c r="K171" s="32">
        <v>0</v>
      </c>
      <c r="L171" s="32">
        <v>730</v>
      </c>
      <c r="M171" s="32">
        <v>1630</v>
      </c>
      <c r="N171" s="32">
        <v>1700</v>
      </c>
      <c r="O171" s="32">
        <v>0</v>
      </c>
      <c r="P171" s="32">
        <v>0</v>
      </c>
      <c r="Q171" s="32">
        <v>14500</v>
      </c>
      <c r="R171" s="32">
        <v>32400</v>
      </c>
      <c r="S171" s="32">
        <v>33800</v>
      </c>
    </row>
    <row r="172" spans="1:19" x14ac:dyDescent="0.3">
      <c r="A172" s="30" t="s">
        <v>71</v>
      </c>
      <c r="B172" s="30" t="s">
        <v>96</v>
      </c>
      <c r="C172" s="30" t="s">
        <v>98</v>
      </c>
      <c r="D172" s="31" t="s">
        <v>20</v>
      </c>
      <c r="E172" s="31">
        <v>8151</v>
      </c>
      <c r="F172" s="31" t="s">
        <v>338</v>
      </c>
      <c r="G172" s="31" t="s">
        <v>39</v>
      </c>
      <c r="H172" s="31" t="s">
        <v>40</v>
      </c>
      <c r="I172" s="31">
        <v>35</v>
      </c>
      <c r="J172" s="32">
        <v>0</v>
      </c>
      <c r="K172" s="32">
        <v>0</v>
      </c>
      <c r="L172" s="32">
        <v>330</v>
      </c>
      <c r="M172" s="32">
        <v>680</v>
      </c>
      <c r="N172" s="32">
        <v>720</v>
      </c>
      <c r="O172" s="32">
        <v>0</v>
      </c>
      <c r="P172" s="32">
        <v>0</v>
      </c>
      <c r="Q172" s="32">
        <v>6600</v>
      </c>
      <c r="R172" s="32">
        <v>13300</v>
      </c>
      <c r="S172" s="32">
        <v>14000</v>
      </c>
    </row>
    <row r="173" spans="1:19" x14ac:dyDescent="0.3">
      <c r="A173" s="30" t="s">
        <v>71</v>
      </c>
      <c r="B173" s="30" t="s">
        <v>96</v>
      </c>
      <c r="C173" s="30" t="s">
        <v>255</v>
      </c>
      <c r="D173" s="31" t="s">
        <v>103</v>
      </c>
      <c r="E173" s="31">
        <v>503</v>
      </c>
      <c r="F173" s="31">
        <v>503</v>
      </c>
      <c r="G173" s="31" t="s">
        <v>39</v>
      </c>
      <c r="H173" s="31" t="s">
        <v>40</v>
      </c>
      <c r="I173" s="31">
        <v>35</v>
      </c>
      <c r="J173" s="32">
        <v>0</v>
      </c>
      <c r="K173" s="32">
        <v>0</v>
      </c>
      <c r="L173" s="32">
        <v>330</v>
      </c>
      <c r="M173" s="32">
        <v>680</v>
      </c>
      <c r="N173" s="32">
        <v>720</v>
      </c>
      <c r="O173" s="32">
        <v>0</v>
      </c>
      <c r="P173" s="32">
        <v>0</v>
      </c>
      <c r="Q173" s="32">
        <v>6600</v>
      </c>
      <c r="R173" s="32">
        <v>13300</v>
      </c>
      <c r="S173" s="32">
        <v>14000</v>
      </c>
    </row>
    <row r="174" spans="1:19" x14ac:dyDescent="0.3">
      <c r="A174" s="30" t="s">
        <v>71</v>
      </c>
      <c r="B174" s="30" t="s">
        <v>96</v>
      </c>
      <c r="C174" s="30" t="s">
        <v>256</v>
      </c>
      <c r="D174" s="31" t="s">
        <v>103</v>
      </c>
      <c r="E174" s="31">
        <v>532</v>
      </c>
      <c r="F174" s="31">
        <v>532</v>
      </c>
      <c r="G174" s="31" t="s">
        <v>254</v>
      </c>
      <c r="H174" s="31" t="s">
        <v>40</v>
      </c>
      <c r="I174" s="31">
        <v>35</v>
      </c>
      <c r="J174" s="32">
        <v>0</v>
      </c>
      <c r="K174" s="32">
        <v>0</v>
      </c>
      <c r="L174" s="32">
        <v>390</v>
      </c>
      <c r="M174" s="32">
        <v>790</v>
      </c>
      <c r="N174" s="32">
        <v>840</v>
      </c>
      <c r="O174" s="32">
        <v>0</v>
      </c>
      <c r="P174" s="32">
        <v>0</v>
      </c>
      <c r="Q174" s="32">
        <v>7700</v>
      </c>
      <c r="R174" s="32">
        <v>15500</v>
      </c>
      <c r="S174" s="32">
        <v>16400</v>
      </c>
    </row>
    <row r="175" spans="1:19" x14ac:dyDescent="0.3">
      <c r="A175" s="30" t="s">
        <v>71</v>
      </c>
      <c r="B175" s="30" t="s">
        <v>96</v>
      </c>
      <c r="C175" s="30" t="s">
        <v>257</v>
      </c>
      <c r="D175" s="31" t="s">
        <v>103</v>
      </c>
      <c r="E175" s="31">
        <v>533</v>
      </c>
      <c r="F175" s="31">
        <v>533</v>
      </c>
      <c r="G175" s="31" t="s">
        <v>39</v>
      </c>
      <c r="H175" s="31" t="s">
        <v>40</v>
      </c>
      <c r="I175" s="31">
        <v>35</v>
      </c>
      <c r="J175" s="32">
        <v>0</v>
      </c>
      <c r="K175" s="32">
        <v>0</v>
      </c>
      <c r="L175" s="32">
        <v>330</v>
      </c>
      <c r="M175" s="32">
        <v>680</v>
      </c>
      <c r="N175" s="32">
        <v>720</v>
      </c>
      <c r="O175" s="32">
        <v>0</v>
      </c>
      <c r="P175" s="32">
        <v>0</v>
      </c>
      <c r="Q175" s="32">
        <v>6600</v>
      </c>
      <c r="R175" s="32">
        <v>13300</v>
      </c>
      <c r="S175" s="32">
        <v>14000</v>
      </c>
    </row>
    <row r="176" spans="1:19" x14ac:dyDescent="0.3">
      <c r="A176" s="30" t="s">
        <v>71</v>
      </c>
      <c r="B176" s="30" t="s">
        <v>96</v>
      </c>
      <c r="C176" s="30" t="s">
        <v>258</v>
      </c>
      <c r="D176" s="31" t="s">
        <v>103</v>
      </c>
      <c r="E176" s="31">
        <v>525</v>
      </c>
      <c r="F176" s="31">
        <v>525</v>
      </c>
      <c r="G176" s="31" t="s">
        <v>25</v>
      </c>
      <c r="H176" s="31" t="s">
        <v>40</v>
      </c>
      <c r="I176" s="31">
        <v>35</v>
      </c>
      <c r="J176" s="32">
        <v>0</v>
      </c>
      <c r="K176" s="32">
        <v>0</v>
      </c>
      <c r="L176" s="32">
        <v>730</v>
      </c>
      <c r="M176" s="32">
        <v>1630</v>
      </c>
      <c r="N176" s="32">
        <v>1700</v>
      </c>
      <c r="O176" s="32">
        <v>0</v>
      </c>
      <c r="P176" s="32">
        <v>0</v>
      </c>
      <c r="Q176" s="32">
        <v>14500</v>
      </c>
      <c r="R176" s="32">
        <v>32400</v>
      </c>
      <c r="S176" s="32">
        <v>33800</v>
      </c>
    </row>
    <row r="177" spans="1:19" x14ac:dyDescent="0.3">
      <c r="A177" s="30" t="s">
        <v>71</v>
      </c>
      <c r="B177" s="30" t="s">
        <v>259</v>
      </c>
      <c r="C177" s="30" t="s">
        <v>260</v>
      </c>
      <c r="D177" s="31" t="s">
        <v>103</v>
      </c>
      <c r="E177" s="31">
        <v>534</v>
      </c>
      <c r="F177" s="31">
        <v>534</v>
      </c>
      <c r="G177" s="31" t="s">
        <v>39</v>
      </c>
      <c r="H177" s="31" t="s">
        <v>40</v>
      </c>
      <c r="I177" s="31">
        <v>35</v>
      </c>
      <c r="J177" s="32">
        <v>0</v>
      </c>
      <c r="K177" s="32">
        <v>0</v>
      </c>
      <c r="L177" s="32">
        <v>330</v>
      </c>
      <c r="M177" s="32">
        <v>680</v>
      </c>
      <c r="N177" s="32">
        <v>720</v>
      </c>
      <c r="O177" s="32">
        <v>0</v>
      </c>
      <c r="P177" s="32">
        <v>0</v>
      </c>
      <c r="Q177" s="32">
        <v>6600</v>
      </c>
      <c r="R177" s="32">
        <v>13300</v>
      </c>
      <c r="S177" s="32">
        <v>14000</v>
      </c>
    </row>
    <row r="178" spans="1:19" x14ac:dyDescent="0.3">
      <c r="A178" s="30" t="s">
        <v>71</v>
      </c>
      <c r="B178" s="30" t="s">
        <v>261</v>
      </c>
      <c r="C178" s="30" t="s">
        <v>70</v>
      </c>
      <c r="D178" s="31" t="s">
        <v>103</v>
      </c>
      <c r="E178" s="31">
        <v>627</v>
      </c>
      <c r="F178" s="31">
        <v>627</v>
      </c>
      <c r="G178" s="31" t="s">
        <v>39</v>
      </c>
      <c r="H178" s="31" t="s">
        <v>40</v>
      </c>
      <c r="I178" s="31">
        <v>45</v>
      </c>
      <c r="J178" s="32">
        <v>0</v>
      </c>
      <c r="K178" s="32">
        <v>0</v>
      </c>
      <c r="L178" s="32">
        <v>750</v>
      </c>
      <c r="M178" s="32">
        <v>790</v>
      </c>
      <c r="N178" s="32">
        <v>790</v>
      </c>
      <c r="O178" s="32">
        <v>0</v>
      </c>
      <c r="P178" s="32">
        <v>0</v>
      </c>
      <c r="Q178" s="32">
        <v>15100</v>
      </c>
      <c r="R178" s="32">
        <v>15900</v>
      </c>
      <c r="S178" s="32">
        <v>15900</v>
      </c>
    </row>
    <row r="179" spans="1:19" x14ac:dyDescent="0.3">
      <c r="A179" s="30" t="s">
        <v>71</v>
      </c>
      <c r="B179" s="30" t="s">
        <v>261</v>
      </c>
      <c r="C179" s="30" t="s">
        <v>263</v>
      </c>
      <c r="D179" s="31" t="s">
        <v>103</v>
      </c>
      <c r="E179" s="31">
        <v>626</v>
      </c>
      <c r="F179" s="31">
        <v>626</v>
      </c>
      <c r="G179" s="31" t="s">
        <v>39</v>
      </c>
      <c r="H179" s="31" t="s">
        <v>40</v>
      </c>
      <c r="I179" s="31">
        <v>45</v>
      </c>
      <c r="J179" s="32">
        <v>0</v>
      </c>
      <c r="K179" s="32">
        <v>0</v>
      </c>
      <c r="L179" s="32">
        <v>750</v>
      </c>
      <c r="M179" s="32">
        <v>790</v>
      </c>
      <c r="N179" s="32">
        <v>790</v>
      </c>
      <c r="O179" s="32">
        <v>0</v>
      </c>
      <c r="P179" s="32">
        <v>0</v>
      </c>
      <c r="Q179" s="32">
        <v>15100</v>
      </c>
      <c r="R179" s="32">
        <v>15900</v>
      </c>
      <c r="S179" s="32">
        <v>15900</v>
      </c>
    </row>
    <row r="180" spans="1:19" x14ac:dyDescent="0.3">
      <c r="A180" s="30" t="s">
        <v>71</v>
      </c>
      <c r="B180" s="30" t="s">
        <v>261</v>
      </c>
      <c r="C180" s="30" t="s">
        <v>262</v>
      </c>
      <c r="D180" s="31" t="s">
        <v>103</v>
      </c>
      <c r="E180" s="31">
        <v>625</v>
      </c>
      <c r="F180" s="31">
        <v>625</v>
      </c>
      <c r="G180" s="31" t="s">
        <v>39</v>
      </c>
      <c r="H180" s="31" t="s">
        <v>40</v>
      </c>
      <c r="I180" s="31">
        <v>45</v>
      </c>
      <c r="J180" s="32">
        <v>0</v>
      </c>
      <c r="K180" s="32">
        <v>0</v>
      </c>
      <c r="L180" s="32">
        <v>750</v>
      </c>
      <c r="M180" s="32">
        <v>790</v>
      </c>
      <c r="N180" s="32">
        <v>790</v>
      </c>
      <c r="O180" s="32">
        <v>0</v>
      </c>
      <c r="P180" s="32">
        <v>0</v>
      </c>
      <c r="Q180" s="32">
        <v>15100</v>
      </c>
      <c r="R180" s="32">
        <v>15900</v>
      </c>
      <c r="S180" s="32">
        <v>15900</v>
      </c>
    </row>
    <row r="181" spans="1:19" x14ac:dyDescent="0.3">
      <c r="A181" s="30" t="s">
        <v>36</v>
      </c>
      <c r="B181" s="30" t="s">
        <v>59</v>
      </c>
      <c r="C181" s="30" t="s">
        <v>265</v>
      </c>
      <c r="D181" s="31" t="s">
        <v>103</v>
      </c>
      <c r="E181" s="31">
        <v>606</v>
      </c>
      <c r="F181" s="31">
        <v>606</v>
      </c>
      <c r="G181" s="31" t="s">
        <v>31</v>
      </c>
      <c r="H181" s="31" t="s">
        <v>40</v>
      </c>
      <c r="I181" s="31">
        <v>45</v>
      </c>
      <c r="J181" s="32">
        <v>0</v>
      </c>
      <c r="K181" s="32">
        <v>0</v>
      </c>
      <c r="L181" s="32">
        <v>1910</v>
      </c>
      <c r="M181" s="32">
        <v>2000</v>
      </c>
      <c r="N181" s="32">
        <v>2000</v>
      </c>
      <c r="O181" s="32">
        <v>0</v>
      </c>
      <c r="P181" s="32">
        <v>0</v>
      </c>
      <c r="Q181" s="32">
        <v>37900</v>
      </c>
      <c r="R181" s="32">
        <v>39800</v>
      </c>
      <c r="S181" s="32">
        <v>39800</v>
      </c>
    </row>
    <row r="182" spans="1:19" x14ac:dyDescent="0.3">
      <c r="A182" s="30" t="s">
        <v>36</v>
      </c>
      <c r="B182" s="30" t="s">
        <v>59</v>
      </c>
      <c r="C182" s="30" t="s">
        <v>60</v>
      </c>
      <c r="D182" s="31" t="s">
        <v>20</v>
      </c>
      <c r="E182" s="31">
        <v>799</v>
      </c>
      <c r="F182" s="31" t="s">
        <v>339</v>
      </c>
      <c r="G182" s="31" t="s">
        <v>61</v>
      </c>
      <c r="H182" s="31" t="s">
        <v>40</v>
      </c>
      <c r="I182" s="31">
        <v>45</v>
      </c>
      <c r="J182" s="32">
        <v>0</v>
      </c>
      <c r="K182" s="32">
        <v>610</v>
      </c>
      <c r="L182" s="32">
        <v>930</v>
      </c>
      <c r="M182" s="32">
        <v>1260</v>
      </c>
      <c r="N182" s="32">
        <v>1690</v>
      </c>
      <c r="O182" s="32">
        <v>0</v>
      </c>
      <c r="P182" s="32">
        <v>12300</v>
      </c>
      <c r="Q182" s="32">
        <v>18900</v>
      </c>
      <c r="R182" s="32">
        <v>25400</v>
      </c>
      <c r="S182" s="32">
        <v>34200</v>
      </c>
    </row>
    <row r="183" spans="1:19" x14ac:dyDescent="0.3">
      <c r="A183" s="30" t="s">
        <v>36</v>
      </c>
      <c r="B183" s="30" t="s">
        <v>59</v>
      </c>
      <c r="C183" s="30" t="s">
        <v>62</v>
      </c>
      <c r="D183" s="31" t="s">
        <v>20</v>
      </c>
      <c r="E183" s="31">
        <v>25</v>
      </c>
      <c r="F183" s="31" t="s">
        <v>340</v>
      </c>
      <c r="G183" s="31" t="s">
        <v>31</v>
      </c>
      <c r="H183" s="31" t="s">
        <v>40</v>
      </c>
      <c r="I183" s="31">
        <v>45</v>
      </c>
      <c r="J183" s="32">
        <v>0</v>
      </c>
      <c r="K183" s="32">
        <v>0</v>
      </c>
      <c r="L183" s="32">
        <v>1910</v>
      </c>
      <c r="M183" s="32">
        <v>2000</v>
      </c>
      <c r="N183" s="32">
        <v>2000</v>
      </c>
      <c r="O183" s="32">
        <v>0</v>
      </c>
      <c r="P183" s="32">
        <v>0</v>
      </c>
      <c r="Q183" s="32">
        <v>37900</v>
      </c>
      <c r="R183" s="32">
        <v>39800</v>
      </c>
      <c r="S183" s="32">
        <v>39800</v>
      </c>
    </row>
    <row r="184" spans="1:19" x14ac:dyDescent="0.3">
      <c r="A184" s="30" t="s">
        <v>36</v>
      </c>
      <c r="B184" s="30" t="s">
        <v>59</v>
      </c>
      <c r="C184" s="30" t="s">
        <v>63</v>
      </c>
      <c r="D184" s="31" t="s">
        <v>20</v>
      </c>
      <c r="E184" s="31">
        <v>330</v>
      </c>
      <c r="F184" s="31" t="s">
        <v>341</v>
      </c>
      <c r="G184" s="31" t="s">
        <v>31</v>
      </c>
      <c r="H184" s="31" t="s">
        <v>40</v>
      </c>
      <c r="I184" s="31">
        <v>45</v>
      </c>
      <c r="J184" s="32">
        <v>0</v>
      </c>
      <c r="K184" s="32">
        <v>0</v>
      </c>
      <c r="L184" s="32">
        <v>1910</v>
      </c>
      <c r="M184" s="32">
        <v>2000</v>
      </c>
      <c r="N184" s="32">
        <v>2000</v>
      </c>
      <c r="O184" s="32">
        <v>0</v>
      </c>
      <c r="P184" s="32">
        <v>0</v>
      </c>
      <c r="Q184" s="32">
        <v>37900</v>
      </c>
      <c r="R184" s="32">
        <v>39800</v>
      </c>
      <c r="S184" s="32">
        <v>39800</v>
      </c>
    </row>
    <row r="185" spans="1:19" x14ac:dyDescent="0.3">
      <c r="A185" s="30" t="s">
        <v>36</v>
      </c>
      <c r="B185" s="30" t="s">
        <v>59</v>
      </c>
      <c r="C185" s="30" t="s">
        <v>64</v>
      </c>
      <c r="D185" s="31" t="s">
        <v>20</v>
      </c>
      <c r="E185" s="31">
        <v>331</v>
      </c>
      <c r="F185" s="31" t="s">
        <v>342</v>
      </c>
      <c r="G185" s="31" t="s">
        <v>25</v>
      </c>
      <c r="H185" s="31" t="s">
        <v>40</v>
      </c>
      <c r="I185" s="31">
        <v>45</v>
      </c>
      <c r="J185" s="32">
        <v>0</v>
      </c>
      <c r="K185" s="32">
        <v>0</v>
      </c>
      <c r="L185" s="32">
        <v>1910</v>
      </c>
      <c r="M185" s="32">
        <v>2000</v>
      </c>
      <c r="N185" s="32">
        <v>2000</v>
      </c>
      <c r="O185" s="32">
        <v>0</v>
      </c>
      <c r="P185" s="32">
        <v>0</v>
      </c>
      <c r="Q185" s="32">
        <v>37900</v>
      </c>
      <c r="R185" s="32">
        <v>39800</v>
      </c>
      <c r="S185" s="32">
        <v>39800</v>
      </c>
    </row>
    <row r="186" spans="1:19" x14ac:dyDescent="0.3">
      <c r="A186" s="30" t="s">
        <v>36</v>
      </c>
      <c r="B186" s="30" t="s">
        <v>59</v>
      </c>
      <c r="C186" s="30" t="s">
        <v>65</v>
      </c>
      <c r="D186" s="31" t="s">
        <v>20</v>
      </c>
      <c r="E186" s="31">
        <v>222</v>
      </c>
      <c r="F186" s="31" t="s">
        <v>343</v>
      </c>
      <c r="G186" s="31" t="s">
        <v>25</v>
      </c>
      <c r="H186" s="31" t="s">
        <v>40</v>
      </c>
      <c r="I186" s="31">
        <v>45</v>
      </c>
      <c r="J186" s="32">
        <v>0</v>
      </c>
      <c r="K186" s="32">
        <v>0</v>
      </c>
      <c r="L186" s="32">
        <v>1910</v>
      </c>
      <c r="M186" s="32">
        <v>2000</v>
      </c>
      <c r="N186" s="32">
        <v>2000</v>
      </c>
      <c r="O186" s="32">
        <v>0</v>
      </c>
      <c r="P186" s="32">
        <v>0</v>
      </c>
      <c r="Q186" s="32">
        <v>37900</v>
      </c>
      <c r="R186" s="32">
        <v>39800</v>
      </c>
      <c r="S186" s="32">
        <v>39800</v>
      </c>
    </row>
    <row r="187" spans="1:19" x14ac:dyDescent="0.3">
      <c r="A187" s="30" t="s">
        <v>36</v>
      </c>
      <c r="B187" s="30" t="s">
        <v>59</v>
      </c>
      <c r="C187" s="30" t="s">
        <v>66</v>
      </c>
      <c r="D187" s="31" t="s">
        <v>20</v>
      </c>
      <c r="E187" s="31">
        <v>65</v>
      </c>
      <c r="F187" s="31" t="s">
        <v>344</v>
      </c>
      <c r="G187" s="31" t="s">
        <v>25</v>
      </c>
      <c r="H187" s="31" t="s">
        <v>40</v>
      </c>
      <c r="I187" s="31">
        <v>45</v>
      </c>
      <c r="J187" s="32">
        <v>0</v>
      </c>
      <c r="K187" s="32">
        <v>0</v>
      </c>
      <c r="L187" s="32">
        <v>1910</v>
      </c>
      <c r="M187" s="32">
        <v>2000</v>
      </c>
      <c r="N187" s="32">
        <v>2000</v>
      </c>
      <c r="O187" s="32">
        <v>0</v>
      </c>
      <c r="P187" s="32">
        <v>0</v>
      </c>
      <c r="Q187" s="32">
        <v>37900</v>
      </c>
      <c r="R187" s="32">
        <v>39800</v>
      </c>
      <c r="S187" s="32">
        <v>39800</v>
      </c>
    </row>
    <row r="188" spans="1:19" x14ac:dyDescent="0.3">
      <c r="A188" s="30" t="s">
        <v>36</v>
      </c>
      <c r="B188" s="30" t="s">
        <v>59</v>
      </c>
      <c r="C188" s="30" t="s">
        <v>264</v>
      </c>
      <c r="D188" s="31" t="s">
        <v>103</v>
      </c>
      <c r="E188" s="31">
        <v>223</v>
      </c>
      <c r="F188" s="31">
        <v>223</v>
      </c>
      <c r="G188" s="31" t="s">
        <v>25</v>
      </c>
      <c r="H188" s="31" t="s">
        <v>40</v>
      </c>
      <c r="I188" s="31">
        <v>45</v>
      </c>
      <c r="J188" s="32">
        <v>0</v>
      </c>
      <c r="K188" s="32">
        <v>0</v>
      </c>
      <c r="L188" s="32">
        <v>1910</v>
      </c>
      <c r="M188" s="32">
        <v>2000</v>
      </c>
      <c r="N188" s="32">
        <v>2000</v>
      </c>
      <c r="O188" s="32">
        <v>0</v>
      </c>
      <c r="P188" s="32">
        <v>0</v>
      </c>
      <c r="Q188" s="32">
        <v>37900</v>
      </c>
      <c r="R188" s="32">
        <v>39800</v>
      </c>
      <c r="S188" s="32">
        <v>39800</v>
      </c>
    </row>
    <row r="189" spans="1:19" x14ac:dyDescent="0.3">
      <c r="A189" s="30" t="s">
        <v>36</v>
      </c>
      <c r="B189" s="30" t="s">
        <v>67</v>
      </c>
      <c r="C189" s="30" t="s">
        <v>69</v>
      </c>
      <c r="D189" s="31" t="s">
        <v>20</v>
      </c>
      <c r="E189" s="31">
        <v>7049</v>
      </c>
      <c r="F189" s="31" t="s">
        <v>345</v>
      </c>
      <c r="G189" s="31" t="s">
        <v>39</v>
      </c>
      <c r="H189" s="31" t="s">
        <v>40</v>
      </c>
      <c r="I189" s="31">
        <v>45</v>
      </c>
      <c r="J189" s="32">
        <v>0</v>
      </c>
      <c r="K189" s="32">
        <v>580</v>
      </c>
      <c r="L189" s="32">
        <v>890</v>
      </c>
      <c r="M189" s="32">
        <v>1200</v>
      </c>
      <c r="N189" s="32">
        <v>1610</v>
      </c>
      <c r="O189" s="32">
        <v>0</v>
      </c>
      <c r="P189" s="32">
        <v>11700</v>
      </c>
      <c r="Q189" s="32">
        <v>18000</v>
      </c>
      <c r="R189" s="32">
        <v>24200</v>
      </c>
      <c r="S189" s="32">
        <v>32600</v>
      </c>
    </row>
    <row r="190" spans="1:19" x14ac:dyDescent="0.3">
      <c r="A190" s="30" t="s">
        <v>36</v>
      </c>
      <c r="B190" s="30" t="s">
        <v>67</v>
      </c>
      <c r="C190" s="30" t="s">
        <v>68</v>
      </c>
      <c r="D190" s="31" t="s">
        <v>20</v>
      </c>
      <c r="E190" s="31">
        <v>501</v>
      </c>
      <c r="F190" s="31" t="s">
        <v>346</v>
      </c>
      <c r="G190" s="31" t="s">
        <v>39</v>
      </c>
      <c r="H190" s="31" t="s">
        <v>40</v>
      </c>
      <c r="I190" s="31">
        <v>35</v>
      </c>
      <c r="J190" s="32">
        <v>0</v>
      </c>
      <c r="K190" s="32">
        <v>0</v>
      </c>
      <c r="L190" s="32">
        <v>390</v>
      </c>
      <c r="M190" s="32">
        <v>790</v>
      </c>
      <c r="N190" s="32">
        <v>840</v>
      </c>
      <c r="O190" s="32">
        <v>0</v>
      </c>
      <c r="P190" s="32">
        <v>0</v>
      </c>
      <c r="Q190" s="32">
        <v>7700</v>
      </c>
      <c r="R190" s="32">
        <v>15540</v>
      </c>
      <c r="S190" s="32">
        <v>16400</v>
      </c>
    </row>
    <row r="191" spans="1:19" x14ac:dyDescent="0.3">
      <c r="A191" s="30" t="s">
        <v>36</v>
      </c>
      <c r="B191" s="30" t="s">
        <v>67</v>
      </c>
      <c r="C191" s="30" t="s">
        <v>70</v>
      </c>
      <c r="D191" s="31" t="s">
        <v>20</v>
      </c>
      <c r="E191" s="31">
        <v>22</v>
      </c>
      <c r="F191" s="31" t="s">
        <v>345</v>
      </c>
      <c r="G191" s="31" t="s">
        <v>39</v>
      </c>
      <c r="H191" s="31" t="s">
        <v>40</v>
      </c>
      <c r="I191" s="31">
        <v>45</v>
      </c>
      <c r="J191" s="32">
        <v>0</v>
      </c>
      <c r="K191" s="32">
        <v>580</v>
      </c>
      <c r="L191" s="32">
        <v>890</v>
      </c>
      <c r="M191" s="32">
        <v>1200</v>
      </c>
      <c r="N191" s="32">
        <v>1610</v>
      </c>
      <c r="O191" s="32">
        <v>0</v>
      </c>
      <c r="P191" s="32">
        <v>11700</v>
      </c>
      <c r="Q191" s="32">
        <v>18000</v>
      </c>
      <c r="R191" s="32">
        <v>24200</v>
      </c>
      <c r="S191" s="32">
        <v>32600</v>
      </c>
    </row>
    <row r="192" spans="1:19" x14ac:dyDescent="0.3">
      <c r="A192" s="30" t="s">
        <v>36</v>
      </c>
      <c r="B192" s="30" t="s">
        <v>67</v>
      </c>
      <c r="C192" s="30" t="s">
        <v>266</v>
      </c>
      <c r="D192" s="31" t="s">
        <v>103</v>
      </c>
      <c r="E192" s="31">
        <v>624</v>
      </c>
      <c r="F192" s="31">
        <v>624</v>
      </c>
      <c r="G192" s="31" t="s">
        <v>61</v>
      </c>
      <c r="H192" s="31" t="s">
        <v>40</v>
      </c>
      <c r="I192" s="31">
        <v>45</v>
      </c>
      <c r="J192" s="32">
        <v>0</v>
      </c>
      <c r="K192" s="32">
        <v>610</v>
      </c>
      <c r="L192" s="32">
        <v>930</v>
      </c>
      <c r="M192" s="32">
        <v>1260</v>
      </c>
      <c r="N192" s="32">
        <v>1690</v>
      </c>
      <c r="O192" s="32">
        <v>0</v>
      </c>
      <c r="P192" s="32">
        <v>12300</v>
      </c>
      <c r="Q192" s="32">
        <v>18900</v>
      </c>
      <c r="R192" s="32">
        <v>25400</v>
      </c>
      <c r="S192" s="32">
        <v>34200</v>
      </c>
    </row>
    <row r="193" spans="1:19" x14ac:dyDescent="0.3">
      <c r="A193" s="30" t="s">
        <v>71</v>
      </c>
      <c r="B193" s="30" t="s">
        <v>267</v>
      </c>
      <c r="C193" s="30" t="s">
        <v>268</v>
      </c>
      <c r="D193" s="31" t="s">
        <v>103</v>
      </c>
      <c r="E193" s="31">
        <v>700</v>
      </c>
      <c r="F193" s="31">
        <v>700</v>
      </c>
      <c r="G193" s="31" t="s">
        <v>39</v>
      </c>
      <c r="H193" s="31" t="s">
        <v>40</v>
      </c>
      <c r="I193" s="31">
        <v>25</v>
      </c>
      <c r="J193" s="32">
        <v>0</v>
      </c>
      <c r="K193" s="32">
        <v>0</v>
      </c>
      <c r="L193" s="32">
        <v>330</v>
      </c>
      <c r="M193" s="32">
        <v>680</v>
      </c>
      <c r="N193" s="32">
        <v>720</v>
      </c>
      <c r="O193" s="32">
        <v>0</v>
      </c>
      <c r="P193" s="32">
        <v>0</v>
      </c>
      <c r="Q193" s="32">
        <v>6600</v>
      </c>
      <c r="R193" s="32">
        <v>13300</v>
      </c>
      <c r="S193" s="32">
        <v>14000</v>
      </c>
    </row>
    <row r="194" spans="1:19" x14ac:dyDescent="0.3">
      <c r="A194" s="30" t="s">
        <v>71</v>
      </c>
      <c r="B194" s="30" t="s">
        <v>99</v>
      </c>
      <c r="C194" s="30" t="s">
        <v>100</v>
      </c>
      <c r="D194" s="31" t="s">
        <v>20</v>
      </c>
      <c r="E194" s="31">
        <v>8152</v>
      </c>
      <c r="F194" s="31" t="s">
        <v>347</v>
      </c>
      <c r="G194" s="31" t="s">
        <v>39</v>
      </c>
      <c r="H194" s="31" t="s">
        <v>40</v>
      </c>
      <c r="I194" s="31">
        <v>35</v>
      </c>
      <c r="J194" s="32">
        <v>0</v>
      </c>
      <c r="K194" s="32">
        <v>0</v>
      </c>
      <c r="L194" s="32">
        <v>330</v>
      </c>
      <c r="M194" s="32">
        <v>680</v>
      </c>
      <c r="N194" s="32">
        <v>720</v>
      </c>
      <c r="O194" s="32">
        <v>0</v>
      </c>
      <c r="P194" s="32">
        <v>0</v>
      </c>
      <c r="Q194" s="32">
        <v>6600</v>
      </c>
      <c r="R194" s="32">
        <v>13300</v>
      </c>
      <c r="S194" s="32">
        <v>14000</v>
      </c>
    </row>
    <row r="195" spans="1:19" x14ac:dyDescent="0.3">
      <c r="A195" s="30" t="s">
        <v>71</v>
      </c>
      <c r="B195" s="30" t="s">
        <v>99</v>
      </c>
      <c r="C195" s="30" t="s">
        <v>269</v>
      </c>
      <c r="D195" s="31" t="s">
        <v>103</v>
      </c>
      <c r="E195" s="31">
        <v>800</v>
      </c>
      <c r="F195" s="31">
        <v>800</v>
      </c>
      <c r="G195" s="31" t="s">
        <v>39</v>
      </c>
      <c r="H195" s="31" t="s">
        <v>40</v>
      </c>
      <c r="I195" s="31">
        <v>35</v>
      </c>
      <c r="J195" s="32">
        <v>0</v>
      </c>
      <c r="K195" s="32">
        <v>0</v>
      </c>
      <c r="L195" s="32">
        <v>330</v>
      </c>
      <c r="M195" s="32">
        <v>680</v>
      </c>
      <c r="N195" s="32">
        <v>720</v>
      </c>
      <c r="O195" s="32">
        <v>0</v>
      </c>
      <c r="P195" s="32">
        <v>0</v>
      </c>
      <c r="Q195" s="32">
        <v>6600</v>
      </c>
      <c r="R195" s="32">
        <v>13300</v>
      </c>
      <c r="S195" s="32">
        <v>14000</v>
      </c>
    </row>
    <row r="196" spans="1:19" x14ac:dyDescent="0.3">
      <c r="A196" s="33" t="s">
        <v>348</v>
      </c>
      <c r="B196" s="33"/>
      <c r="C196" s="33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</row>
    <row r="197" spans="1:19" x14ac:dyDescent="0.3">
      <c r="A197" s="33" t="s">
        <v>366</v>
      </c>
      <c r="B197" s="33"/>
      <c r="C197" s="33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</row>
    <row r="198" spans="1:19" x14ac:dyDescent="0.3">
      <c r="A198" s="9"/>
      <c r="B198" s="9"/>
      <c r="C198" s="9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</row>
  </sheetData>
  <sheetProtection algorithmName="SHA-512" hashValue="dXOdiupGBRkmFmcufwIcTPTlClFLYXTW/RrxFX7To1+Js9yz5ACJ97OdCZRcbBYACUji9LmRyEHJte3DX1ejUA==" saltValue="iuC9Ji6aQkwReurWQRSJ+Q==" spinCount="100000" sheet="1" objects="1" scenarios="1"/>
  <mergeCells count="11">
    <mergeCell ref="J1:N1"/>
    <mergeCell ref="O1:S1"/>
    <mergeCell ref="D1:D2"/>
    <mergeCell ref="E1:E2"/>
    <mergeCell ref="F1:F2"/>
    <mergeCell ref="G1:G2"/>
    <mergeCell ref="A1:A2"/>
    <mergeCell ref="B1:B2"/>
    <mergeCell ref="C1:C2"/>
    <mergeCell ref="H1:H2"/>
    <mergeCell ref="I1:I2"/>
  </mergeCells>
  <pageMargins left="0.75" right="0.75" top="1" bottom="1" header="0.5" footer="0.5"/>
  <pageSetup scale="44" fitToHeight="0" orientation="landscape" horizontalDpi="1200" verticalDpi="1200" r:id="rId1"/>
  <headerFooter>
    <oddHeader>&amp;C&amp;"Arial,Bold"&amp;12City of Apopka
2025 CMS Tables
Service Volumes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198"/>
  <sheetViews>
    <sheetView topLeftCell="B1" zoomScale="85" zoomScaleNormal="85" workbookViewId="0">
      <selection activeCell="Q3" sqref="Q3"/>
    </sheetView>
  </sheetViews>
  <sheetFormatPr defaultColWidth="8.6640625" defaultRowHeight="13.8" x14ac:dyDescent="0.25"/>
  <cols>
    <col min="1" max="1" width="11.5546875" style="6" customWidth="1"/>
    <col min="2" max="2" width="62.44140625" style="6" customWidth="1"/>
    <col min="3" max="3" width="56" style="6" customWidth="1"/>
    <col min="4" max="4" width="12" style="5" customWidth="1"/>
    <col min="5" max="5" width="10.5546875" style="5" customWidth="1"/>
    <col min="6" max="6" width="11.88671875" style="5" customWidth="1"/>
    <col min="7" max="7" width="8.6640625" style="5"/>
    <col min="8" max="8" width="6.44140625" style="5" customWidth="1"/>
    <col min="9" max="9" width="9.109375" style="5" customWidth="1"/>
    <col min="10" max="10" width="10.109375" style="5" customWidth="1"/>
    <col min="11" max="16384" width="8.6640625" style="5"/>
  </cols>
  <sheetData>
    <row r="1" spans="1:23" x14ac:dyDescent="0.25">
      <c r="A1" s="104" t="s">
        <v>0</v>
      </c>
      <c r="B1" s="104" t="s">
        <v>1</v>
      </c>
      <c r="C1" s="104" t="s">
        <v>2</v>
      </c>
      <c r="D1" s="106" t="s">
        <v>3</v>
      </c>
      <c r="E1" s="106" t="s">
        <v>4</v>
      </c>
      <c r="F1" s="106" t="s">
        <v>5</v>
      </c>
      <c r="G1" s="106" t="s">
        <v>6</v>
      </c>
      <c r="H1" s="106" t="s">
        <v>7</v>
      </c>
      <c r="I1" s="106" t="s">
        <v>8</v>
      </c>
      <c r="J1" s="108" t="s">
        <v>275</v>
      </c>
      <c r="K1" s="110"/>
      <c r="L1" s="108" t="s">
        <v>276</v>
      </c>
      <c r="M1" s="109"/>
      <c r="N1" s="109"/>
      <c r="O1" s="109"/>
      <c r="P1" s="109"/>
      <c r="Q1" s="110"/>
      <c r="R1" s="108" t="s">
        <v>277</v>
      </c>
      <c r="S1" s="109"/>
      <c r="T1" s="109"/>
      <c r="U1" s="109"/>
      <c r="V1" s="109"/>
      <c r="W1" s="110"/>
    </row>
    <row r="2" spans="1:23" x14ac:dyDescent="0.25">
      <c r="A2" s="105"/>
      <c r="B2" s="105"/>
      <c r="C2" s="105"/>
      <c r="D2" s="107"/>
      <c r="E2" s="107"/>
      <c r="F2" s="107"/>
      <c r="G2" s="107"/>
      <c r="H2" s="107"/>
      <c r="I2" s="107"/>
      <c r="J2" s="29" t="s">
        <v>278</v>
      </c>
      <c r="K2" s="29" t="s">
        <v>279</v>
      </c>
      <c r="L2" s="29" t="s">
        <v>280</v>
      </c>
      <c r="M2" s="29" t="s">
        <v>281</v>
      </c>
      <c r="N2" s="29" t="s">
        <v>282</v>
      </c>
      <c r="O2" s="29" t="s">
        <v>283</v>
      </c>
      <c r="P2" s="29" t="s">
        <v>17</v>
      </c>
      <c r="Q2" s="29" t="s">
        <v>279</v>
      </c>
      <c r="R2" s="29" t="s">
        <v>280</v>
      </c>
      <c r="S2" s="29" t="s">
        <v>281</v>
      </c>
      <c r="T2" s="29" t="s">
        <v>282</v>
      </c>
      <c r="U2" s="29" t="s">
        <v>283</v>
      </c>
      <c r="V2" s="29" t="s">
        <v>17</v>
      </c>
      <c r="W2" s="29" t="s">
        <v>279</v>
      </c>
    </row>
    <row r="3" spans="1:23" x14ac:dyDescent="0.25">
      <c r="A3" s="30" t="s">
        <v>71</v>
      </c>
      <c r="B3" s="30" t="s">
        <v>101</v>
      </c>
      <c r="C3" s="30" t="s">
        <v>102</v>
      </c>
      <c r="D3" s="31" t="s">
        <v>103</v>
      </c>
      <c r="E3" s="31">
        <v>411</v>
      </c>
      <c r="F3" s="31">
        <v>411</v>
      </c>
      <c r="G3" s="31" t="s">
        <v>39</v>
      </c>
      <c r="H3" s="31" t="s">
        <v>40</v>
      </c>
      <c r="I3" s="31">
        <v>30</v>
      </c>
      <c r="J3" s="32">
        <v>467</v>
      </c>
      <c r="K3" s="31" t="s">
        <v>274</v>
      </c>
      <c r="L3" s="32">
        <v>18</v>
      </c>
      <c r="M3" s="32">
        <v>19</v>
      </c>
      <c r="N3" s="31" t="s">
        <v>350</v>
      </c>
      <c r="O3" s="31">
        <v>0.08</v>
      </c>
      <c r="P3" s="31">
        <v>0.51</v>
      </c>
      <c r="Q3" s="31" t="s">
        <v>274</v>
      </c>
      <c r="R3" s="32">
        <v>18</v>
      </c>
      <c r="S3" s="32">
        <v>18</v>
      </c>
      <c r="T3" s="31" t="s">
        <v>352</v>
      </c>
      <c r="U3" s="31">
        <v>0.08</v>
      </c>
      <c r="V3" s="31">
        <v>0.5</v>
      </c>
      <c r="W3" s="31" t="s">
        <v>274</v>
      </c>
    </row>
    <row r="4" spans="1:23" x14ac:dyDescent="0.25">
      <c r="A4" s="30" t="s">
        <v>71</v>
      </c>
      <c r="B4" s="30" t="s">
        <v>104</v>
      </c>
      <c r="C4" s="30" t="s">
        <v>105</v>
      </c>
      <c r="D4" s="31" t="s">
        <v>103</v>
      </c>
      <c r="E4" s="31">
        <v>840</v>
      </c>
      <c r="F4" s="31">
        <v>840</v>
      </c>
      <c r="G4" s="31" t="s">
        <v>39</v>
      </c>
      <c r="H4" s="31" t="s">
        <v>40</v>
      </c>
      <c r="I4" s="31">
        <v>25</v>
      </c>
      <c r="J4" s="32">
        <v>3017</v>
      </c>
      <c r="K4" s="31" t="s">
        <v>274</v>
      </c>
      <c r="L4" s="32">
        <v>101</v>
      </c>
      <c r="M4" s="32">
        <v>130</v>
      </c>
      <c r="N4" s="31" t="s">
        <v>351</v>
      </c>
      <c r="O4" s="31">
        <v>0.08</v>
      </c>
      <c r="P4" s="31">
        <v>0.56000000000000005</v>
      </c>
      <c r="Q4" s="31" t="s">
        <v>274</v>
      </c>
      <c r="R4" s="32">
        <v>137</v>
      </c>
      <c r="S4" s="32">
        <v>120</v>
      </c>
      <c r="T4" s="31" t="s">
        <v>353</v>
      </c>
      <c r="U4" s="31">
        <v>0.09</v>
      </c>
      <c r="V4" s="31">
        <v>0.53</v>
      </c>
      <c r="W4" s="31" t="s">
        <v>274</v>
      </c>
    </row>
    <row r="5" spans="1:23" x14ac:dyDescent="0.25">
      <c r="A5" s="30" t="s">
        <v>71</v>
      </c>
      <c r="B5" s="30" t="s">
        <v>104</v>
      </c>
      <c r="C5" s="30" t="s">
        <v>106</v>
      </c>
      <c r="D5" s="31" t="s">
        <v>103</v>
      </c>
      <c r="E5" s="31">
        <v>841</v>
      </c>
      <c r="F5" s="31">
        <v>841</v>
      </c>
      <c r="G5" s="31" t="s">
        <v>39</v>
      </c>
      <c r="H5" s="31" t="s">
        <v>40</v>
      </c>
      <c r="I5" s="31">
        <v>25</v>
      </c>
      <c r="J5" s="32">
        <v>3788</v>
      </c>
      <c r="K5" s="31" t="s">
        <v>274</v>
      </c>
      <c r="L5" s="32">
        <v>150</v>
      </c>
      <c r="M5" s="32">
        <v>88</v>
      </c>
      <c r="N5" s="31" t="s">
        <v>350</v>
      </c>
      <c r="O5" s="31">
        <v>0.06</v>
      </c>
      <c r="P5" s="31">
        <v>0.63</v>
      </c>
      <c r="Q5" s="31" t="s">
        <v>274</v>
      </c>
      <c r="R5" s="32">
        <v>129</v>
      </c>
      <c r="S5" s="32">
        <v>196</v>
      </c>
      <c r="T5" s="31" t="s">
        <v>353</v>
      </c>
      <c r="U5" s="31">
        <v>0.09</v>
      </c>
      <c r="V5" s="31">
        <v>0.6</v>
      </c>
      <c r="W5" s="31" t="s">
        <v>274</v>
      </c>
    </row>
    <row r="6" spans="1:23" x14ac:dyDescent="0.25">
      <c r="A6" s="30" t="s">
        <v>71</v>
      </c>
      <c r="B6" s="30" t="s">
        <v>107</v>
      </c>
      <c r="C6" s="30" t="s">
        <v>32</v>
      </c>
      <c r="D6" s="31" t="s">
        <v>103</v>
      </c>
      <c r="E6" s="31">
        <v>401</v>
      </c>
      <c r="F6" s="31">
        <v>401</v>
      </c>
      <c r="G6" s="31" t="s">
        <v>39</v>
      </c>
      <c r="H6" s="31" t="s">
        <v>17</v>
      </c>
      <c r="I6" s="31">
        <v>30</v>
      </c>
      <c r="J6" s="32">
        <v>897</v>
      </c>
      <c r="K6" s="31" t="s">
        <v>274</v>
      </c>
      <c r="L6" s="32">
        <v>31</v>
      </c>
      <c r="M6" s="32">
        <v>32</v>
      </c>
      <c r="N6" s="31" t="s">
        <v>351</v>
      </c>
      <c r="O6" s="31">
        <v>7.0000000000000007E-2</v>
      </c>
      <c r="P6" s="31">
        <v>0.51</v>
      </c>
      <c r="Q6" s="31" t="s">
        <v>274</v>
      </c>
      <c r="R6" s="32">
        <v>40</v>
      </c>
      <c r="S6" s="32">
        <v>50</v>
      </c>
      <c r="T6" s="31" t="s">
        <v>352</v>
      </c>
      <c r="U6" s="31">
        <v>0.1</v>
      </c>
      <c r="V6" s="31">
        <v>0.56000000000000005</v>
      </c>
      <c r="W6" s="31" t="s">
        <v>274</v>
      </c>
    </row>
    <row r="7" spans="1:23" x14ac:dyDescent="0.25">
      <c r="A7" s="30" t="s">
        <v>71</v>
      </c>
      <c r="B7" s="30" t="s">
        <v>108</v>
      </c>
      <c r="C7" s="30" t="s">
        <v>33</v>
      </c>
      <c r="D7" s="31" t="s">
        <v>103</v>
      </c>
      <c r="E7" s="31">
        <v>403</v>
      </c>
      <c r="F7" s="31">
        <v>403</v>
      </c>
      <c r="G7" s="31" t="s">
        <v>39</v>
      </c>
      <c r="H7" s="31" t="s">
        <v>17</v>
      </c>
      <c r="I7" s="31">
        <v>30</v>
      </c>
      <c r="J7" s="32">
        <v>1778</v>
      </c>
      <c r="K7" s="31" t="s">
        <v>274</v>
      </c>
      <c r="L7" s="32">
        <v>113</v>
      </c>
      <c r="M7" s="32">
        <v>96</v>
      </c>
      <c r="N7" s="31" t="s">
        <v>350</v>
      </c>
      <c r="O7" s="31">
        <v>0.12</v>
      </c>
      <c r="P7" s="31">
        <v>0.54</v>
      </c>
      <c r="Q7" s="31" t="s">
        <v>274</v>
      </c>
      <c r="R7" s="32">
        <v>83</v>
      </c>
      <c r="S7" s="32">
        <v>63</v>
      </c>
      <c r="T7" s="31" t="s">
        <v>353</v>
      </c>
      <c r="U7" s="31">
        <v>0.08</v>
      </c>
      <c r="V7" s="31">
        <v>0.56999999999999995</v>
      </c>
      <c r="W7" s="31" t="s">
        <v>274</v>
      </c>
    </row>
    <row r="8" spans="1:23" x14ac:dyDescent="0.25">
      <c r="A8" s="30" t="s">
        <v>71</v>
      </c>
      <c r="B8" s="30" t="s">
        <v>109</v>
      </c>
      <c r="C8" s="30" t="s">
        <v>110</v>
      </c>
      <c r="D8" s="31" t="s">
        <v>103</v>
      </c>
      <c r="E8" s="31">
        <v>650</v>
      </c>
      <c r="F8" s="31">
        <v>650</v>
      </c>
      <c r="G8" s="31" t="s">
        <v>39</v>
      </c>
      <c r="H8" s="31" t="s">
        <v>17</v>
      </c>
      <c r="I8" s="31">
        <v>30</v>
      </c>
      <c r="J8" s="32">
        <v>2283</v>
      </c>
      <c r="K8" s="31" t="s">
        <v>274</v>
      </c>
      <c r="L8" s="32">
        <v>48</v>
      </c>
      <c r="M8" s="32">
        <v>115</v>
      </c>
      <c r="N8" s="31" t="s">
        <v>350</v>
      </c>
      <c r="O8" s="31">
        <v>7.0000000000000007E-2</v>
      </c>
      <c r="P8" s="31">
        <v>0.71</v>
      </c>
      <c r="Q8" s="31" t="s">
        <v>274</v>
      </c>
      <c r="R8" s="32">
        <v>69</v>
      </c>
      <c r="S8" s="32">
        <v>165</v>
      </c>
      <c r="T8" s="31" t="s">
        <v>352</v>
      </c>
      <c r="U8" s="31">
        <v>0.1</v>
      </c>
      <c r="V8" s="31">
        <v>0.71</v>
      </c>
      <c r="W8" s="31" t="s">
        <v>274</v>
      </c>
    </row>
    <row r="9" spans="1:23" x14ac:dyDescent="0.25">
      <c r="A9" s="30" t="s">
        <v>71</v>
      </c>
      <c r="B9" s="30" t="s">
        <v>109</v>
      </c>
      <c r="C9" s="30" t="s">
        <v>111</v>
      </c>
      <c r="D9" s="31" t="s">
        <v>103</v>
      </c>
      <c r="E9" s="31">
        <v>410</v>
      </c>
      <c r="F9" s="31">
        <v>410</v>
      </c>
      <c r="G9" s="31" t="s">
        <v>39</v>
      </c>
      <c r="H9" s="31" t="s">
        <v>17</v>
      </c>
      <c r="I9" s="31">
        <v>30</v>
      </c>
      <c r="J9" s="32">
        <v>1435</v>
      </c>
      <c r="K9" s="31" t="s">
        <v>274</v>
      </c>
      <c r="L9" s="32">
        <v>50</v>
      </c>
      <c r="M9" s="32">
        <v>57</v>
      </c>
      <c r="N9" s="31" t="s">
        <v>350</v>
      </c>
      <c r="O9" s="31">
        <v>7.0000000000000007E-2</v>
      </c>
      <c r="P9" s="31">
        <v>0.53</v>
      </c>
      <c r="Q9" s="31" t="s">
        <v>274</v>
      </c>
      <c r="R9" s="32">
        <v>57</v>
      </c>
      <c r="S9" s="32">
        <v>87</v>
      </c>
      <c r="T9" s="31" t="s">
        <v>353</v>
      </c>
      <c r="U9" s="31">
        <v>0.1</v>
      </c>
      <c r="V9" s="31">
        <v>0.6</v>
      </c>
      <c r="W9" s="31" t="s">
        <v>274</v>
      </c>
    </row>
    <row r="10" spans="1:23" x14ac:dyDescent="0.25">
      <c r="A10" s="30" t="s">
        <v>71</v>
      </c>
      <c r="B10" s="30" t="s">
        <v>112</v>
      </c>
      <c r="C10" s="30" t="s">
        <v>33</v>
      </c>
      <c r="D10" s="31" t="s">
        <v>103</v>
      </c>
      <c r="E10" s="31">
        <v>404</v>
      </c>
      <c r="F10" s="31">
        <v>404</v>
      </c>
      <c r="G10" s="31" t="s">
        <v>39</v>
      </c>
      <c r="H10" s="31" t="s">
        <v>17</v>
      </c>
      <c r="I10" s="31">
        <v>30</v>
      </c>
      <c r="J10" s="32">
        <v>3069</v>
      </c>
      <c r="K10" s="31" t="s">
        <v>274</v>
      </c>
      <c r="L10" s="32">
        <v>86</v>
      </c>
      <c r="M10" s="32">
        <v>92</v>
      </c>
      <c r="N10" s="31" t="s">
        <v>350</v>
      </c>
      <c r="O10" s="31">
        <v>0.06</v>
      </c>
      <c r="P10" s="31">
        <v>0.52</v>
      </c>
      <c r="Q10" s="31" t="s">
        <v>274</v>
      </c>
      <c r="R10" s="32">
        <v>127</v>
      </c>
      <c r="S10" s="32">
        <v>164</v>
      </c>
      <c r="T10" s="31" t="s">
        <v>352</v>
      </c>
      <c r="U10" s="31">
        <v>0.09</v>
      </c>
      <c r="V10" s="31">
        <v>0.56000000000000005</v>
      </c>
      <c r="W10" s="31" t="s">
        <v>274</v>
      </c>
    </row>
    <row r="11" spans="1:23" x14ac:dyDescent="0.25">
      <c r="A11" s="30" t="s">
        <v>71</v>
      </c>
      <c r="B11" s="30" t="s">
        <v>113</v>
      </c>
      <c r="C11" s="30" t="s">
        <v>32</v>
      </c>
      <c r="D11" s="31" t="s">
        <v>103</v>
      </c>
      <c r="E11" s="31">
        <v>333</v>
      </c>
      <c r="F11" s="31">
        <v>333</v>
      </c>
      <c r="G11" s="31" t="s">
        <v>39</v>
      </c>
      <c r="H11" s="31" t="s">
        <v>40</v>
      </c>
      <c r="I11" s="31">
        <v>30</v>
      </c>
      <c r="J11" s="32">
        <v>3797</v>
      </c>
      <c r="K11" s="31" t="s">
        <v>274</v>
      </c>
      <c r="L11" s="32">
        <v>134</v>
      </c>
      <c r="M11" s="32">
        <v>114</v>
      </c>
      <c r="N11" s="31" t="s">
        <v>351</v>
      </c>
      <c r="O11" s="31">
        <v>7.0000000000000007E-2</v>
      </c>
      <c r="P11" s="31">
        <v>0.54</v>
      </c>
      <c r="Q11" s="31" t="s">
        <v>274</v>
      </c>
      <c r="R11" s="32">
        <v>181</v>
      </c>
      <c r="S11" s="32">
        <v>130</v>
      </c>
      <c r="T11" s="31" t="s">
        <v>353</v>
      </c>
      <c r="U11" s="31">
        <v>0.08</v>
      </c>
      <c r="V11" s="31">
        <v>0.57999999999999996</v>
      </c>
      <c r="W11" s="31" t="s">
        <v>274</v>
      </c>
    </row>
    <row r="12" spans="1:23" x14ac:dyDescent="0.25">
      <c r="A12" s="30" t="s">
        <v>71</v>
      </c>
      <c r="B12" s="30" t="s">
        <v>114</v>
      </c>
      <c r="C12" s="30" t="s">
        <v>115</v>
      </c>
      <c r="D12" s="31" t="s">
        <v>103</v>
      </c>
      <c r="E12" s="31">
        <v>409</v>
      </c>
      <c r="F12" s="31">
        <v>409</v>
      </c>
      <c r="G12" s="31" t="s">
        <v>39</v>
      </c>
      <c r="H12" s="31" t="s">
        <v>40</v>
      </c>
      <c r="I12" s="31">
        <v>25</v>
      </c>
      <c r="J12" s="32">
        <v>297</v>
      </c>
      <c r="K12" s="31" t="s">
        <v>274</v>
      </c>
      <c r="L12" s="32">
        <v>9</v>
      </c>
      <c r="M12" s="32">
        <v>8</v>
      </c>
      <c r="N12" s="31" t="s">
        <v>350</v>
      </c>
      <c r="O12" s="31">
        <v>0.06</v>
      </c>
      <c r="P12" s="31">
        <v>0.53</v>
      </c>
      <c r="Q12" s="31" t="s">
        <v>274</v>
      </c>
      <c r="R12" s="32">
        <v>20</v>
      </c>
      <c r="S12" s="32">
        <v>7</v>
      </c>
      <c r="T12" s="31" t="s">
        <v>352</v>
      </c>
      <c r="U12" s="31">
        <v>0.09</v>
      </c>
      <c r="V12" s="31">
        <v>0.74</v>
      </c>
      <c r="W12" s="31" t="s">
        <v>274</v>
      </c>
    </row>
    <row r="13" spans="1:23" ht="15" customHeight="1" x14ac:dyDescent="0.25">
      <c r="A13" s="30" t="s">
        <v>71</v>
      </c>
      <c r="B13" s="30" t="s">
        <v>116</v>
      </c>
      <c r="C13" s="30" t="s">
        <v>117</v>
      </c>
      <c r="D13" s="31" t="s">
        <v>103</v>
      </c>
      <c r="E13" s="31">
        <v>971</v>
      </c>
      <c r="F13" s="31">
        <v>971</v>
      </c>
      <c r="G13" s="31" t="s">
        <v>39</v>
      </c>
      <c r="H13" s="31" t="s">
        <v>40</v>
      </c>
      <c r="I13" s="31">
        <v>35</v>
      </c>
      <c r="J13" s="32">
        <v>1224</v>
      </c>
      <c r="K13" s="31" t="s">
        <v>274</v>
      </c>
      <c r="L13" s="32">
        <v>89</v>
      </c>
      <c r="M13" s="32">
        <v>95</v>
      </c>
      <c r="N13" s="31" t="s">
        <v>351</v>
      </c>
      <c r="O13" s="31">
        <v>0.15</v>
      </c>
      <c r="P13" s="31">
        <v>0.52</v>
      </c>
      <c r="Q13" s="31" t="s">
        <v>274</v>
      </c>
      <c r="R13" s="32">
        <v>49</v>
      </c>
      <c r="S13" s="32">
        <v>36</v>
      </c>
      <c r="T13" s="31" t="s">
        <v>353</v>
      </c>
      <c r="U13" s="31">
        <v>7.0000000000000007E-2</v>
      </c>
      <c r="V13" s="31">
        <v>0.57999999999999996</v>
      </c>
      <c r="W13" s="31" t="s">
        <v>274</v>
      </c>
    </row>
    <row r="14" spans="1:23" x14ac:dyDescent="0.25">
      <c r="A14" s="30" t="s">
        <v>71</v>
      </c>
      <c r="B14" s="30" t="s">
        <v>72</v>
      </c>
      <c r="C14" s="30" t="s">
        <v>75</v>
      </c>
      <c r="D14" s="31" t="s">
        <v>20</v>
      </c>
      <c r="E14" s="31">
        <v>554</v>
      </c>
      <c r="F14" s="31" t="s">
        <v>294</v>
      </c>
      <c r="G14" s="31" t="s">
        <v>39</v>
      </c>
      <c r="H14" s="31" t="s">
        <v>40</v>
      </c>
      <c r="I14" s="31">
        <v>40</v>
      </c>
      <c r="J14" s="32">
        <v>6029</v>
      </c>
      <c r="K14" s="31" t="s">
        <v>274</v>
      </c>
      <c r="L14" s="32">
        <v>239</v>
      </c>
      <c r="M14" s="32">
        <v>348</v>
      </c>
      <c r="N14" s="35">
        <v>0.30208333333333331</v>
      </c>
      <c r="O14" s="31">
        <v>0.1</v>
      </c>
      <c r="P14" s="31">
        <v>0.59</v>
      </c>
      <c r="Q14" s="31" t="s">
        <v>274</v>
      </c>
      <c r="R14" s="32">
        <v>320</v>
      </c>
      <c r="S14" s="32">
        <v>230</v>
      </c>
      <c r="T14" s="35">
        <v>0.6875</v>
      </c>
      <c r="U14" s="31">
        <v>0.09</v>
      </c>
      <c r="V14" s="31">
        <v>0.57999999999999996</v>
      </c>
      <c r="W14" s="31" t="s">
        <v>274</v>
      </c>
    </row>
    <row r="15" spans="1:23" x14ac:dyDescent="0.25">
      <c r="A15" s="30" t="s">
        <v>71</v>
      </c>
      <c r="B15" s="30" t="s">
        <v>72</v>
      </c>
      <c r="C15" s="30" t="s">
        <v>74</v>
      </c>
      <c r="D15" s="31" t="s">
        <v>20</v>
      </c>
      <c r="E15" s="31">
        <v>553</v>
      </c>
      <c r="F15" s="31" t="s">
        <v>293</v>
      </c>
      <c r="G15" s="31" t="s">
        <v>39</v>
      </c>
      <c r="H15" s="31" t="s">
        <v>40</v>
      </c>
      <c r="I15" s="31">
        <v>40</v>
      </c>
      <c r="J15" s="32">
        <v>11510</v>
      </c>
      <c r="K15" s="31" t="s">
        <v>274</v>
      </c>
      <c r="L15" s="32">
        <v>414</v>
      </c>
      <c r="M15" s="32">
        <v>565</v>
      </c>
      <c r="N15" s="35">
        <v>0.29166666666666669</v>
      </c>
      <c r="O15" s="31">
        <v>0.09</v>
      </c>
      <c r="P15" s="31">
        <v>0.57999999999999996</v>
      </c>
      <c r="Q15" s="31" t="s">
        <v>274</v>
      </c>
      <c r="R15" s="32">
        <v>566</v>
      </c>
      <c r="S15" s="32">
        <v>447</v>
      </c>
      <c r="T15" s="35">
        <v>0.61458333333333337</v>
      </c>
      <c r="U15" s="31">
        <v>0.09</v>
      </c>
      <c r="V15" s="31">
        <v>0.56000000000000005</v>
      </c>
      <c r="W15" s="31" t="s">
        <v>274</v>
      </c>
    </row>
    <row r="16" spans="1:23" x14ac:dyDescent="0.25">
      <c r="A16" s="30" t="s">
        <v>71</v>
      </c>
      <c r="B16" s="30" t="s">
        <v>72</v>
      </c>
      <c r="C16" s="30" t="s">
        <v>73</v>
      </c>
      <c r="D16" s="31" t="s">
        <v>20</v>
      </c>
      <c r="E16" s="31">
        <v>28</v>
      </c>
      <c r="F16" s="31" t="s">
        <v>295</v>
      </c>
      <c r="G16" s="31" t="s">
        <v>39</v>
      </c>
      <c r="H16" s="31" t="s">
        <v>40</v>
      </c>
      <c r="I16" s="31">
        <v>55</v>
      </c>
      <c r="J16" s="32">
        <v>7257</v>
      </c>
      <c r="K16" s="31" t="s">
        <v>274</v>
      </c>
      <c r="L16" s="32">
        <v>357</v>
      </c>
      <c r="M16" s="32">
        <v>216</v>
      </c>
      <c r="N16" s="35">
        <v>0.29166666666666669</v>
      </c>
      <c r="O16" s="31">
        <v>0.08</v>
      </c>
      <c r="P16" s="31">
        <v>0.62</v>
      </c>
      <c r="Q16" s="31" t="s">
        <v>274</v>
      </c>
      <c r="R16" s="32">
        <v>308</v>
      </c>
      <c r="S16" s="32">
        <v>367</v>
      </c>
      <c r="T16" s="35">
        <v>0.61458333333333337</v>
      </c>
      <c r="U16" s="31">
        <v>0.09</v>
      </c>
      <c r="V16" s="31">
        <v>0.54</v>
      </c>
      <c r="W16" s="31" t="s">
        <v>274</v>
      </c>
    </row>
    <row r="17" spans="1:23" x14ac:dyDescent="0.25">
      <c r="A17" s="30" t="s">
        <v>71</v>
      </c>
      <c r="B17" s="30" t="s">
        <v>72</v>
      </c>
      <c r="C17" s="30" t="s">
        <v>118</v>
      </c>
      <c r="D17" s="31" t="s">
        <v>103</v>
      </c>
      <c r="E17" s="31">
        <v>673</v>
      </c>
      <c r="F17" s="31">
        <v>673</v>
      </c>
      <c r="G17" s="31" t="s">
        <v>39</v>
      </c>
      <c r="H17" s="31" t="s">
        <v>40</v>
      </c>
      <c r="I17" s="31">
        <v>55</v>
      </c>
      <c r="J17" s="32">
        <v>9014</v>
      </c>
      <c r="K17" s="31" t="s">
        <v>274</v>
      </c>
      <c r="L17" s="32">
        <v>314</v>
      </c>
      <c r="M17" s="32">
        <v>484</v>
      </c>
      <c r="N17" s="31" t="s">
        <v>350</v>
      </c>
      <c r="O17" s="31">
        <v>0.09</v>
      </c>
      <c r="P17" s="31">
        <v>0.61</v>
      </c>
      <c r="Q17" s="31" t="s">
        <v>274</v>
      </c>
      <c r="R17" s="32">
        <v>376</v>
      </c>
      <c r="S17" s="32">
        <v>341</v>
      </c>
      <c r="T17" s="31" t="s">
        <v>353</v>
      </c>
      <c r="U17" s="31">
        <v>0.08</v>
      </c>
      <c r="V17" s="31">
        <v>0.52</v>
      </c>
      <c r="W17" s="31" t="s">
        <v>274</v>
      </c>
    </row>
    <row r="18" spans="1:23" x14ac:dyDescent="0.25">
      <c r="A18" s="30" t="s">
        <v>71</v>
      </c>
      <c r="B18" s="30" t="s">
        <v>119</v>
      </c>
      <c r="C18" s="30" t="s">
        <v>120</v>
      </c>
      <c r="D18" s="31" t="s">
        <v>103</v>
      </c>
      <c r="E18" s="31">
        <v>556</v>
      </c>
      <c r="F18" s="31">
        <v>556</v>
      </c>
      <c r="G18" s="31" t="s">
        <v>39</v>
      </c>
      <c r="H18" s="31" t="s">
        <v>40</v>
      </c>
      <c r="I18" s="31">
        <v>45</v>
      </c>
      <c r="J18" s="32">
        <v>2992</v>
      </c>
      <c r="K18" s="31" t="s">
        <v>274</v>
      </c>
      <c r="L18" s="32">
        <v>111</v>
      </c>
      <c r="M18" s="32">
        <v>111</v>
      </c>
      <c r="N18" s="31" t="s">
        <v>351</v>
      </c>
      <c r="O18" s="31">
        <v>7.0000000000000007E-2</v>
      </c>
      <c r="P18" s="31">
        <v>0.5</v>
      </c>
      <c r="Q18" s="31" t="s">
        <v>274</v>
      </c>
      <c r="R18" s="32">
        <v>129</v>
      </c>
      <c r="S18" s="32">
        <v>133</v>
      </c>
      <c r="T18" s="31" t="s">
        <v>352</v>
      </c>
      <c r="U18" s="31">
        <v>0.09</v>
      </c>
      <c r="V18" s="31">
        <v>0.51</v>
      </c>
      <c r="W18" s="31" t="s">
        <v>274</v>
      </c>
    </row>
    <row r="19" spans="1:23" x14ac:dyDescent="0.25">
      <c r="A19" s="30" t="s">
        <v>71</v>
      </c>
      <c r="B19" s="30" t="s">
        <v>121</v>
      </c>
      <c r="C19" s="30" t="s">
        <v>122</v>
      </c>
      <c r="D19" s="31" t="s">
        <v>103</v>
      </c>
      <c r="E19" s="31">
        <v>557</v>
      </c>
      <c r="F19" s="31">
        <v>557</v>
      </c>
      <c r="G19" s="31" t="s">
        <v>39</v>
      </c>
      <c r="H19" s="31" t="s">
        <v>40</v>
      </c>
      <c r="I19" s="31">
        <v>45</v>
      </c>
      <c r="J19" s="32">
        <v>8963</v>
      </c>
      <c r="K19" s="31" t="s">
        <v>274</v>
      </c>
      <c r="L19" s="32">
        <v>347</v>
      </c>
      <c r="M19" s="32">
        <v>277</v>
      </c>
      <c r="N19" s="31" t="s">
        <v>350</v>
      </c>
      <c r="O19" s="31">
        <v>7.0000000000000007E-2</v>
      </c>
      <c r="P19" s="31">
        <v>0.56000000000000005</v>
      </c>
      <c r="Q19" s="31" t="s">
        <v>274</v>
      </c>
      <c r="R19" s="32">
        <v>405</v>
      </c>
      <c r="S19" s="32">
        <v>292</v>
      </c>
      <c r="T19" s="31" t="s">
        <v>353</v>
      </c>
      <c r="U19" s="31">
        <v>0.08</v>
      </c>
      <c r="V19" s="31">
        <v>0.57999999999999996</v>
      </c>
      <c r="W19" s="31" t="s">
        <v>274</v>
      </c>
    </row>
    <row r="20" spans="1:23" x14ac:dyDescent="0.25">
      <c r="A20" s="30" t="s">
        <v>36</v>
      </c>
      <c r="B20" s="30" t="s">
        <v>37</v>
      </c>
      <c r="C20" s="30" t="s">
        <v>42</v>
      </c>
      <c r="D20" s="31" t="s">
        <v>20</v>
      </c>
      <c r="E20" s="31">
        <v>33.1</v>
      </c>
      <c r="F20" s="31" t="s">
        <v>296</v>
      </c>
      <c r="G20" s="31" t="s">
        <v>39</v>
      </c>
      <c r="H20" s="31" t="s">
        <v>40</v>
      </c>
      <c r="I20" s="31">
        <v>35</v>
      </c>
      <c r="J20" s="32">
        <v>7400</v>
      </c>
      <c r="K20" s="31" t="s">
        <v>17</v>
      </c>
      <c r="L20" s="32">
        <v>440</v>
      </c>
      <c r="M20" s="32">
        <v>160</v>
      </c>
      <c r="N20" s="31" t="s">
        <v>351</v>
      </c>
      <c r="O20" s="31">
        <v>0.08</v>
      </c>
      <c r="P20" s="31">
        <v>0.73</v>
      </c>
      <c r="Q20" s="31" t="s">
        <v>17</v>
      </c>
      <c r="R20" s="32">
        <v>200</v>
      </c>
      <c r="S20" s="32">
        <v>350</v>
      </c>
      <c r="T20" s="31" t="s">
        <v>353</v>
      </c>
      <c r="U20" s="31">
        <v>7.0000000000000007E-2</v>
      </c>
      <c r="V20" s="31">
        <v>0.64</v>
      </c>
      <c r="W20" s="31" t="s">
        <v>274</v>
      </c>
    </row>
    <row r="21" spans="1:23" x14ac:dyDescent="0.25">
      <c r="A21" s="30" t="s">
        <v>36</v>
      </c>
      <c r="B21" s="30" t="s">
        <v>37</v>
      </c>
      <c r="C21" s="30" t="s">
        <v>38</v>
      </c>
      <c r="D21" s="31" t="s">
        <v>20</v>
      </c>
      <c r="E21" s="31">
        <v>651</v>
      </c>
      <c r="F21" s="31" t="s">
        <v>297</v>
      </c>
      <c r="G21" s="31" t="s">
        <v>39</v>
      </c>
      <c r="H21" s="31" t="s">
        <v>40</v>
      </c>
      <c r="I21" s="31">
        <v>45</v>
      </c>
      <c r="J21" s="32">
        <v>5068</v>
      </c>
      <c r="K21" s="31" t="s">
        <v>274</v>
      </c>
      <c r="L21" s="32">
        <v>166</v>
      </c>
      <c r="M21" s="32">
        <v>223</v>
      </c>
      <c r="N21" s="31" t="s">
        <v>350</v>
      </c>
      <c r="O21" s="31">
        <v>0.08</v>
      </c>
      <c r="P21" s="31">
        <v>0.56999999999999995</v>
      </c>
      <c r="Q21" s="31" t="s">
        <v>274</v>
      </c>
      <c r="R21" s="32">
        <v>212</v>
      </c>
      <c r="S21" s="32">
        <v>280</v>
      </c>
      <c r="T21" s="31" t="s">
        <v>353</v>
      </c>
      <c r="U21" s="31">
        <v>0.1</v>
      </c>
      <c r="V21" s="31">
        <v>0.56999999999999995</v>
      </c>
      <c r="W21" s="31" t="s">
        <v>274</v>
      </c>
    </row>
    <row r="22" spans="1:23" x14ac:dyDescent="0.25">
      <c r="A22" s="30" t="s">
        <v>36</v>
      </c>
      <c r="B22" s="30" t="s">
        <v>37</v>
      </c>
      <c r="C22" s="30" t="s">
        <v>129</v>
      </c>
      <c r="D22" s="31" t="s">
        <v>103</v>
      </c>
      <c r="E22" s="31">
        <v>671</v>
      </c>
      <c r="F22" s="31">
        <v>671</v>
      </c>
      <c r="G22" s="31" t="s">
        <v>39</v>
      </c>
      <c r="H22" s="31" t="s">
        <v>40</v>
      </c>
      <c r="I22" s="31">
        <v>35</v>
      </c>
      <c r="J22" s="32">
        <v>6157</v>
      </c>
      <c r="K22" s="31" t="s">
        <v>274</v>
      </c>
      <c r="L22" s="32">
        <v>259</v>
      </c>
      <c r="M22" s="32">
        <v>216</v>
      </c>
      <c r="N22" s="35">
        <v>0.30208333333333331</v>
      </c>
      <c r="O22" s="31">
        <v>0.08</v>
      </c>
      <c r="P22" s="31">
        <v>0.55000000000000004</v>
      </c>
      <c r="Q22" s="31" t="s">
        <v>274</v>
      </c>
      <c r="R22" s="32">
        <v>282</v>
      </c>
      <c r="S22" s="32">
        <v>157</v>
      </c>
      <c r="T22" s="35">
        <v>0.69791666666666663</v>
      </c>
      <c r="U22" s="31">
        <v>7.0000000000000007E-2</v>
      </c>
      <c r="V22" s="31">
        <v>0.64</v>
      </c>
      <c r="W22" s="31" t="s">
        <v>274</v>
      </c>
    </row>
    <row r="23" spans="1:23" x14ac:dyDescent="0.25">
      <c r="A23" s="30" t="s">
        <v>36</v>
      </c>
      <c r="B23" s="30" t="s">
        <v>37</v>
      </c>
      <c r="C23" s="30" t="s">
        <v>127</v>
      </c>
      <c r="D23" s="31" t="s">
        <v>103</v>
      </c>
      <c r="E23" s="31">
        <v>658</v>
      </c>
      <c r="F23" s="31">
        <v>658</v>
      </c>
      <c r="G23" s="31" t="s">
        <v>61</v>
      </c>
      <c r="H23" s="31" t="s">
        <v>40</v>
      </c>
      <c r="I23" s="31">
        <v>40</v>
      </c>
      <c r="J23" s="32">
        <v>12357</v>
      </c>
      <c r="K23" s="31" t="s">
        <v>274</v>
      </c>
      <c r="L23" s="32">
        <v>491</v>
      </c>
      <c r="M23" s="32">
        <v>333</v>
      </c>
      <c r="N23" s="35">
        <v>0.30208333333333331</v>
      </c>
      <c r="O23" s="31">
        <v>7.0000000000000007E-2</v>
      </c>
      <c r="P23" s="31">
        <v>0.6</v>
      </c>
      <c r="Q23" s="31" t="s">
        <v>274</v>
      </c>
      <c r="R23" s="32">
        <v>421</v>
      </c>
      <c r="S23" s="32">
        <v>667</v>
      </c>
      <c r="T23" s="35">
        <v>0.6875</v>
      </c>
      <c r="U23" s="31">
        <v>0.09</v>
      </c>
      <c r="V23" s="31">
        <v>0.61</v>
      </c>
      <c r="W23" s="31" t="s">
        <v>274</v>
      </c>
    </row>
    <row r="24" spans="1:23" x14ac:dyDescent="0.25">
      <c r="A24" s="30" t="s">
        <v>36</v>
      </c>
      <c r="B24" s="30" t="s">
        <v>37</v>
      </c>
      <c r="C24" s="30" t="s">
        <v>41</v>
      </c>
      <c r="D24" s="31" t="s">
        <v>20</v>
      </c>
      <c r="E24" s="31">
        <v>653</v>
      </c>
      <c r="F24" s="31" t="s">
        <v>298</v>
      </c>
      <c r="G24" s="31" t="s">
        <v>39</v>
      </c>
      <c r="H24" s="31" t="s">
        <v>40</v>
      </c>
      <c r="I24" s="31">
        <v>40</v>
      </c>
      <c r="J24" s="32">
        <v>9481</v>
      </c>
      <c r="K24" s="31" t="s">
        <v>274</v>
      </c>
      <c r="L24" s="32">
        <v>364</v>
      </c>
      <c r="M24" s="32">
        <v>306</v>
      </c>
      <c r="N24" s="35">
        <v>0.29166666666666669</v>
      </c>
      <c r="O24" s="31">
        <v>7.0000000000000007E-2</v>
      </c>
      <c r="P24" s="31">
        <v>0.54</v>
      </c>
      <c r="Q24" s="31" t="s">
        <v>274</v>
      </c>
      <c r="R24" s="32">
        <v>405</v>
      </c>
      <c r="S24" s="32">
        <v>465</v>
      </c>
      <c r="T24" s="35">
        <v>0.70833333333333337</v>
      </c>
      <c r="U24" s="31">
        <v>0.09</v>
      </c>
      <c r="V24" s="31">
        <v>0.53</v>
      </c>
      <c r="W24" s="31" t="s">
        <v>274</v>
      </c>
    </row>
    <row r="25" spans="1:23" x14ac:dyDescent="0.25">
      <c r="A25" s="30" t="s">
        <v>36</v>
      </c>
      <c r="B25" s="30" t="s">
        <v>37</v>
      </c>
      <c r="C25" s="30" t="s">
        <v>128</v>
      </c>
      <c r="D25" s="31" t="s">
        <v>103</v>
      </c>
      <c r="E25" s="31">
        <v>670</v>
      </c>
      <c r="F25" s="31">
        <v>670</v>
      </c>
      <c r="G25" s="31" t="s">
        <v>39</v>
      </c>
      <c r="H25" s="31" t="s">
        <v>40</v>
      </c>
      <c r="I25" s="31">
        <v>45</v>
      </c>
      <c r="J25" s="32">
        <v>2343</v>
      </c>
      <c r="K25" s="31" t="s">
        <v>274</v>
      </c>
      <c r="L25" s="32">
        <v>42</v>
      </c>
      <c r="M25" s="32">
        <v>80</v>
      </c>
      <c r="N25" s="31" t="s">
        <v>351</v>
      </c>
      <c r="O25" s="31">
        <v>0.05</v>
      </c>
      <c r="P25" s="31">
        <v>0.66</v>
      </c>
      <c r="Q25" s="31" t="s">
        <v>274</v>
      </c>
      <c r="R25" s="32">
        <v>97</v>
      </c>
      <c r="S25" s="32">
        <v>136</v>
      </c>
      <c r="T25" s="31" t="s">
        <v>353</v>
      </c>
      <c r="U25" s="31">
        <v>0.1</v>
      </c>
      <c r="V25" s="31">
        <v>0.57999999999999996</v>
      </c>
      <c r="W25" s="31" t="s">
        <v>274</v>
      </c>
    </row>
    <row r="26" spans="1:23" x14ac:dyDescent="0.25">
      <c r="A26" s="30" t="s">
        <v>36</v>
      </c>
      <c r="B26" s="30" t="s">
        <v>43</v>
      </c>
      <c r="C26" s="30" t="s">
        <v>50</v>
      </c>
      <c r="D26" s="31" t="s">
        <v>20</v>
      </c>
      <c r="E26" s="31">
        <v>565</v>
      </c>
      <c r="F26" s="31" t="s">
        <v>299</v>
      </c>
      <c r="G26" s="31" t="s">
        <v>39</v>
      </c>
      <c r="H26" s="31" t="s">
        <v>40</v>
      </c>
      <c r="I26" s="31">
        <v>45</v>
      </c>
      <c r="J26" s="32">
        <v>34702</v>
      </c>
      <c r="K26" s="31" t="s">
        <v>284</v>
      </c>
      <c r="L26" s="32">
        <v>1239</v>
      </c>
      <c r="M26" s="32">
        <v>1353</v>
      </c>
      <c r="N26" s="31" t="s">
        <v>350</v>
      </c>
      <c r="O26" s="31">
        <v>7.0000000000000007E-2</v>
      </c>
      <c r="P26" s="31">
        <v>0.52</v>
      </c>
      <c r="Q26" s="31" t="s">
        <v>284</v>
      </c>
      <c r="R26" s="32">
        <v>1445</v>
      </c>
      <c r="S26" s="32">
        <v>1556</v>
      </c>
      <c r="T26" s="31" t="s">
        <v>353</v>
      </c>
      <c r="U26" s="31">
        <v>0.09</v>
      </c>
      <c r="V26" s="31">
        <v>0.52</v>
      </c>
      <c r="W26" s="31" t="s">
        <v>284</v>
      </c>
    </row>
    <row r="27" spans="1:23" x14ac:dyDescent="0.25">
      <c r="A27" s="30" t="s">
        <v>36</v>
      </c>
      <c r="B27" s="30" t="s">
        <v>43</v>
      </c>
      <c r="C27" s="30" t="s">
        <v>48</v>
      </c>
      <c r="D27" s="31" t="s">
        <v>20</v>
      </c>
      <c r="E27" s="31">
        <v>328.1</v>
      </c>
      <c r="F27" s="31" t="s">
        <v>300</v>
      </c>
      <c r="G27" s="31" t="s">
        <v>39</v>
      </c>
      <c r="H27" s="31" t="s">
        <v>40</v>
      </c>
      <c r="I27" s="31">
        <v>30</v>
      </c>
      <c r="J27" s="32">
        <v>10804</v>
      </c>
      <c r="K27" s="31" t="s">
        <v>17</v>
      </c>
      <c r="L27" s="32">
        <v>361</v>
      </c>
      <c r="M27" s="32">
        <v>353</v>
      </c>
      <c r="N27" s="31" t="s">
        <v>350</v>
      </c>
      <c r="O27" s="31">
        <v>7.0000000000000007E-2</v>
      </c>
      <c r="P27" s="31">
        <v>0.51</v>
      </c>
      <c r="Q27" s="31" t="s">
        <v>274</v>
      </c>
      <c r="R27" s="32">
        <v>436</v>
      </c>
      <c r="S27" s="32">
        <v>389</v>
      </c>
      <c r="T27" s="31" t="s">
        <v>352</v>
      </c>
      <c r="U27" s="31">
        <v>0.08</v>
      </c>
      <c r="V27" s="31">
        <v>0.53</v>
      </c>
      <c r="W27" s="31" t="s">
        <v>17</v>
      </c>
    </row>
    <row r="28" spans="1:23" x14ac:dyDescent="0.25">
      <c r="A28" s="30" t="s">
        <v>36</v>
      </c>
      <c r="B28" s="30" t="s">
        <v>43</v>
      </c>
      <c r="C28" s="30" t="s">
        <v>47</v>
      </c>
      <c r="D28" s="31" t="s">
        <v>20</v>
      </c>
      <c r="E28" s="31">
        <v>426</v>
      </c>
      <c r="F28" s="31" t="s">
        <v>301</v>
      </c>
      <c r="G28" s="31" t="s">
        <v>31</v>
      </c>
      <c r="H28" s="31" t="s">
        <v>40</v>
      </c>
      <c r="I28" s="31">
        <v>35</v>
      </c>
      <c r="J28" s="32">
        <v>22637</v>
      </c>
      <c r="K28" s="31" t="s">
        <v>17</v>
      </c>
      <c r="L28" s="32">
        <v>651</v>
      </c>
      <c r="M28" s="32">
        <v>988</v>
      </c>
      <c r="N28" s="35">
        <v>0.28125</v>
      </c>
      <c r="O28" s="31">
        <v>7.0000000000000007E-2</v>
      </c>
      <c r="P28" s="31">
        <v>0.6</v>
      </c>
      <c r="Q28" s="31" t="s">
        <v>17</v>
      </c>
      <c r="R28" s="32">
        <v>1030</v>
      </c>
      <c r="S28" s="32">
        <v>793</v>
      </c>
      <c r="T28" s="35">
        <v>0.69791666666666663</v>
      </c>
      <c r="U28" s="31">
        <v>0.08</v>
      </c>
      <c r="V28" s="31">
        <v>0.56999999999999995</v>
      </c>
      <c r="W28" s="31" t="s">
        <v>17</v>
      </c>
    </row>
    <row r="29" spans="1:23" x14ac:dyDescent="0.25">
      <c r="A29" s="30" t="s">
        <v>36</v>
      </c>
      <c r="B29" s="30" t="s">
        <v>43</v>
      </c>
      <c r="C29" s="30" t="s">
        <v>46</v>
      </c>
      <c r="D29" s="31" t="s">
        <v>20</v>
      </c>
      <c r="E29" s="31">
        <v>21</v>
      </c>
      <c r="F29" s="31" t="s">
        <v>302</v>
      </c>
      <c r="G29" s="31" t="s">
        <v>31</v>
      </c>
      <c r="H29" s="31" t="s">
        <v>40</v>
      </c>
      <c r="I29" s="31">
        <v>45</v>
      </c>
      <c r="J29" s="32">
        <v>25374</v>
      </c>
      <c r="K29" s="31" t="s">
        <v>274</v>
      </c>
      <c r="L29" s="32">
        <v>1384</v>
      </c>
      <c r="M29" s="32">
        <v>698</v>
      </c>
      <c r="N29" s="35">
        <v>0.29166666666666669</v>
      </c>
      <c r="O29" s="31">
        <v>0.08</v>
      </c>
      <c r="P29" s="31">
        <v>0.66</v>
      </c>
      <c r="Q29" s="31" t="s">
        <v>274</v>
      </c>
      <c r="R29" s="32">
        <v>954</v>
      </c>
      <c r="S29" s="32">
        <v>1359</v>
      </c>
      <c r="T29" s="35">
        <v>0.70833333333333337</v>
      </c>
      <c r="U29" s="31">
        <v>0.09</v>
      </c>
      <c r="V29" s="31">
        <v>0.59</v>
      </c>
      <c r="W29" s="31" t="s">
        <v>274</v>
      </c>
    </row>
    <row r="30" spans="1:23" x14ac:dyDescent="0.25">
      <c r="A30" s="30" t="s">
        <v>36</v>
      </c>
      <c r="B30" s="30" t="s">
        <v>43</v>
      </c>
      <c r="C30" s="30" t="s">
        <v>45</v>
      </c>
      <c r="D30" s="31" t="s">
        <v>20</v>
      </c>
      <c r="E30" s="31">
        <v>19</v>
      </c>
      <c r="F30" s="31" t="s">
        <v>303</v>
      </c>
      <c r="G30" s="31" t="s">
        <v>31</v>
      </c>
      <c r="H30" s="31" t="s">
        <v>40</v>
      </c>
      <c r="I30" s="31">
        <v>45</v>
      </c>
      <c r="J30" s="32">
        <v>24553</v>
      </c>
      <c r="K30" s="31" t="s">
        <v>274</v>
      </c>
      <c r="L30" s="32">
        <v>754</v>
      </c>
      <c r="M30" s="32">
        <v>1179</v>
      </c>
      <c r="N30" s="35">
        <v>0.28125</v>
      </c>
      <c r="O30" s="31">
        <v>0.08</v>
      </c>
      <c r="P30" s="31">
        <v>0.61</v>
      </c>
      <c r="Q30" s="31" t="s">
        <v>274</v>
      </c>
      <c r="R30" s="32">
        <v>1361</v>
      </c>
      <c r="S30" s="32">
        <v>906</v>
      </c>
      <c r="T30" s="35">
        <v>0.70833333333333337</v>
      </c>
      <c r="U30" s="31">
        <v>0.09</v>
      </c>
      <c r="V30" s="31">
        <v>0.6</v>
      </c>
      <c r="W30" s="31" t="s">
        <v>274</v>
      </c>
    </row>
    <row r="31" spans="1:23" x14ac:dyDescent="0.25">
      <c r="A31" s="30" t="s">
        <v>36</v>
      </c>
      <c r="B31" s="30" t="s">
        <v>43</v>
      </c>
      <c r="C31" s="30" t="s">
        <v>130</v>
      </c>
      <c r="D31" s="31" t="s">
        <v>103</v>
      </c>
      <c r="E31" s="31">
        <v>7004</v>
      </c>
      <c r="F31" s="31">
        <v>7004</v>
      </c>
      <c r="G31" s="31" t="s">
        <v>39</v>
      </c>
      <c r="H31" s="31" t="s">
        <v>40</v>
      </c>
      <c r="I31" s="31">
        <v>45</v>
      </c>
      <c r="J31" s="32">
        <v>15230</v>
      </c>
      <c r="K31" s="31" t="s">
        <v>274</v>
      </c>
      <c r="L31" s="32">
        <v>505</v>
      </c>
      <c r="M31" s="32">
        <v>588</v>
      </c>
      <c r="N31" s="35">
        <v>0.33333333333333331</v>
      </c>
      <c r="O31" s="31">
        <v>7.0000000000000007E-2</v>
      </c>
      <c r="P31" s="31">
        <v>0.54</v>
      </c>
      <c r="Q31" s="31" t="s">
        <v>274</v>
      </c>
      <c r="R31" s="32">
        <v>667</v>
      </c>
      <c r="S31" s="32">
        <v>540</v>
      </c>
      <c r="T31" s="35">
        <v>0.71875</v>
      </c>
      <c r="U31" s="31">
        <v>0.08</v>
      </c>
      <c r="V31" s="31">
        <v>0.55000000000000004</v>
      </c>
      <c r="W31" s="31" t="s">
        <v>274</v>
      </c>
    </row>
    <row r="32" spans="1:23" x14ac:dyDescent="0.25">
      <c r="A32" s="30" t="s">
        <v>36</v>
      </c>
      <c r="B32" s="30" t="s">
        <v>43</v>
      </c>
      <c r="C32" s="30" t="s">
        <v>131</v>
      </c>
      <c r="D32" s="31" t="s">
        <v>103</v>
      </c>
      <c r="E32" s="31">
        <v>516</v>
      </c>
      <c r="F32" s="31">
        <v>516</v>
      </c>
      <c r="G32" s="31" t="s">
        <v>31</v>
      </c>
      <c r="H32" s="31" t="s">
        <v>40</v>
      </c>
      <c r="I32" s="31">
        <v>35</v>
      </c>
      <c r="J32" s="32">
        <v>22569</v>
      </c>
      <c r="K32" s="31" t="s">
        <v>17</v>
      </c>
      <c r="L32" s="32">
        <v>605</v>
      </c>
      <c r="M32" s="32">
        <v>1076</v>
      </c>
      <c r="N32" s="35">
        <v>0.30208333333333331</v>
      </c>
      <c r="O32" s="31">
        <v>7.0000000000000007E-2</v>
      </c>
      <c r="P32" s="31">
        <v>0.64</v>
      </c>
      <c r="Q32" s="31" t="s">
        <v>17</v>
      </c>
      <c r="R32" s="32">
        <v>1126</v>
      </c>
      <c r="S32" s="32">
        <v>749</v>
      </c>
      <c r="T32" s="35">
        <v>0.6875</v>
      </c>
      <c r="U32" s="31">
        <v>0.08</v>
      </c>
      <c r="V32" s="31">
        <v>0.6</v>
      </c>
      <c r="W32" s="31" t="s">
        <v>17</v>
      </c>
    </row>
    <row r="33" spans="1:23" x14ac:dyDescent="0.25">
      <c r="A33" s="30" t="s">
        <v>36</v>
      </c>
      <c r="B33" s="30" t="s">
        <v>43</v>
      </c>
      <c r="C33" s="30" t="s">
        <v>132</v>
      </c>
      <c r="D33" s="31" t="s">
        <v>103</v>
      </c>
      <c r="E33" s="31">
        <v>563</v>
      </c>
      <c r="F33" s="31">
        <v>563</v>
      </c>
      <c r="G33" s="31" t="s">
        <v>39</v>
      </c>
      <c r="H33" s="31" t="s">
        <v>40</v>
      </c>
      <c r="I33" s="31">
        <v>30</v>
      </c>
      <c r="J33" s="32">
        <v>11434</v>
      </c>
      <c r="K33" s="31" t="s">
        <v>17</v>
      </c>
      <c r="L33" s="32">
        <v>428</v>
      </c>
      <c r="M33" s="32">
        <v>296</v>
      </c>
      <c r="N33" s="35">
        <v>0.29166666666666669</v>
      </c>
      <c r="O33" s="31">
        <v>0.06</v>
      </c>
      <c r="P33" s="31">
        <v>0.59</v>
      </c>
      <c r="Q33" s="31" t="s">
        <v>17</v>
      </c>
      <c r="R33" s="32">
        <v>493</v>
      </c>
      <c r="S33" s="32">
        <v>396</v>
      </c>
      <c r="T33" s="35">
        <v>0.6875</v>
      </c>
      <c r="U33" s="31">
        <v>0.08</v>
      </c>
      <c r="V33" s="31">
        <v>0.55000000000000004</v>
      </c>
      <c r="W33" s="31" t="s">
        <v>17</v>
      </c>
    </row>
    <row r="34" spans="1:23" x14ac:dyDescent="0.25">
      <c r="A34" s="30" t="s">
        <v>36</v>
      </c>
      <c r="B34" s="30" t="s">
        <v>43</v>
      </c>
      <c r="C34" s="30" t="s">
        <v>133</v>
      </c>
      <c r="D34" s="31" t="s">
        <v>103</v>
      </c>
      <c r="E34" s="31">
        <v>580</v>
      </c>
      <c r="F34" s="31">
        <v>580</v>
      </c>
      <c r="G34" s="31" t="s">
        <v>31</v>
      </c>
      <c r="H34" s="31" t="s">
        <v>40</v>
      </c>
      <c r="I34" s="31">
        <v>35</v>
      </c>
      <c r="J34" s="32">
        <v>25032</v>
      </c>
      <c r="K34" s="31" t="s">
        <v>17</v>
      </c>
      <c r="L34" s="32">
        <v>872</v>
      </c>
      <c r="M34" s="32">
        <v>941</v>
      </c>
      <c r="N34" s="35">
        <v>0.29166666666666669</v>
      </c>
      <c r="O34" s="31">
        <v>7.0000000000000007E-2</v>
      </c>
      <c r="P34" s="31">
        <v>0.52</v>
      </c>
      <c r="Q34" s="31" t="s">
        <v>17</v>
      </c>
      <c r="R34" s="32">
        <v>994</v>
      </c>
      <c r="S34" s="32">
        <v>861</v>
      </c>
      <c r="T34" s="35">
        <v>0.69791666666666663</v>
      </c>
      <c r="U34" s="31">
        <v>7.0000000000000007E-2</v>
      </c>
      <c r="V34" s="31">
        <v>0.54</v>
      </c>
      <c r="W34" s="31" t="s">
        <v>17</v>
      </c>
    </row>
    <row r="35" spans="1:23" x14ac:dyDescent="0.25">
      <c r="A35" s="30" t="s">
        <v>36</v>
      </c>
      <c r="B35" s="30" t="s">
        <v>43</v>
      </c>
      <c r="C35" s="30" t="s">
        <v>49</v>
      </c>
      <c r="D35" s="31" t="s">
        <v>20</v>
      </c>
      <c r="E35" s="31">
        <v>564</v>
      </c>
      <c r="F35" s="31" t="s">
        <v>304</v>
      </c>
      <c r="G35" s="31" t="s">
        <v>39</v>
      </c>
      <c r="H35" s="31" t="s">
        <v>40</v>
      </c>
      <c r="I35" s="31">
        <v>45</v>
      </c>
      <c r="J35" s="32">
        <v>10179</v>
      </c>
      <c r="K35" s="31" t="s">
        <v>274</v>
      </c>
      <c r="L35" s="32">
        <v>337</v>
      </c>
      <c r="M35" s="32">
        <v>377</v>
      </c>
      <c r="N35" s="31" t="s">
        <v>350</v>
      </c>
      <c r="O35" s="31">
        <v>7.0000000000000007E-2</v>
      </c>
      <c r="P35" s="31">
        <v>0.53</v>
      </c>
      <c r="Q35" s="31" t="s">
        <v>274</v>
      </c>
      <c r="R35" s="32">
        <v>416</v>
      </c>
      <c r="S35" s="32">
        <v>403</v>
      </c>
      <c r="T35" s="31" t="s">
        <v>352</v>
      </c>
      <c r="U35" s="31">
        <v>0.08</v>
      </c>
      <c r="V35" s="31">
        <v>0.51</v>
      </c>
      <c r="W35" s="31" t="s">
        <v>274</v>
      </c>
    </row>
    <row r="36" spans="1:23" x14ac:dyDescent="0.25">
      <c r="A36" s="30" t="s">
        <v>36</v>
      </c>
      <c r="B36" s="30" t="s">
        <v>43</v>
      </c>
      <c r="C36" s="30" t="s">
        <v>44</v>
      </c>
      <c r="D36" s="31" t="s">
        <v>20</v>
      </c>
      <c r="E36" s="31">
        <v>18.100000000000001</v>
      </c>
      <c r="F36" s="31" t="s">
        <v>305</v>
      </c>
      <c r="G36" s="31" t="s">
        <v>25</v>
      </c>
      <c r="H36" s="31" t="s">
        <v>40</v>
      </c>
      <c r="I36" s="31">
        <v>45</v>
      </c>
      <c r="J36" s="32">
        <v>16631</v>
      </c>
      <c r="K36" s="31" t="s">
        <v>274</v>
      </c>
      <c r="L36" s="32">
        <v>469</v>
      </c>
      <c r="M36" s="32">
        <v>832</v>
      </c>
      <c r="N36" s="31" t="s">
        <v>351</v>
      </c>
      <c r="O36" s="31">
        <v>0.08</v>
      </c>
      <c r="P36" s="31">
        <v>0.64</v>
      </c>
      <c r="Q36" s="31" t="s">
        <v>274</v>
      </c>
      <c r="R36" s="32">
        <v>905</v>
      </c>
      <c r="S36" s="32">
        <v>655</v>
      </c>
      <c r="T36" s="31" t="s">
        <v>353</v>
      </c>
      <c r="U36" s="31">
        <v>0.09</v>
      </c>
      <c r="V36" s="31">
        <v>0.57999999999999996</v>
      </c>
      <c r="W36" s="31" t="s">
        <v>274</v>
      </c>
    </row>
    <row r="37" spans="1:23" ht="15" customHeight="1" x14ac:dyDescent="0.25">
      <c r="A37" s="30" t="s">
        <v>36</v>
      </c>
      <c r="B37" s="30" t="s">
        <v>51</v>
      </c>
      <c r="C37" s="30" t="s">
        <v>364</v>
      </c>
      <c r="D37" s="31" t="s">
        <v>20</v>
      </c>
      <c r="E37" s="31">
        <v>27</v>
      </c>
      <c r="F37" s="31" t="s">
        <v>306</v>
      </c>
      <c r="G37" s="31" t="s">
        <v>39</v>
      </c>
      <c r="H37" s="31" t="s">
        <v>40</v>
      </c>
      <c r="I37" s="31">
        <v>45</v>
      </c>
      <c r="J37" s="32">
        <v>15272</v>
      </c>
      <c r="K37" s="31" t="s">
        <v>274</v>
      </c>
      <c r="L37" s="32">
        <v>568</v>
      </c>
      <c r="M37" s="32">
        <v>600</v>
      </c>
      <c r="N37" s="31" t="s">
        <v>351</v>
      </c>
      <c r="O37" s="31">
        <v>0.08</v>
      </c>
      <c r="P37" s="31">
        <v>0.51</v>
      </c>
      <c r="Q37" s="31" t="s">
        <v>274</v>
      </c>
      <c r="R37" s="32">
        <v>598</v>
      </c>
      <c r="S37" s="32">
        <v>1933</v>
      </c>
      <c r="T37" s="31" t="s">
        <v>353</v>
      </c>
      <c r="U37" s="31">
        <v>0.17</v>
      </c>
      <c r="V37" s="31">
        <v>0.76</v>
      </c>
      <c r="W37" s="31" t="s">
        <v>284</v>
      </c>
    </row>
    <row r="38" spans="1:23" ht="15" customHeight="1" x14ac:dyDescent="0.25">
      <c r="A38" s="30" t="s">
        <v>36</v>
      </c>
      <c r="B38" s="30" t="s">
        <v>51</v>
      </c>
      <c r="C38" s="30" t="s">
        <v>365</v>
      </c>
      <c r="D38" s="31" t="s">
        <v>20</v>
      </c>
      <c r="E38" s="31">
        <v>7083</v>
      </c>
      <c r="F38" s="31" t="s">
        <v>307</v>
      </c>
      <c r="G38" s="31" t="s">
        <v>39</v>
      </c>
      <c r="H38" s="31" t="s">
        <v>40</v>
      </c>
      <c r="I38" s="31">
        <v>35</v>
      </c>
      <c r="J38" s="32">
        <v>8924</v>
      </c>
      <c r="K38" s="31" t="s">
        <v>17</v>
      </c>
      <c r="L38" s="32">
        <v>352</v>
      </c>
      <c r="M38" s="32">
        <v>308</v>
      </c>
      <c r="N38" s="35">
        <v>0.3125</v>
      </c>
      <c r="O38" s="31">
        <v>7.0000000000000007E-2</v>
      </c>
      <c r="P38" s="31">
        <v>0.53</v>
      </c>
      <c r="Q38" s="31" t="s">
        <v>274</v>
      </c>
      <c r="R38" s="32">
        <v>413</v>
      </c>
      <c r="S38" s="32">
        <v>345</v>
      </c>
      <c r="T38" s="35">
        <v>0.61458333333333337</v>
      </c>
      <c r="U38" s="31">
        <v>0.08</v>
      </c>
      <c r="V38" s="31">
        <v>0.54</v>
      </c>
      <c r="W38" s="31" t="s">
        <v>17</v>
      </c>
    </row>
    <row r="39" spans="1:23" ht="15" customHeight="1" x14ac:dyDescent="0.25">
      <c r="A39" s="30" t="s">
        <v>36</v>
      </c>
      <c r="B39" s="30" t="s">
        <v>51</v>
      </c>
      <c r="C39" s="30" t="s">
        <v>363</v>
      </c>
      <c r="D39" s="31" t="s">
        <v>20</v>
      </c>
      <c r="E39" s="31">
        <v>559</v>
      </c>
      <c r="F39" s="31" t="s">
        <v>308</v>
      </c>
      <c r="G39" s="31" t="s">
        <v>25</v>
      </c>
      <c r="H39" s="31" t="s">
        <v>40</v>
      </c>
      <c r="I39" s="31">
        <v>45</v>
      </c>
      <c r="J39" s="32">
        <v>29461</v>
      </c>
      <c r="K39" s="31" t="s">
        <v>284</v>
      </c>
      <c r="L39" s="32">
        <v>1170</v>
      </c>
      <c r="M39" s="32">
        <v>1187</v>
      </c>
      <c r="N39" s="35">
        <v>0.3125</v>
      </c>
      <c r="O39" s="31">
        <v>0.08</v>
      </c>
      <c r="P39" s="31">
        <v>0.5</v>
      </c>
      <c r="Q39" s="31" t="s">
        <v>284</v>
      </c>
      <c r="R39" s="32">
        <v>1175</v>
      </c>
      <c r="S39" s="32">
        <v>2553</v>
      </c>
      <c r="T39" s="35">
        <v>0.61458333333333337</v>
      </c>
      <c r="U39" s="31">
        <v>0.13</v>
      </c>
      <c r="V39" s="31">
        <v>0.68</v>
      </c>
      <c r="W39" s="31" t="s">
        <v>284</v>
      </c>
    </row>
    <row r="40" spans="1:23" ht="15" customHeight="1" x14ac:dyDescent="0.25">
      <c r="A40" s="30" t="s">
        <v>36</v>
      </c>
      <c r="B40" s="30" t="s">
        <v>51</v>
      </c>
      <c r="C40" s="30" t="s">
        <v>362</v>
      </c>
      <c r="D40" s="31" t="s">
        <v>103</v>
      </c>
      <c r="E40" s="31">
        <v>29</v>
      </c>
      <c r="F40" s="31">
        <v>29</v>
      </c>
      <c r="G40" s="31" t="s">
        <v>39</v>
      </c>
      <c r="H40" s="31" t="s">
        <v>40</v>
      </c>
      <c r="I40" s="31">
        <v>45</v>
      </c>
      <c r="J40" s="32">
        <v>15179</v>
      </c>
      <c r="K40" s="31" t="s">
        <v>274</v>
      </c>
      <c r="L40" s="32">
        <v>629</v>
      </c>
      <c r="M40" s="32">
        <v>573</v>
      </c>
      <c r="N40" s="35">
        <v>0.30208333333333331</v>
      </c>
      <c r="O40" s="31">
        <v>0.08</v>
      </c>
      <c r="P40" s="31">
        <v>0.52</v>
      </c>
      <c r="Q40" s="31" t="s">
        <v>274</v>
      </c>
      <c r="R40" s="32">
        <v>603</v>
      </c>
      <c r="S40" s="32">
        <v>554</v>
      </c>
      <c r="T40" s="35">
        <v>0.70833333333333337</v>
      </c>
      <c r="U40" s="31">
        <v>0.08</v>
      </c>
      <c r="V40" s="31">
        <v>0.52</v>
      </c>
      <c r="W40" s="31" t="s">
        <v>274</v>
      </c>
    </row>
    <row r="41" spans="1:23" ht="15" customHeight="1" x14ac:dyDescent="0.25">
      <c r="A41" s="30" t="s">
        <v>36</v>
      </c>
      <c r="B41" s="30" t="s">
        <v>51</v>
      </c>
      <c r="C41" s="30" t="s">
        <v>361</v>
      </c>
      <c r="D41" s="31" t="s">
        <v>103</v>
      </c>
      <c r="E41" s="31">
        <v>702</v>
      </c>
      <c r="F41" s="31">
        <v>702</v>
      </c>
      <c r="G41" s="31" t="s">
        <v>39</v>
      </c>
      <c r="H41" s="31" t="s">
        <v>40</v>
      </c>
      <c r="I41" s="31">
        <v>45</v>
      </c>
      <c r="J41" s="32">
        <v>16693</v>
      </c>
      <c r="K41" s="31" t="s">
        <v>274</v>
      </c>
      <c r="L41" s="32">
        <v>717</v>
      </c>
      <c r="M41" s="32">
        <v>635</v>
      </c>
      <c r="N41" s="35">
        <v>0.3125</v>
      </c>
      <c r="O41" s="31">
        <v>0.08</v>
      </c>
      <c r="P41" s="31">
        <v>0.53</v>
      </c>
      <c r="Q41" s="31" t="s">
        <v>274</v>
      </c>
      <c r="R41" s="32">
        <v>733</v>
      </c>
      <c r="S41" s="32">
        <v>565</v>
      </c>
      <c r="T41" s="35">
        <v>0.6875</v>
      </c>
      <c r="U41" s="31">
        <v>0.08</v>
      </c>
      <c r="V41" s="31">
        <v>0.56000000000000005</v>
      </c>
      <c r="W41" s="31" t="s">
        <v>274</v>
      </c>
    </row>
    <row r="42" spans="1:23" x14ac:dyDescent="0.25">
      <c r="A42" s="30" t="s">
        <v>71</v>
      </c>
      <c r="B42" s="30" t="s">
        <v>123</v>
      </c>
      <c r="C42" s="30" t="s">
        <v>124</v>
      </c>
      <c r="D42" s="31" t="s">
        <v>103</v>
      </c>
      <c r="E42" s="31">
        <v>520</v>
      </c>
      <c r="F42" s="31">
        <v>520</v>
      </c>
      <c r="G42" s="31" t="s">
        <v>39</v>
      </c>
      <c r="H42" s="31" t="s">
        <v>40</v>
      </c>
      <c r="I42" s="31">
        <v>30</v>
      </c>
      <c r="J42" s="32">
        <v>2166</v>
      </c>
      <c r="K42" s="31" t="s">
        <v>274</v>
      </c>
      <c r="L42" s="32">
        <v>54</v>
      </c>
      <c r="M42" s="32">
        <v>64</v>
      </c>
      <c r="N42" s="31" t="s">
        <v>350</v>
      </c>
      <c r="O42" s="31">
        <v>0.05</v>
      </c>
      <c r="P42" s="31">
        <v>0.54</v>
      </c>
      <c r="Q42" s="31" t="s">
        <v>274</v>
      </c>
      <c r="R42" s="32">
        <v>69</v>
      </c>
      <c r="S42" s="32">
        <v>167</v>
      </c>
      <c r="T42" s="31" t="s">
        <v>353</v>
      </c>
      <c r="U42" s="31">
        <v>0.11</v>
      </c>
      <c r="V42" s="31">
        <v>0.71</v>
      </c>
      <c r="W42" s="31" t="s">
        <v>274</v>
      </c>
    </row>
    <row r="43" spans="1:23" x14ac:dyDescent="0.25">
      <c r="A43" s="30" t="s">
        <v>71</v>
      </c>
      <c r="B43" s="30" t="s">
        <v>125</v>
      </c>
      <c r="C43" s="30" t="s">
        <v>126</v>
      </c>
      <c r="D43" s="31" t="s">
        <v>103</v>
      </c>
      <c r="E43" s="31">
        <v>655</v>
      </c>
      <c r="F43" s="31">
        <v>655</v>
      </c>
      <c r="G43" s="31" t="s">
        <v>39</v>
      </c>
      <c r="H43" s="31" t="s">
        <v>40</v>
      </c>
      <c r="I43" s="31">
        <v>40</v>
      </c>
      <c r="J43" s="32">
        <v>1761</v>
      </c>
      <c r="K43" s="31" t="s">
        <v>274</v>
      </c>
      <c r="L43" s="32">
        <v>64</v>
      </c>
      <c r="M43" s="32">
        <v>63</v>
      </c>
      <c r="N43" s="31" t="s">
        <v>350</v>
      </c>
      <c r="O43" s="31">
        <v>7.0000000000000007E-2</v>
      </c>
      <c r="P43" s="31">
        <v>0.5</v>
      </c>
      <c r="Q43" s="31" t="s">
        <v>274</v>
      </c>
      <c r="R43" s="32">
        <v>71</v>
      </c>
      <c r="S43" s="32">
        <v>68</v>
      </c>
      <c r="T43" s="31" t="s">
        <v>353</v>
      </c>
      <c r="U43" s="31">
        <v>0.08</v>
      </c>
      <c r="V43" s="31">
        <v>0.51</v>
      </c>
      <c r="W43" s="31" t="s">
        <v>274</v>
      </c>
    </row>
    <row r="44" spans="1:23" x14ac:dyDescent="0.25">
      <c r="A44" s="30" t="s">
        <v>71</v>
      </c>
      <c r="B44" s="30" t="s">
        <v>134</v>
      </c>
      <c r="C44" s="30" t="s">
        <v>135</v>
      </c>
      <c r="D44" s="31" t="s">
        <v>103</v>
      </c>
      <c r="E44" s="31">
        <v>414</v>
      </c>
      <c r="F44" s="31">
        <v>414</v>
      </c>
      <c r="G44" s="31" t="s">
        <v>39</v>
      </c>
      <c r="H44" s="31" t="s">
        <v>17</v>
      </c>
      <c r="I44" s="31">
        <v>30</v>
      </c>
      <c r="J44" s="32">
        <v>2117</v>
      </c>
      <c r="K44" s="31" t="s">
        <v>274</v>
      </c>
      <c r="L44" s="32">
        <v>107</v>
      </c>
      <c r="M44" s="32">
        <v>62</v>
      </c>
      <c r="N44" s="31" t="s">
        <v>350</v>
      </c>
      <c r="O44" s="31">
        <v>0.08</v>
      </c>
      <c r="P44" s="31">
        <v>0.63</v>
      </c>
      <c r="Q44" s="31" t="s">
        <v>274</v>
      </c>
      <c r="R44" s="32">
        <v>137</v>
      </c>
      <c r="S44" s="32">
        <v>87</v>
      </c>
      <c r="T44" s="31" t="s">
        <v>352</v>
      </c>
      <c r="U44" s="31">
        <v>0.11</v>
      </c>
      <c r="V44" s="31">
        <v>0.61</v>
      </c>
      <c r="W44" s="31" t="s">
        <v>274</v>
      </c>
    </row>
    <row r="45" spans="1:23" x14ac:dyDescent="0.25">
      <c r="A45" s="30" t="s">
        <v>71</v>
      </c>
      <c r="B45" s="30" t="s">
        <v>136</v>
      </c>
      <c r="C45" s="30" t="s">
        <v>115</v>
      </c>
      <c r="D45" s="31" t="s">
        <v>103</v>
      </c>
      <c r="E45" s="31">
        <v>408</v>
      </c>
      <c r="F45" s="31">
        <v>408</v>
      </c>
      <c r="G45" s="31" t="s">
        <v>39</v>
      </c>
      <c r="H45" s="31" t="s">
        <v>40</v>
      </c>
      <c r="I45" s="31">
        <v>30</v>
      </c>
      <c r="J45" s="32">
        <v>5010</v>
      </c>
      <c r="K45" s="31" t="s">
        <v>17</v>
      </c>
      <c r="L45" s="32">
        <v>184</v>
      </c>
      <c r="M45" s="32">
        <v>101</v>
      </c>
      <c r="N45" s="31" t="s">
        <v>350</v>
      </c>
      <c r="O45" s="31">
        <v>0.06</v>
      </c>
      <c r="P45" s="31">
        <v>0.65</v>
      </c>
      <c r="Q45" s="31" t="s">
        <v>274</v>
      </c>
      <c r="R45" s="32">
        <v>261</v>
      </c>
      <c r="S45" s="32">
        <v>420</v>
      </c>
      <c r="T45" s="31" t="s">
        <v>353</v>
      </c>
      <c r="U45" s="31">
        <v>0.14000000000000001</v>
      </c>
      <c r="V45" s="31">
        <v>0.62</v>
      </c>
      <c r="W45" s="31" t="s">
        <v>17</v>
      </c>
    </row>
    <row r="46" spans="1:23" x14ac:dyDescent="0.25">
      <c r="A46" s="30" t="s">
        <v>71</v>
      </c>
      <c r="B46" s="30" t="s">
        <v>137</v>
      </c>
      <c r="C46" s="30" t="s">
        <v>138</v>
      </c>
      <c r="D46" s="31" t="s">
        <v>103</v>
      </c>
      <c r="E46" s="31">
        <v>508</v>
      </c>
      <c r="F46" s="31">
        <v>508</v>
      </c>
      <c r="G46" s="31" t="s">
        <v>39</v>
      </c>
      <c r="H46" s="31" t="s">
        <v>17</v>
      </c>
      <c r="I46" s="31">
        <v>25</v>
      </c>
      <c r="J46" s="32">
        <v>2351</v>
      </c>
      <c r="K46" s="31" t="s">
        <v>274</v>
      </c>
      <c r="L46" s="32">
        <v>96</v>
      </c>
      <c r="M46" s="32">
        <v>53</v>
      </c>
      <c r="N46" s="31" t="s">
        <v>351</v>
      </c>
      <c r="O46" s="31">
        <v>0.06</v>
      </c>
      <c r="P46" s="31">
        <v>0.64</v>
      </c>
      <c r="Q46" s="31" t="s">
        <v>274</v>
      </c>
      <c r="R46" s="32">
        <v>86</v>
      </c>
      <c r="S46" s="32">
        <v>142</v>
      </c>
      <c r="T46" s="31" t="s">
        <v>352</v>
      </c>
      <c r="U46" s="31">
        <v>0.1</v>
      </c>
      <c r="V46" s="31">
        <v>0.62</v>
      </c>
      <c r="W46" s="31" t="s">
        <v>274</v>
      </c>
    </row>
    <row r="47" spans="1:23" x14ac:dyDescent="0.25">
      <c r="A47" s="30" t="s">
        <v>71</v>
      </c>
      <c r="B47" s="30" t="s">
        <v>137</v>
      </c>
      <c r="C47" s="30" t="s">
        <v>139</v>
      </c>
      <c r="D47" s="31" t="s">
        <v>103</v>
      </c>
      <c r="E47" s="31">
        <v>509</v>
      </c>
      <c r="F47" s="31">
        <v>509</v>
      </c>
      <c r="G47" s="31" t="s">
        <v>39</v>
      </c>
      <c r="H47" s="31" t="s">
        <v>17</v>
      </c>
      <c r="I47" s="31">
        <v>25</v>
      </c>
      <c r="J47" s="32">
        <v>4014</v>
      </c>
      <c r="K47" s="31" t="s">
        <v>274</v>
      </c>
      <c r="L47" s="32">
        <v>194</v>
      </c>
      <c r="M47" s="32">
        <v>94</v>
      </c>
      <c r="N47" s="31" t="s">
        <v>351</v>
      </c>
      <c r="O47" s="31">
        <v>7.0000000000000007E-2</v>
      </c>
      <c r="P47" s="31">
        <v>0.67</v>
      </c>
      <c r="Q47" s="31" t="s">
        <v>274</v>
      </c>
      <c r="R47" s="32">
        <v>133</v>
      </c>
      <c r="S47" s="32">
        <v>242</v>
      </c>
      <c r="T47" s="31" t="s">
        <v>353</v>
      </c>
      <c r="U47" s="31">
        <v>0.09</v>
      </c>
      <c r="V47" s="31">
        <v>0.65</v>
      </c>
      <c r="W47" s="31" t="s">
        <v>274</v>
      </c>
    </row>
    <row r="48" spans="1:23" x14ac:dyDescent="0.25">
      <c r="A48" s="30" t="s">
        <v>71</v>
      </c>
      <c r="B48" s="30" t="s">
        <v>137</v>
      </c>
      <c r="C48" s="30" t="s">
        <v>140</v>
      </c>
      <c r="D48" s="31" t="s">
        <v>103</v>
      </c>
      <c r="E48" s="31">
        <v>541</v>
      </c>
      <c r="F48" s="31">
        <v>541</v>
      </c>
      <c r="G48" s="31" t="s">
        <v>39</v>
      </c>
      <c r="H48" s="31" t="s">
        <v>17</v>
      </c>
      <c r="I48" s="31">
        <v>30</v>
      </c>
      <c r="J48" s="32">
        <v>6954</v>
      </c>
      <c r="K48" s="31" t="s">
        <v>17</v>
      </c>
      <c r="L48" s="32">
        <v>181</v>
      </c>
      <c r="M48" s="32">
        <v>250</v>
      </c>
      <c r="N48" s="31" t="s">
        <v>351</v>
      </c>
      <c r="O48" s="31">
        <v>0.06</v>
      </c>
      <c r="P48" s="31">
        <v>0.57999999999999996</v>
      </c>
      <c r="Q48" s="31" t="s">
        <v>274</v>
      </c>
      <c r="R48" s="32">
        <v>463</v>
      </c>
      <c r="S48" s="32">
        <v>201</v>
      </c>
      <c r="T48" s="31" t="s">
        <v>353</v>
      </c>
      <c r="U48" s="31">
        <v>0.1</v>
      </c>
      <c r="V48" s="31">
        <v>0.7</v>
      </c>
      <c r="W48" s="31" t="s">
        <v>17</v>
      </c>
    </row>
    <row r="49" spans="1:23" x14ac:dyDescent="0.25">
      <c r="A49" s="30" t="s">
        <v>71</v>
      </c>
      <c r="B49" s="30" t="s">
        <v>141</v>
      </c>
      <c r="C49" s="30" t="s">
        <v>142</v>
      </c>
      <c r="D49" s="31" t="s">
        <v>103</v>
      </c>
      <c r="E49" s="31">
        <v>931</v>
      </c>
      <c r="F49" s="31">
        <v>931</v>
      </c>
      <c r="G49" s="31" t="s">
        <v>39</v>
      </c>
      <c r="H49" s="31" t="s">
        <v>40</v>
      </c>
      <c r="I49" s="31">
        <v>40</v>
      </c>
      <c r="J49" s="32">
        <v>2195</v>
      </c>
      <c r="K49" s="31" t="s">
        <v>274</v>
      </c>
      <c r="L49" s="32">
        <v>60</v>
      </c>
      <c r="M49" s="32">
        <v>59</v>
      </c>
      <c r="N49" s="31" t="s">
        <v>350</v>
      </c>
      <c r="O49" s="31">
        <v>0.05</v>
      </c>
      <c r="P49" s="31">
        <v>0.5</v>
      </c>
      <c r="Q49" s="31" t="s">
        <v>274</v>
      </c>
      <c r="R49" s="32">
        <v>50</v>
      </c>
      <c r="S49" s="32">
        <v>122</v>
      </c>
      <c r="T49" s="31" t="s">
        <v>352</v>
      </c>
      <c r="U49" s="31">
        <v>0.08</v>
      </c>
      <c r="V49" s="31">
        <v>0.71</v>
      </c>
      <c r="W49" s="31" t="s">
        <v>274</v>
      </c>
    </row>
    <row r="50" spans="1:23" x14ac:dyDescent="0.25">
      <c r="A50" s="30" t="s">
        <v>71</v>
      </c>
      <c r="B50" s="30" t="s">
        <v>143</v>
      </c>
      <c r="C50" s="30" t="s">
        <v>144</v>
      </c>
      <c r="D50" s="31" t="s">
        <v>103</v>
      </c>
      <c r="E50" s="31">
        <v>909</v>
      </c>
      <c r="F50" s="31">
        <v>909</v>
      </c>
      <c r="G50" s="31" t="s">
        <v>39</v>
      </c>
      <c r="H50" s="31" t="s">
        <v>40</v>
      </c>
      <c r="I50" s="31">
        <v>30</v>
      </c>
      <c r="J50" s="32">
        <v>1843</v>
      </c>
      <c r="K50" s="31" t="s">
        <v>274</v>
      </c>
      <c r="L50" s="32">
        <v>92</v>
      </c>
      <c r="M50" s="32">
        <v>52</v>
      </c>
      <c r="N50" s="31" t="s">
        <v>350</v>
      </c>
      <c r="O50" s="31">
        <v>0.08</v>
      </c>
      <c r="P50" s="31">
        <v>0.64</v>
      </c>
      <c r="Q50" s="31" t="s">
        <v>274</v>
      </c>
      <c r="R50" s="32">
        <v>76</v>
      </c>
      <c r="S50" s="32">
        <v>102</v>
      </c>
      <c r="T50" s="31" t="s">
        <v>353</v>
      </c>
      <c r="U50" s="31">
        <v>0.1</v>
      </c>
      <c r="V50" s="31">
        <v>0.56999999999999995</v>
      </c>
      <c r="W50" s="31" t="s">
        <v>274</v>
      </c>
    </row>
    <row r="51" spans="1:23" x14ac:dyDescent="0.25">
      <c r="A51" s="30" t="s">
        <v>71</v>
      </c>
      <c r="B51" s="30" t="s">
        <v>143</v>
      </c>
      <c r="C51" s="30" t="s">
        <v>145</v>
      </c>
      <c r="D51" s="31" t="s">
        <v>103</v>
      </c>
      <c r="E51" s="31">
        <v>910</v>
      </c>
      <c r="F51" s="31">
        <v>910</v>
      </c>
      <c r="G51" s="31" t="s">
        <v>39</v>
      </c>
      <c r="H51" s="31" t="s">
        <v>40</v>
      </c>
      <c r="I51" s="31">
        <v>30</v>
      </c>
      <c r="J51" s="32">
        <v>1108</v>
      </c>
      <c r="K51" s="31" t="s">
        <v>274</v>
      </c>
      <c r="L51" s="32">
        <v>51</v>
      </c>
      <c r="M51" s="32">
        <v>35</v>
      </c>
      <c r="N51" s="31" t="s">
        <v>350</v>
      </c>
      <c r="O51" s="31">
        <v>0.08</v>
      </c>
      <c r="P51" s="31">
        <v>0.59</v>
      </c>
      <c r="Q51" s="31" t="s">
        <v>274</v>
      </c>
      <c r="R51" s="32">
        <v>51</v>
      </c>
      <c r="S51" s="32">
        <v>61</v>
      </c>
      <c r="T51" s="31" t="s">
        <v>353</v>
      </c>
      <c r="U51" s="31">
        <v>0.1</v>
      </c>
      <c r="V51" s="31">
        <v>0.54</v>
      </c>
      <c r="W51" s="31" t="s">
        <v>274</v>
      </c>
    </row>
    <row r="52" spans="1:23" x14ac:dyDescent="0.25">
      <c r="A52" s="30" t="s">
        <v>71</v>
      </c>
      <c r="B52" s="30" t="s">
        <v>146</v>
      </c>
      <c r="C52" s="30" t="s">
        <v>147</v>
      </c>
      <c r="D52" s="31" t="s">
        <v>103</v>
      </c>
      <c r="E52" s="31">
        <v>820</v>
      </c>
      <c r="F52" s="31">
        <v>820</v>
      </c>
      <c r="G52" s="31" t="s">
        <v>39</v>
      </c>
      <c r="H52" s="31" t="s">
        <v>40</v>
      </c>
      <c r="I52" s="31">
        <v>25</v>
      </c>
      <c r="J52" s="32">
        <v>3762</v>
      </c>
      <c r="K52" s="31" t="s">
        <v>274</v>
      </c>
      <c r="L52" s="32">
        <v>129</v>
      </c>
      <c r="M52" s="32">
        <v>137</v>
      </c>
      <c r="N52" s="31" t="s">
        <v>351</v>
      </c>
      <c r="O52" s="31">
        <v>7.0000000000000007E-2</v>
      </c>
      <c r="P52" s="31">
        <v>0.52</v>
      </c>
      <c r="Q52" s="31" t="s">
        <v>274</v>
      </c>
      <c r="R52" s="32">
        <v>164</v>
      </c>
      <c r="S52" s="32">
        <v>152</v>
      </c>
      <c r="T52" s="31" t="s">
        <v>353</v>
      </c>
      <c r="U52" s="31">
        <v>0.08</v>
      </c>
      <c r="V52" s="31">
        <v>0.52</v>
      </c>
      <c r="W52" s="31" t="s">
        <v>274</v>
      </c>
    </row>
    <row r="53" spans="1:23" x14ac:dyDescent="0.25">
      <c r="A53" s="30" t="s">
        <v>71</v>
      </c>
      <c r="B53" s="30" t="s">
        <v>148</v>
      </c>
      <c r="C53" s="30" t="s">
        <v>149</v>
      </c>
      <c r="D53" s="31" t="s">
        <v>103</v>
      </c>
      <c r="E53" s="31">
        <v>920</v>
      </c>
      <c r="F53" s="31">
        <v>920</v>
      </c>
      <c r="G53" s="31" t="s">
        <v>39</v>
      </c>
      <c r="H53" s="31" t="s">
        <v>40</v>
      </c>
      <c r="I53" s="31">
        <v>40</v>
      </c>
      <c r="J53" s="32">
        <v>1440</v>
      </c>
      <c r="K53" s="31" t="s">
        <v>274</v>
      </c>
      <c r="L53" s="32">
        <v>54</v>
      </c>
      <c r="M53" s="32">
        <v>79</v>
      </c>
      <c r="N53" s="31" t="s">
        <v>350</v>
      </c>
      <c r="O53" s="31">
        <v>0.09</v>
      </c>
      <c r="P53" s="31">
        <v>0.59</v>
      </c>
      <c r="Q53" s="31" t="s">
        <v>274</v>
      </c>
      <c r="R53" s="32">
        <v>73</v>
      </c>
      <c r="S53" s="32">
        <v>52</v>
      </c>
      <c r="T53" s="31" t="s">
        <v>353</v>
      </c>
      <c r="U53" s="31">
        <v>0.09</v>
      </c>
      <c r="V53" s="31">
        <v>0.57999999999999996</v>
      </c>
      <c r="W53" s="31" t="s">
        <v>274</v>
      </c>
    </row>
    <row r="54" spans="1:23" x14ac:dyDescent="0.25">
      <c r="A54" s="30" t="s">
        <v>71</v>
      </c>
      <c r="B54" s="30" t="s">
        <v>150</v>
      </c>
      <c r="C54" s="30" t="s">
        <v>120</v>
      </c>
      <c r="D54" s="31" t="s">
        <v>103</v>
      </c>
      <c r="E54" s="31">
        <v>972</v>
      </c>
      <c r="F54" s="31">
        <v>972</v>
      </c>
      <c r="G54" s="31" t="s">
        <v>39</v>
      </c>
      <c r="H54" s="31" t="s">
        <v>40</v>
      </c>
      <c r="I54" s="31">
        <v>40</v>
      </c>
      <c r="J54" s="32">
        <v>5426</v>
      </c>
      <c r="K54" s="31" t="s">
        <v>274</v>
      </c>
      <c r="L54" s="32">
        <v>363</v>
      </c>
      <c r="M54" s="32">
        <v>131</v>
      </c>
      <c r="N54" s="31" t="s">
        <v>350</v>
      </c>
      <c r="O54" s="31">
        <v>0.09</v>
      </c>
      <c r="P54" s="31">
        <v>0.73</v>
      </c>
      <c r="Q54" s="31" t="s">
        <v>274</v>
      </c>
      <c r="R54" s="32">
        <v>152</v>
      </c>
      <c r="S54" s="32">
        <v>279</v>
      </c>
      <c r="T54" s="31" t="s">
        <v>353</v>
      </c>
      <c r="U54" s="31">
        <v>0.08</v>
      </c>
      <c r="V54" s="31">
        <v>0.65</v>
      </c>
      <c r="W54" s="31" t="s">
        <v>274</v>
      </c>
    </row>
    <row r="55" spans="1:23" x14ac:dyDescent="0.25">
      <c r="A55" s="30" t="s">
        <v>71</v>
      </c>
      <c r="B55" s="30" t="s">
        <v>151</v>
      </c>
      <c r="C55" s="30" t="s">
        <v>152</v>
      </c>
      <c r="D55" s="31" t="s">
        <v>103</v>
      </c>
      <c r="E55" s="31">
        <v>975</v>
      </c>
      <c r="F55" s="31">
        <v>975</v>
      </c>
      <c r="G55" s="31" t="s">
        <v>39</v>
      </c>
      <c r="H55" s="31" t="s">
        <v>40</v>
      </c>
      <c r="I55" s="31">
        <v>40</v>
      </c>
      <c r="J55" s="32">
        <v>4050</v>
      </c>
      <c r="K55" s="31" t="s">
        <v>274</v>
      </c>
      <c r="L55" s="32">
        <v>253</v>
      </c>
      <c r="M55" s="32">
        <v>183</v>
      </c>
      <c r="N55" s="31" t="s">
        <v>351</v>
      </c>
      <c r="O55" s="31">
        <v>0.11</v>
      </c>
      <c r="P55" s="31">
        <v>0.57999999999999996</v>
      </c>
      <c r="Q55" s="31" t="s">
        <v>274</v>
      </c>
      <c r="R55" s="32">
        <v>165</v>
      </c>
      <c r="S55" s="32">
        <v>162</v>
      </c>
      <c r="T55" s="31" t="s">
        <v>353</v>
      </c>
      <c r="U55" s="31">
        <v>0.08</v>
      </c>
      <c r="V55" s="31">
        <v>0.5</v>
      </c>
      <c r="W55" s="31" t="s">
        <v>274</v>
      </c>
    </row>
    <row r="56" spans="1:23" x14ac:dyDescent="0.25">
      <c r="A56" s="30" t="s">
        <v>71</v>
      </c>
      <c r="B56" s="30" t="s">
        <v>153</v>
      </c>
      <c r="C56" s="30" t="s">
        <v>154</v>
      </c>
      <c r="D56" s="31" t="s">
        <v>103</v>
      </c>
      <c r="E56" s="31">
        <v>561</v>
      </c>
      <c r="F56" s="31">
        <v>561</v>
      </c>
      <c r="G56" s="31" t="s">
        <v>39</v>
      </c>
      <c r="H56" s="31" t="s">
        <v>17</v>
      </c>
      <c r="I56" s="31">
        <v>30</v>
      </c>
      <c r="J56" s="32">
        <v>1129</v>
      </c>
      <c r="K56" s="31" t="s">
        <v>274</v>
      </c>
      <c r="L56" s="32">
        <v>24</v>
      </c>
      <c r="M56" s="32">
        <v>36</v>
      </c>
      <c r="N56" s="31" t="s">
        <v>351</v>
      </c>
      <c r="O56" s="31">
        <v>0.05</v>
      </c>
      <c r="P56" s="31">
        <v>0.6</v>
      </c>
      <c r="Q56" s="31" t="s">
        <v>274</v>
      </c>
      <c r="R56" s="32">
        <v>56</v>
      </c>
      <c r="S56" s="32">
        <v>42</v>
      </c>
      <c r="T56" s="31" t="s">
        <v>352</v>
      </c>
      <c r="U56" s="31">
        <v>0.09</v>
      </c>
      <c r="V56" s="31">
        <v>0.56999999999999995</v>
      </c>
      <c r="W56" s="31" t="s">
        <v>274</v>
      </c>
    </row>
    <row r="57" spans="1:23" x14ac:dyDescent="0.25">
      <c r="A57" s="30" t="s">
        <v>71</v>
      </c>
      <c r="B57" s="30" t="s">
        <v>153</v>
      </c>
      <c r="C57" s="30" t="s">
        <v>122</v>
      </c>
      <c r="D57" s="31" t="s">
        <v>103</v>
      </c>
      <c r="E57" s="31">
        <v>562</v>
      </c>
      <c r="F57" s="31">
        <v>562</v>
      </c>
      <c r="G57" s="31" t="s">
        <v>39</v>
      </c>
      <c r="H57" s="31" t="s">
        <v>17</v>
      </c>
      <c r="I57" s="31">
        <v>30</v>
      </c>
      <c r="J57" s="32">
        <v>1084</v>
      </c>
      <c r="K57" s="31" t="s">
        <v>274</v>
      </c>
      <c r="L57" s="32">
        <v>28</v>
      </c>
      <c r="M57" s="32">
        <v>18</v>
      </c>
      <c r="N57" s="31" t="s">
        <v>351</v>
      </c>
      <c r="O57" s="31">
        <v>0.04</v>
      </c>
      <c r="P57" s="31">
        <v>0.61</v>
      </c>
      <c r="Q57" s="31" t="s">
        <v>274</v>
      </c>
      <c r="R57" s="32">
        <v>53</v>
      </c>
      <c r="S57" s="32">
        <v>48</v>
      </c>
      <c r="T57" s="31" t="s">
        <v>352</v>
      </c>
      <c r="U57" s="31">
        <v>0.09</v>
      </c>
      <c r="V57" s="31">
        <v>0.52</v>
      </c>
      <c r="W57" s="31" t="s">
        <v>274</v>
      </c>
    </row>
    <row r="58" spans="1:23" x14ac:dyDescent="0.25">
      <c r="A58" s="30" t="s">
        <v>71</v>
      </c>
      <c r="B58" s="30" t="s">
        <v>155</v>
      </c>
      <c r="C58" s="30" t="s">
        <v>156</v>
      </c>
      <c r="D58" s="31" t="s">
        <v>103</v>
      </c>
      <c r="E58" s="31">
        <v>950</v>
      </c>
      <c r="F58" s="31">
        <v>950</v>
      </c>
      <c r="G58" s="31" t="s">
        <v>39</v>
      </c>
      <c r="H58" s="31" t="s">
        <v>40</v>
      </c>
      <c r="I58" s="31">
        <v>35</v>
      </c>
      <c r="J58" s="32">
        <v>2821</v>
      </c>
      <c r="K58" s="31" t="s">
        <v>274</v>
      </c>
      <c r="L58" s="32">
        <v>110</v>
      </c>
      <c r="M58" s="32">
        <v>64</v>
      </c>
      <c r="N58" s="31" t="s">
        <v>350</v>
      </c>
      <c r="O58" s="31">
        <v>0.06</v>
      </c>
      <c r="P58" s="31">
        <v>0.63</v>
      </c>
      <c r="Q58" s="31" t="s">
        <v>274</v>
      </c>
      <c r="R58" s="32">
        <v>58</v>
      </c>
      <c r="S58" s="32">
        <v>173</v>
      </c>
      <c r="T58" s="31" t="s">
        <v>352</v>
      </c>
      <c r="U58" s="31">
        <v>0.08</v>
      </c>
      <c r="V58" s="31">
        <v>0.75</v>
      </c>
      <c r="W58" s="31" t="s">
        <v>274</v>
      </c>
    </row>
    <row r="59" spans="1:23" x14ac:dyDescent="0.25">
      <c r="A59" s="30" t="s">
        <v>71</v>
      </c>
      <c r="B59" s="30" t="s">
        <v>155</v>
      </c>
      <c r="C59" s="30" t="s">
        <v>157</v>
      </c>
      <c r="D59" s="31" t="s">
        <v>103</v>
      </c>
      <c r="E59" s="31">
        <v>951</v>
      </c>
      <c r="F59" s="31">
        <v>951</v>
      </c>
      <c r="G59" s="31" t="s">
        <v>39</v>
      </c>
      <c r="H59" s="31" t="s">
        <v>40</v>
      </c>
      <c r="I59" s="31">
        <v>35</v>
      </c>
      <c r="J59" s="32">
        <v>991</v>
      </c>
      <c r="K59" s="31" t="s">
        <v>274</v>
      </c>
      <c r="L59" s="32">
        <v>37</v>
      </c>
      <c r="M59" s="32">
        <v>34</v>
      </c>
      <c r="N59" s="31" t="s">
        <v>351</v>
      </c>
      <c r="O59" s="31">
        <v>7.0000000000000007E-2</v>
      </c>
      <c r="P59" s="31">
        <v>0.52</v>
      </c>
      <c r="Q59" s="31" t="s">
        <v>274</v>
      </c>
      <c r="R59" s="32">
        <v>73</v>
      </c>
      <c r="S59" s="32">
        <v>31</v>
      </c>
      <c r="T59" s="31" t="s">
        <v>352</v>
      </c>
      <c r="U59" s="31">
        <v>0.1</v>
      </c>
      <c r="V59" s="31">
        <v>0.7</v>
      </c>
      <c r="W59" s="31" t="s">
        <v>274</v>
      </c>
    </row>
    <row r="60" spans="1:23" x14ac:dyDescent="0.25">
      <c r="A60" s="30" t="s">
        <v>71</v>
      </c>
      <c r="B60" s="30" t="s">
        <v>155</v>
      </c>
      <c r="C60" s="30" t="s">
        <v>158</v>
      </c>
      <c r="D60" s="31" t="s">
        <v>103</v>
      </c>
      <c r="E60" s="31">
        <v>952</v>
      </c>
      <c r="F60" s="31">
        <v>952</v>
      </c>
      <c r="G60" s="31" t="s">
        <v>39</v>
      </c>
      <c r="H60" s="31" t="s">
        <v>40</v>
      </c>
      <c r="I60" s="31">
        <v>35</v>
      </c>
      <c r="J60" s="32">
        <v>215</v>
      </c>
      <c r="K60" s="31" t="s">
        <v>274</v>
      </c>
      <c r="L60" s="32">
        <v>3</v>
      </c>
      <c r="M60" s="32">
        <v>11</v>
      </c>
      <c r="N60" s="31" t="s">
        <v>350</v>
      </c>
      <c r="O60" s="31">
        <v>7.0000000000000007E-2</v>
      </c>
      <c r="P60" s="31">
        <v>0.79</v>
      </c>
      <c r="Q60" s="31" t="s">
        <v>274</v>
      </c>
      <c r="R60" s="32">
        <v>20</v>
      </c>
      <c r="S60" s="32">
        <v>3</v>
      </c>
      <c r="T60" s="31" t="s">
        <v>352</v>
      </c>
      <c r="U60" s="31">
        <v>0.11</v>
      </c>
      <c r="V60" s="31">
        <v>0.87</v>
      </c>
      <c r="W60" s="31" t="s">
        <v>274</v>
      </c>
    </row>
    <row r="61" spans="1:23" x14ac:dyDescent="0.25">
      <c r="A61" s="30" t="s">
        <v>71</v>
      </c>
      <c r="B61" s="30" t="s">
        <v>159</v>
      </c>
      <c r="C61" s="30" t="s">
        <v>160</v>
      </c>
      <c r="D61" s="31" t="s">
        <v>103</v>
      </c>
      <c r="E61" s="31">
        <v>406</v>
      </c>
      <c r="F61" s="31">
        <v>406</v>
      </c>
      <c r="G61" s="31" t="s">
        <v>39</v>
      </c>
      <c r="H61" s="31" t="s">
        <v>40</v>
      </c>
      <c r="I61" s="31">
        <v>25</v>
      </c>
      <c r="J61" s="32">
        <v>698</v>
      </c>
      <c r="K61" s="31" t="s">
        <v>274</v>
      </c>
      <c r="L61" s="32">
        <v>68</v>
      </c>
      <c r="M61" s="32">
        <v>37</v>
      </c>
      <c r="N61" s="31" t="s">
        <v>350</v>
      </c>
      <c r="O61" s="31">
        <v>0.15</v>
      </c>
      <c r="P61" s="31">
        <v>0.65</v>
      </c>
      <c r="Q61" s="31" t="s">
        <v>274</v>
      </c>
      <c r="R61" s="32">
        <v>28</v>
      </c>
      <c r="S61" s="32">
        <v>37</v>
      </c>
      <c r="T61" s="31" t="s">
        <v>352</v>
      </c>
      <c r="U61" s="31">
        <v>0.09</v>
      </c>
      <c r="V61" s="31">
        <v>0.56999999999999995</v>
      </c>
      <c r="W61" s="31" t="s">
        <v>274</v>
      </c>
    </row>
    <row r="62" spans="1:23" x14ac:dyDescent="0.25">
      <c r="A62" s="30" t="s">
        <v>71</v>
      </c>
      <c r="B62" s="30" t="s">
        <v>159</v>
      </c>
      <c r="C62" s="30" t="s">
        <v>115</v>
      </c>
      <c r="D62" s="31" t="s">
        <v>103</v>
      </c>
      <c r="E62" s="31">
        <v>405</v>
      </c>
      <c r="F62" s="31">
        <v>405</v>
      </c>
      <c r="G62" s="31" t="s">
        <v>39</v>
      </c>
      <c r="H62" s="31" t="s">
        <v>40</v>
      </c>
      <c r="I62" s="31">
        <v>25</v>
      </c>
      <c r="J62" s="32">
        <v>1267</v>
      </c>
      <c r="K62" s="31" t="s">
        <v>274</v>
      </c>
      <c r="L62" s="32">
        <v>44</v>
      </c>
      <c r="M62" s="32">
        <v>21</v>
      </c>
      <c r="N62" s="31" t="s">
        <v>350</v>
      </c>
      <c r="O62" s="31">
        <v>0.05</v>
      </c>
      <c r="P62" s="31">
        <v>0.68</v>
      </c>
      <c r="Q62" s="31" t="s">
        <v>274</v>
      </c>
      <c r="R62" s="32">
        <v>92</v>
      </c>
      <c r="S62" s="32">
        <v>34</v>
      </c>
      <c r="T62" s="31" t="s">
        <v>352</v>
      </c>
      <c r="U62" s="31">
        <v>0.1</v>
      </c>
      <c r="V62" s="31">
        <v>0.73</v>
      </c>
      <c r="W62" s="31" t="s">
        <v>274</v>
      </c>
    </row>
    <row r="63" spans="1:23" x14ac:dyDescent="0.25">
      <c r="A63" s="30" t="s">
        <v>71</v>
      </c>
      <c r="B63" s="30" t="s">
        <v>161</v>
      </c>
      <c r="C63" s="30" t="s">
        <v>162</v>
      </c>
      <c r="D63" s="31" t="s">
        <v>103</v>
      </c>
      <c r="E63" s="31">
        <v>973</v>
      </c>
      <c r="F63" s="31">
        <v>973</v>
      </c>
      <c r="G63" s="31" t="s">
        <v>39</v>
      </c>
      <c r="H63" s="31" t="s">
        <v>40</v>
      </c>
      <c r="I63" s="31">
        <v>30</v>
      </c>
      <c r="J63" s="32">
        <v>1313</v>
      </c>
      <c r="K63" s="31" t="s">
        <v>274</v>
      </c>
      <c r="L63" s="32">
        <v>52</v>
      </c>
      <c r="M63" s="32">
        <v>70</v>
      </c>
      <c r="N63" s="31" t="s">
        <v>350</v>
      </c>
      <c r="O63" s="31">
        <v>0.09</v>
      </c>
      <c r="P63" s="31">
        <v>0.56999999999999995</v>
      </c>
      <c r="Q63" s="31" t="s">
        <v>274</v>
      </c>
      <c r="R63" s="32">
        <v>44</v>
      </c>
      <c r="S63" s="32">
        <v>68</v>
      </c>
      <c r="T63" s="31" t="s">
        <v>352</v>
      </c>
      <c r="U63" s="31">
        <v>0.09</v>
      </c>
      <c r="V63" s="31">
        <v>0.61</v>
      </c>
      <c r="W63" s="31" t="s">
        <v>274</v>
      </c>
    </row>
    <row r="64" spans="1:23" x14ac:dyDescent="0.25">
      <c r="A64" s="30" t="s">
        <v>71</v>
      </c>
      <c r="B64" s="30" t="s">
        <v>163</v>
      </c>
      <c r="C64" s="30" t="s">
        <v>164</v>
      </c>
      <c r="D64" s="31" t="s">
        <v>103</v>
      </c>
      <c r="E64" s="31">
        <v>956</v>
      </c>
      <c r="F64" s="31">
        <v>956</v>
      </c>
      <c r="G64" s="31" t="s">
        <v>39</v>
      </c>
      <c r="H64" s="31" t="s">
        <v>40</v>
      </c>
      <c r="I64" s="31">
        <v>35</v>
      </c>
      <c r="J64" s="32">
        <v>3869</v>
      </c>
      <c r="K64" s="31" t="s">
        <v>274</v>
      </c>
      <c r="L64" s="32">
        <v>215</v>
      </c>
      <c r="M64" s="32">
        <v>269</v>
      </c>
      <c r="N64" s="31" t="s">
        <v>351</v>
      </c>
      <c r="O64" s="31">
        <v>0.13</v>
      </c>
      <c r="P64" s="31">
        <v>0.56000000000000005</v>
      </c>
      <c r="Q64" s="31" t="s">
        <v>274</v>
      </c>
      <c r="R64" s="32">
        <v>196</v>
      </c>
      <c r="S64" s="32">
        <v>164</v>
      </c>
      <c r="T64" s="31" t="s">
        <v>353</v>
      </c>
      <c r="U64" s="31">
        <v>0.09</v>
      </c>
      <c r="V64" s="31">
        <v>0.54</v>
      </c>
      <c r="W64" s="31" t="s">
        <v>274</v>
      </c>
    </row>
    <row r="65" spans="1:23" x14ac:dyDescent="0.25">
      <c r="A65" s="30" t="s">
        <v>71</v>
      </c>
      <c r="B65" s="30" t="s">
        <v>163</v>
      </c>
      <c r="C65" s="30" t="s">
        <v>165</v>
      </c>
      <c r="D65" s="31" t="s">
        <v>103</v>
      </c>
      <c r="E65" s="31">
        <v>958</v>
      </c>
      <c r="F65" s="31">
        <v>958</v>
      </c>
      <c r="G65" s="31" t="s">
        <v>39</v>
      </c>
      <c r="H65" s="31" t="s">
        <v>40</v>
      </c>
      <c r="I65" s="31">
        <v>35</v>
      </c>
      <c r="J65" s="32">
        <v>2684</v>
      </c>
      <c r="K65" s="31" t="s">
        <v>274</v>
      </c>
      <c r="L65" s="32">
        <v>166</v>
      </c>
      <c r="M65" s="32">
        <v>214</v>
      </c>
      <c r="N65" s="31" t="s">
        <v>351</v>
      </c>
      <c r="O65" s="31">
        <v>0.14000000000000001</v>
      </c>
      <c r="P65" s="31">
        <v>0.56000000000000005</v>
      </c>
      <c r="Q65" s="31" t="s">
        <v>274</v>
      </c>
      <c r="R65" s="32">
        <v>116</v>
      </c>
      <c r="S65" s="32">
        <v>116</v>
      </c>
      <c r="T65" s="31" t="s">
        <v>352</v>
      </c>
      <c r="U65" s="31">
        <v>0.09</v>
      </c>
      <c r="V65" s="31">
        <v>0.5</v>
      </c>
      <c r="W65" s="31" t="s">
        <v>274</v>
      </c>
    </row>
    <row r="66" spans="1:23" x14ac:dyDescent="0.25">
      <c r="A66" s="30" t="s">
        <v>71</v>
      </c>
      <c r="B66" s="30" t="s">
        <v>163</v>
      </c>
      <c r="C66" s="30" t="s">
        <v>166</v>
      </c>
      <c r="D66" s="31" t="s">
        <v>103</v>
      </c>
      <c r="E66" s="31">
        <v>960</v>
      </c>
      <c r="F66" s="31">
        <v>960</v>
      </c>
      <c r="G66" s="31" t="s">
        <v>39</v>
      </c>
      <c r="H66" s="31" t="s">
        <v>40</v>
      </c>
      <c r="I66" s="31">
        <v>35</v>
      </c>
      <c r="J66" s="32">
        <v>2910</v>
      </c>
      <c r="K66" s="31" t="s">
        <v>274</v>
      </c>
      <c r="L66" s="32">
        <v>161</v>
      </c>
      <c r="M66" s="32">
        <v>231</v>
      </c>
      <c r="N66" s="31" t="s">
        <v>351</v>
      </c>
      <c r="O66" s="31">
        <v>0.13</v>
      </c>
      <c r="P66" s="31">
        <v>0.59</v>
      </c>
      <c r="Q66" s="31" t="s">
        <v>274</v>
      </c>
      <c r="R66" s="32">
        <v>110</v>
      </c>
      <c r="S66" s="32">
        <v>142</v>
      </c>
      <c r="T66" s="31" t="s">
        <v>353</v>
      </c>
      <c r="U66" s="31">
        <v>0.09</v>
      </c>
      <c r="V66" s="31">
        <v>0.56000000000000005</v>
      </c>
      <c r="W66" s="31" t="s">
        <v>274</v>
      </c>
    </row>
    <row r="67" spans="1:23" x14ac:dyDescent="0.25">
      <c r="A67" s="30" t="s">
        <v>71</v>
      </c>
      <c r="B67" s="30" t="s">
        <v>76</v>
      </c>
      <c r="C67" s="30" t="s">
        <v>78</v>
      </c>
      <c r="D67" s="31" t="s">
        <v>20</v>
      </c>
      <c r="E67" s="31">
        <v>7090</v>
      </c>
      <c r="F67" s="31" t="s">
        <v>309</v>
      </c>
      <c r="G67" s="31" t="s">
        <v>39</v>
      </c>
      <c r="H67" s="31" t="s">
        <v>40</v>
      </c>
      <c r="I67" s="31">
        <v>45</v>
      </c>
      <c r="J67" s="32">
        <v>10394</v>
      </c>
      <c r="K67" s="31" t="s">
        <v>274</v>
      </c>
      <c r="L67" s="32">
        <v>398</v>
      </c>
      <c r="M67" s="32">
        <v>416</v>
      </c>
      <c r="N67" s="35">
        <v>0.29166666666666669</v>
      </c>
      <c r="O67" s="31">
        <v>0.08</v>
      </c>
      <c r="P67" s="31">
        <v>0.51</v>
      </c>
      <c r="Q67" s="31" t="s">
        <v>274</v>
      </c>
      <c r="R67" s="32">
        <v>452</v>
      </c>
      <c r="S67" s="32">
        <v>439</v>
      </c>
      <c r="T67" s="35">
        <v>0.6875</v>
      </c>
      <c r="U67" s="31">
        <v>0.09</v>
      </c>
      <c r="V67" s="31">
        <v>0.51</v>
      </c>
      <c r="W67" s="31" t="s">
        <v>274</v>
      </c>
    </row>
    <row r="68" spans="1:23" x14ac:dyDescent="0.25">
      <c r="A68" s="30" t="s">
        <v>71</v>
      </c>
      <c r="B68" s="30" t="s">
        <v>76</v>
      </c>
      <c r="C68" s="30" t="s">
        <v>77</v>
      </c>
      <c r="D68" s="31" t="s">
        <v>20</v>
      </c>
      <c r="E68" s="31">
        <v>930</v>
      </c>
      <c r="F68" s="31" t="s">
        <v>310</v>
      </c>
      <c r="G68" s="31" t="s">
        <v>39</v>
      </c>
      <c r="H68" s="31" t="s">
        <v>40</v>
      </c>
      <c r="I68" s="31">
        <v>45</v>
      </c>
      <c r="J68" s="32">
        <v>4936</v>
      </c>
      <c r="K68" s="31" t="s">
        <v>274</v>
      </c>
      <c r="L68" s="32">
        <v>233</v>
      </c>
      <c r="M68" s="32">
        <v>191</v>
      </c>
      <c r="N68" s="35">
        <v>0.29166666666666669</v>
      </c>
      <c r="O68" s="31">
        <v>0.09</v>
      </c>
      <c r="P68" s="31">
        <v>0.55000000000000004</v>
      </c>
      <c r="Q68" s="31" t="s">
        <v>274</v>
      </c>
      <c r="R68" s="32">
        <v>252</v>
      </c>
      <c r="S68" s="32">
        <v>178</v>
      </c>
      <c r="T68" s="35">
        <v>0.69791666666666663</v>
      </c>
      <c r="U68" s="31">
        <v>0.09</v>
      </c>
      <c r="V68" s="31">
        <v>0.59</v>
      </c>
      <c r="W68" s="31" t="s">
        <v>274</v>
      </c>
    </row>
    <row r="69" spans="1:23" x14ac:dyDescent="0.25">
      <c r="A69" s="30" t="s">
        <v>71</v>
      </c>
      <c r="B69" s="30" t="s">
        <v>76</v>
      </c>
      <c r="C69" s="30" t="s">
        <v>167</v>
      </c>
      <c r="D69" s="31" t="s">
        <v>103</v>
      </c>
      <c r="E69" s="31">
        <v>568</v>
      </c>
      <c r="F69" s="31">
        <v>568</v>
      </c>
      <c r="G69" s="31" t="s">
        <v>39</v>
      </c>
      <c r="H69" s="31" t="s">
        <v>40</v>
      </c>
      <c r="I69" s="31">
        <v>45</v>
      </c>
      <c r="J69" s="32">
        <v>6057</v>
      </c>
      <c r="K69" s="31" t="s">
        <v>274</v>
      </c>
      <c r="L69" s="32">
        <v>223</v>
      </c>
      <c r="M69" s="32">
        <v>221</v>
      </c>
      <c r="N69" s="31" t="s">
        <v>350</v>
      </c>
      <c r="O69" s="31">
        <v>7.0000000000000007E-2</v>
      </c>
      <c r="P69" s="31">
        <v>0.5</v>
      </c>
      <c r="Q69" s="31" t="s">
        <v>274</v>
      </c>
      <c r="R69" s="32">
        <v>302</v>
      </c>
      <c r="S69" s="32">
        <v>223</v>
      </c>
      <c r="T69" s="31" t="s">
        <v>353</v>
      </c>
      <c r="U69" s="31">
        <v>0.09</v>
      </c>
      <c r="V69" s="31">
        <v>0.57999999999999996</v>
      </c>
      <c r="W69" s="31" t="s">
        <v>274</v>
      </c>
    </row>
    <row r="70" spans="1:23" x14ac:dyDescent="0.25">
      <c r="A70" s="30" t="s">
        <v>71</v>
      </c>
      <c r="B70" s="30" t="s">
        <v>79</v>
      </c>
      <c r="C70" s="30" t="s">
        <v>81</v>
      </c>
      <c r="D70" s="31" t="s">
        <v>20</v>
      </c>
      <c r="E70" s="31">
        <v>12.1</v>
      </c>
      <c r="F70" s="31" t="s">
        <v>311</v>
      </c>
      <c r="G70" s="31" t="s">
        <v>39</v>
      </c>
      <c r="H70" s="31" t="s">
        <v>40</v>
      </c>
      <c r="I70" s="31">
        <v>40</v>
      </c>
      <c r="J70" s="32">
        <v>12225</v>
      </c>
      <c r="K70" s="31" t="s">
        <v>274</v>
      </c>
      <c r="L70" s="32">
        <v>603</v>
      </c>
      <c r="M70" s="32">
        <v>392</v>
      </c>
      <c r="N70" s="35">
        <v>0.28125</v>
      </c>
      <c r="O70" s="31">
        <v>0.08</v>
      </c>
      <c r="P70" s="31">
        <v>0.61</v>
      </c>
      <c r="Q70" s="31" t="s">
        <v>274</v>
      </c>
      <c r="R70" s="32">
        <v>512</v>
      </c>
      <c r="S70" s="32">
        <v>641</v>
      </c>
      <c r="T70" s="35">
        <v>0.6875</v>
      </c>
      <c r="U70" s="31">
        <v>0.09</v>
      </c>
      <c r="V70" s="31">
        <v>0.56000000000000005</v>
      </c>
      <c r="W70" s="31" t="s">
        <v>274</v>
      </c>
    </row>
    <row r="71" spans="1:23" x14ac:dyDescent="0.25">
      <c r="A71" s="30" t="s">
        <v>71</v>
      </c>
      <c r="B71" s="30" t="s">
        <v>79</v>
      </c>
      <c r="C71" s="30" t="s">
        <v>80</v>
      </c>
      <c r="D71" s="31" t="s">
        <v>20</v>
      </c>
      <c r="E71" s="31">
        <v>10.1</v>
      </c>
      <c r="F71" s="31" t="s">
        <v>312</v>
      </c>
      <c r="G71" s="31" t="s">
        <v>39</v>
      </c>
      <c r="H71" s="31" t="s">
        <v>40</v>
      </c>
      <c r="I71" s="31">
        <v>55</v>
      </c>
      <c r="J71" s="32">
        <v>11657</v>
      </c>
      <c r="K71" s="31" t="s">
        <v>273</v>
      </c>
      <c r="L71" s="32">
        <v>355</v>
      </c>
      <c r="M71" s="32">
        <v>793</v>
      </c>
      <c r="N71" s="35">
        <v>0.27083333333333331</v>
      </c>
      <c r="O71" s="31">
        <v>0.1</v>
      </c>
      <c r="P71" s="31">
        <v>0.69</v>
      </c>
      <c r="Q71" s="31" t="s">
        <v>274</v>
      </c>
      <c r="R71" s="32">
        <v>656</v>
      </c>
      <c r="S71" s="32">
        <v>419</v>
      </c>
      <c r="T71" s="35">
        <v>0.6875</v>
      </c>
      <c r="U71" s="31">
        <v>0.09</v>
      </c>
      <c r="V71" s="31">
        <v>0.61</v>
      </c>
      <c r="W71" s="31" t="s">
        <v>274</v>
      </c>
    </row>
    <row r="72" spans="1:23" x14ac:dyDescent="0.25">
      <c r="A72" s="30" t="s">
        <v>71</v>
      </c>
      <c r="B72" s="30" t="s">
        <v>79</v>
      </c>
      <c r="C72" s="30" t="s">
        <v>168</v>
      </c>
      <c r="D72" s="31" t="s">
        <v>103</v>
      </c>
      <c r="E72" s="31">
        <v>12</v>
      </c>
      <c r="F72" s="31">
        <v>12</v>
      </c>
      <c r="G72" s="31" t="s">
        <v>39</v>
      </c>
      <c r="H72" s="31" t="s">
        <v>40</v>
      </c>
      <c r="I72" s="31">
        <v>40</v>
      </c>
      <c r="J72" s="32">
        <v>5749</v>
      </c>
      <c r="K72" s="31" t="s">
        <v>273</v>
      </c>
      <c r="L72" s="32">
        <v>240</v>
      </c>
      <c r="M72" s="32">
        <v>241</v>
      </c>
      <c r="N72" s="31" t="s">
        <v>350</v>
      </c>
      <c r="O72" s="31">
        <v>0.08</v>
      </c>
      <c r="P72" s="31">
        <v>0.5</v>
      </c>
      <c r="Q72" s="31" t="s">
        <v>273</v>
      </c>
      <c r="R72" s="32">
        <v>310</v>
      </c>
      <c r="S72" s="32">
        <v>285</v>
      </c>
      <c r="T72" s="31" t="s">
        <v>353</v>
      </c>
      <c r="U72" s="31">
        <v>0.1</v>
      </c>
      <c r="V72" s="31">
        <v>0.52</v>
      </c>
      <c r="W72" s="31" t="s">
        <v>273</v>
      </c>
    </row>
    <row r="73" spans="1:23" x14ac:dyDescent="0.25">
      <c r="A73" s="30" t="s">
        <v>71</v>
      </c>
      <c r="B73" s="30" t="s">
        <v>79</v>
      </c>
      <c r="C73" s="30" t="s">
        <v>169</v>
      </c>
      <c r="D73" s="31" t="s">
        <v>103</v>
      </c>
      <c r="E73" s="31">
        <v>9.1</v>
      </c>
      <c r="F73" s="31">
        <v>9.1</v>
      </c>
      <c r="G73" s="31" t="s">
        <v>39</v>
      </c>
      <c r="H73" s="31" t="s">
        <v>40</v>
      </c>
      <c r="I73" s="31">
        <v>55</v>
      </c>
      <c r="J73" s="32">
        <v>10679</v>
      </c>
      <c r="K73" s="31" t="s">
        <v>273</v>
      </c>
      <c r="L73" s="32">
        <v>351</v>
      </c>
      <c r="M73" s="32">
        <v>417</v>
      </c>
      <c r="N73" s="31" t="s">
        <v>350</v>
      </c>
      <c r="O73" s="31">
        <v>7.0000000000000007E-2</v>
      </c>
      <c r="P73" s="31">
        <v>0.54</v>
      </c>
      <c r="Q73" s="31" t="s">
        <v>273</v>
      </c>
      <c r="R73" s="32">
        <v>523</v>
      </c>
      <c r="S73" s="32">
        <v>580</v>
      </c>
      <c r="T73" s="31" t="s">
        <v>353</v>
      </c>
      <c r="U73" s="31">
        <v>0.1</v>
      </c>
      <c r="V73" s="31">
        <v>0.53</v>
      </c>
      <c r="W73" s="31" t="s">
        <v>273</v>
      </c>
    </row>
    <row r="74" spans="1:23" ht="15" customHeight="1" x14ac:dyDescent="0.25">
      <c r="A74" s="30" t="s">
        <v>71</v>
      </c>
      <c r="B74" s="30" t="s">
        <v>79</v>
      </c>
      <c r="C74" s="30" t="s">
        <v>117</v>
      </c>
      <c r="D74" s="31" t="s">
        <v>103</v>
      </c>
      <c r="E74" s="31">
        <v>9</v>
      </c>
      <c r="F74" s="31">
        <v>9</v>
      </c>
      <c r="G74" s="31" t="s">
        <v>39</v>
      </c>
      <c r="H74" s="31" t="s">
        <v>40</v>
      </c>
      <c r="I74" s="31">
        <v>55</v>
      </c>
      <c r="J74" s="32">
        <v>7405</v>
      </c>
      <c r="K74" s="31" t="s">
        <v>273</v>
      </c>
      <c r="L74" s="32">
        <v>223</v>
      </c>
      <c r="M74" s="32">
        <v>414</v>
      </c>
      <c r="N74" s="31" t="s">
        <v>350</v>
      </c>
      <c r="O74" s="31">
        <v>0.09</v>
      </c>
      <c r="P74" s="31">
        <v>0.65</v>
      </c>
      <c r="Q74" s="31" t="s">
        <v>273</v>
      </c>
      <c r="R74" s="32">
        <v>420</v>
      </c>
      <c r="S74" s="32">
        <v>271</v>
      </c>
      <c r="T74" s="31" t="s">
        <v>352</v>
      </c>
      <c r="U74" s="31">
        <v>0.09</v>
      </c>
      <c r="V74" s="31">
        <v>0.61</v>
      </c>
      <c r="W74" s="31" t="s">
        <v>273</v>
      </c>
    </row>
    <row r="75" spans="1:23" x14ac:dyDescent="0.25">
      <c r="A75" s="30" t="s">
        <v>71</v>
      </c>
      <c r="B75" s="30" t="s">
        <v>170</v>
      </c>
      <c r="C75" s="30" t="s">
        <v>172</v>
      </c>
      <c r="D75" s="31" t="s">
        <v>103</v>
      </c>
      <c r="E75" s="31">
        <v>10.1</v>
      </c>
      <c r="F75" s="31">
        <v>10.1</v>
      </c>
      <c r="G75" s="31" t="s">
        <v>39</v>
      </c>
      <c r="H75" s="31" t="s">
        <v>40</v>
      </c>
      <c r="I75" s="31">
        <v>55</v>
      </c>
      <c r="J75" s="32">
        <v>7123</v>
      </c>
      <c r="K75" s="31" t="s">
        <v>273</v>
      </c>
      <c r="L75" s="32">
        <v>313</v>
      </c>
      <c r="M75" s="32">
        <v>263</v>
      </c>
      <c r="N75" s="31" t="s">
        <v>350</v>
      </c>
      <c r="O75" s="31">
        <v>0.08</v>
      </c>
      <c r="P75" s="31">
        <v>0.54</v>
      </c>
      <c r="Q75" s="31" t="s">
        <v>273</v>
      </c>
      <c r="R75" s="32">
        <v>291</v>
      </c>
      <c r="S75" s="32">
        <v>352</v>
      </c>
      <c r="T75" s="31" t="s">
        <v>353</v>
      </c>
      <c r="U75" s="31">
        <v>0.09</v>
      </c>
      <c r="V75" s="31">
        <v>0.55000000000000004</v>
      </c>
      <c r="W75" s="31" t="s">
        <v>273</v>
      </c>
    </row>
    <row r="76" spans="1:23" x14ac:dyDescent="0.25">
      <c r="A76" s="30" t="s">
        <v>71</v>
      </c>
      <c r="B76" s="30" t="s">
        <v>170</v>
      </c>
      <c r="C76" s="30" t="s">
        <v>171</v>
      </c>
      <c r="D76" s="31" t="s">
        <v>103</v>
      </c>
      <c r="E76" s="31">
        <v>9002</v>
      </c>
      <c r="F76" s="31">
        <v>9002</v>
      </c>
      <c r="G76" s="31" t="s">
        <v>39</v>
      </c>
      <c r="H76" s="31" t="s">
        <v>40</v>
      </c>
      <c r="I76" s="31">
        <v>55</v>
      </c>
      <c r="J76" s="32">
        <v>12779</v>
      </c>
      <c r="K76" s="31" t="s">
        <v>274</v>
      </c>
      <c r="L76" s="32">
        <v>357</v>
      </c>
      <c r="M76" s="32">
        <v>734</v>
      </c>
      <c r="N76" s="31" t="s">
        <v>350</v>
      </c>
      <c r="O76" s="31">
        <v>0.09</v>
      </c>
      <c r="P76" s="31">
        <v>0.67</v>
      </c>
      <c r="Q76" s="31" t="s">
        <v>274</v>
      </c>
      <c r="R76" s="32">
        <v>719</v>
      </c>
      <c r="S76" s="32">
        <v>409</v>
      </c>
      <c r="T76" s="31" t="s">
        <v>352</v>
      </c>
      <c r="U76" s="31">
        <v>0.09</v>
      </c>
      <c r="V76" s="31">
        <v>0.64</v>
      </c>
      <c r="W76" s="31" t="s">
        <v>274</v>
      </c>
    </row>
    <row r="77" spans="1:23" x14ac:dyDescent="0.25">
      <c r="A77" s="30" t="s">
        <v>71</v>
      </c>
      <c r="B77" s="30" t="s">
        <v>173</v>
      </c>
      <c r="C77" s="30" t="s">
        <v>174</v>
      </c>
      <c r="D77" s="31" t="s">
        <v>103</v>
      </c>
      <c r="E77" s="31">
        <v>585</v>
      </c>
      <c r="F77" s="31">
        <v>585</v>
      </c>
      <c r="G77" s="31" t="s">
        <v>39</v>
      </c>
      <c r="H77" s="31" t="s">
        <v>40</v>
      </c>
      <c r="I77" s="31">
        <v>35</v>
      </c>
      <c r="J77" s="32">
        <v>1570</v>
      </c>
      <c r="K77" s="31" t="s">
        <v>274</v>
      </c>
      <c r="L77" s="32">
        <v>58</v>
      </c>
      <c r="M77" s="32">
        <v>53</v>
      </c>
      <c r="N77" s="31" t="s">
        <v>351</v>
      </c>
      <c r="O77" s="31">
        <v>7.0000000000000007E-2</v>
      </c>
      <c r="P77" s="31">
        <v>0.52</v>
      </c>
      <c r="Q77" s="31" t="s">
        <v>274</v>
      </c>
      <c r="R77" s="32">
        <v>58</v>
      </c>
      <c r="S77" s="32">
        <v>46</v>
      </c>
      <c r="T77" s="31" t="s">
        <v>352</v>
      </c>
      <c r="U77" s="31">
        <v>7.0000000000000007E-2</v>
      </c>
      <c r="V77" s="31">
        <v>0.56000000000000005</v>
      </c>
      <c r="W77" s="31" t="s">
        <v>274</v>
      </c>
    </row>
    <row r="78" spans="1:23" x14ac:dyDescent="0.25">
      <c r="A78" s="30" t="s">
        <v>71</v>
      </c>
      <c r="B78" s="30" t="s">
        <v>175</v>
      </c>
      <c r="C78" s="30" t="s">
        <v>176</v>
      </c>
      <c r="D78" s="31" t="s">
        <v>103</v>
      </c>
      <c r="E78" s="31">
        <v>402</v>
      </c>
      <c r="F78" s="31">
        <v>402</v>
      </c>
      <c r="G78" s="31" t="s">
        <v>39</v>
      </c>
      <c r="H78" s="31" t="s">
        <v>17</v>
      </c>
      <c r="I78" s="31">
        <v>25</v>
      </c>
      <c r="J78" s="32">
        <v>2252</v>
      </c>
      <c r="K78" s="31" t="s">
        <v>274</v>
      </c>
      <c r="L78" s="32">
        <v>132</v>
      </c>
      <c r="M78" s="32">
        <v>56</v>
      </c>
      <c r="N78" s="31" t="s">
        <v>351</v>
      </c>
      <c r="O78" s="31">
        <v>0.08</v>
      </c>
      <c r="P78" s="31">
        <v>0.7</v>
      </c>
      <c r="Q78" s="31" t="s">
        <v>274</v>
      </c>
      <c r="R78" s="32">
        <v>131</v>
      </c>
      <c r="S78" s="32">
        <v>85</v>
      </c>
      <c r="T78" s="31" t="s">
        <v>352</v>
      </c>
      <c r="U78" s="31">
        <v>0.1</v>
      </c>
      <c r="V78" s="31">
        <v>0.61</v>
      </c>
      <c r="W78" s="31" t="s">
        <v>274</v>
      </c>
    </row>
    <row r="79" spans="1:23" x14ac:dyDescent="0.25">
      <c r="A79" s="30" t="s">
        <v>71</v>
      </c>
      <c r="B79" s="30" t="s">
        <v>175</v>
      </c>
      <c r="C79" s="30" t="s">
        <v>177</v>
      </c>
      <c r="D79" s="31" t="s">
        <v>103</v>
      </c>
      <c r="E79" s="31">
        <v>513</v>
      </c>
      <c r="F79" s="31">
        <v>513</v>
      </c>
      <c r="G79" s="31" t="s">
        <v>39</v>
      </c>
      <c r="H79" s="31" t="s">
        <v>17</v>
      </c>
      <c r="I79" s="31">
        <v>25</v>
      </c>
      <c r="J79" s="32">
        <v>2185</v>
      </c>
      <c r="K79" s="31" t="s">
        <v>274</v>
      </c>
      <c r="L79" s="32">
        <v>64</v>
      </c>
      <c r="M79" s="32">
        <v>142</v>
      </c>
      <c r="N79" s="31" t="s">
        <v>350</v>
      </c>
      <c r="O79" s="31">
        <v>0.09</v>
      </c>
      <c r="P79" s="31">
        <v>0.69</v>
      </c>
      <c r="Q79" s="31" t="s">
        <v>274</v>
      </c>
      <c r="R79" s="32">
        <v>150</v>
      </c>
      <c r="S79" s="32">
        <v>64</v>
      </c>
      <c r="T79" s="31" t="s">
        <v>353</v>
      </c>
      <c r="U79" s="31">
        <v>0.1</v>
      </c>
      <c r="V79" s="31">
        <v>0.7</v>
      </c>
      <c r="W79" s="31" t="s">
        <v>274</v>
      </c>
    </row>
    <row r="80" spans="1:23" x14ac:dyDescent="0.25">
      <c r="A80" s="30" t="s">
        <v>71</v>
      </c>
      <c r="B80" s="30" t="s">
        <v>175</v>
      </c>
      <c r="C80" s="30" t="s">
        <v>133</v>
      </c>
      <c r="D80" s="31" t="s">
        <v>103</v>
      </c>
      <c r="E80" s="31">
        <v>515</v>
      </c>
      <c r="F80" s="31">
        <v>515</v>
      </c>
      <c r="G80" s="31" t="s">
        <v>39</v>
      </c>
      <c r="H80" s="31" t="s">
        <v>17</v>
      </c>
      <c r="I80" s="31">
        <v>25</v>
      </c>
      <c r="J80" s="32">
        <v>1137</v>
      </c>
      <c r="K80" s="31" t="s">
        <v>274</v>
      </c>
      <c r="L80" s="32">
        <v>56</v>
      </c>
      <c r="M80" s="32">
        <v>32</v>
      </c>
      <c r="N80" s="31" t="s">
        <v>351</v>
      </c>
      <c r="O80" s="31">
        <v>0.08</v>
      </c>
      <c r="P80" s="31">
        <v>0.64</v>
      </c>
      <c r="Q80" s="31" t="s">
        <v>274</v>
      </c>
      <c r="R80" s="32">
        <v>48</v>
      </c>
      <c r="S80" s="32">
        <v>78</v>
      </c>
      <c r="T80" s="31" t="s">
        <v>353</v>
      </c>
      <c r="U80" s="31">
        <v>0.11</v>
      </c>
      <c r="V80" s="31">
        <v>0.62</v>
      </c>
      <c r="W80" s="31" t="s">
        <v>274</v>
      </c>
    </row>
    <row r="81" spans="1:23" x14ac:dyDescent="0.25">
      <c r="A81" s="30" t="s">
        <v>71</v>
      </c>
      <c r="B81" s="30" t="s">
        <v>178</v>
      </c>
      <c r="C81" s="30" t="s">
        <v>179</v>
      </c>
      <c r="D81" s="31" t="s">
        <v>103</v>
      </c>
      <c r="E81" s="31">
        <v>811</v>
      </c>
      <c r="F81" s="31">
        <v>811</v>
      </c>
      <c r="G81" s="31" t="s">
        <v>39</v>
      </c>
      <c r="H81" s="31" t="s">
        <v>40</v>
      </c>
      <c r="I81" s="31">
        <v>25</v>
      </c>
      <c r="J81" s="32">
        <v>692</v>
      </c>
      <c r="K81" s="31" t="s">
        <v>274</v>
      </c>
      <c r="L81" s="32">
        <v>27</v>
      </c>
      <c r="M81" s="32">
        <v>19</v>
      </c>
      <c r="N81" s="31" t="s">
        <v>350</v>
      </c>
      <c r="O81" s="31">
        <v>7.0000000000000007E-2</v>
      </c>
      <c r="P81" s="31">
        <v>0.59</v>
      </c>
      <c r="Q81" s="31" t="s">
        <v>274</v>
      </c>
      <c r="R81" s="32">
        <v>53</v>
      </c>
      <c r="S81" s="32">
        <v>12</v>
      </c>
      <c r="T81" s="31" t="s">
        <v>352</v>
      </c>
      <c r="U81" s="31">
        <v>0.09</v>
      </c>
      <c r="V81" s="31">
        <v>0.82</v>
      </c>
      <c r="W81" s="31" t="s">
        <v>274</v>
      </c>
    </row>
    <row r="82" spans="1:23" x14ac:dyDescent="0.25">
      <c r="A82" s="30" t="s">
        <v>71</v>
      </c>
      <c r="B82" s="30" t="s">
        <v>180</v>
      </c>
      <c r="C82" s="30" t="s">
        <v>181</v>
      </c>
      <c r="D82" s="31" t="s">
        <v>103</v>
      </c>
      <c r="E82" s="31">
        <v>1015</v>
      </c>
      <c r="F82" s="31">
        <v>1015</v>
      </c>
      <c r="G82" s="31" t="s">
        <v>39</v>
      </c>
      <c r="H82" s="31" t="s">
        <v>40</v>
      </c>
      <c r="I82" s="31">
        <v>25</v>
      </c>
      <c r="J82" s="32">
        <v>3559</v>
      </c>
      <c r="K82" s="31" t="s">
        <v>274</v>
      </c>
      <c r="L82" s="32">
        <v>102</v>
      </c>
      <c r="M82" s="32">
        <v>169</v>
      </c>
      <c r="N82" s="31" t="s">
        <v>351</v>
      </c>
      <c r="O82" s="31">
        <v>0.08</v>
      </c>
      <c r="P82" s="31">
        <v>0.62</v>
      </c>
      <c r="Q82" s="31" t="s">
        <v>274</v>
      </c>
      <c r="R82" s="32">
        <v>190</v>
      </c>
      <c r="S82" s="32">
        <v>99</v>
      </c>
      <c r="T82" s="31" t="s">
        <v>353</v>
      </c>
      <c r="U82" s="31">
        <v>0.08</v>
      </c>
      <c r="V82" s="31">
        <v>0.66</v>
      </c>
      <c r="W82" s="31" t="s">
        <v>274</v>
      </c>
    </row>
    <row r="83" spans="1:23" x14ac:dyDescent="0.25">
      <c r="A83" s="30" t="s">
        <v>71</v>
      </c>
      <c r="B83" s="30" t="s">
        <v>182</v>
      </c>
      <c r="C83" s="30" t="s">
        <v>183</v>
      </c>
      <c r="D83" s="31" t="s">
        <v>103</v>
      </c>
      <c r="E83" s="31">
        <v>504</v>
      </c>
      <c r="F83" s="31">
        <v>504</v>
      </c>
      <c r="G83" s="31" t="s">
        <v>39</v>
      </c>
      <c r="H83" s="31" t="s">
        <v>17</v>
      </c>
      <c r="I83" s="31">
        <v>25</v>
      </c>
      <c r="J83" s="32">
        <v>3159</v>
      </c>
      <c r="K83" s="31" t="s">
        <v>274</v>
      </c>
      <c r="L83" s="32">
        <v>132</v>
      </c>
      <c r="M83" s="32">
        <v>81</v>
      </c>
      <c r="N83" s="31" t="s">
        <v>351</v>
      </c>
      <c r="O83" s="31">
        <v>7.0000000000000007E-2</v>
      </c>
      <c r="P83" s="31">
        <v>0.62</v>
      </c>
      <c r="Q83" s="31" t="s">
        <v>274</v>
      </c>
      <c r="R83" s="32">
        <v>126</v>
      </c>
      <c r="S83" s="32">
        <v>167</v>
      </c>
      <c r="T83" s="31" t="s">
        <v>353</v>
      </c>
      <c r="U83" s="31">
        <v>0.09</v>
      </c>
      <c r="V83" s="31">
        <v>0.56999999999999995</v>
      </c>
      <c r="W83" s="31" t="s">
        <v>274</v>
      </c>
    </row>
    <row r="84" spans="1:23" x14ac:dyDescent="0.25">
      <c r="A84" s="30" t="s">
        <v>71</v>
      </c>
      <c r="B84" s="30" t="s">
        <v>182</v>
      </c>
      <c r="C84" s="30" t="s">
        <v>184</v>
      </c>
      <c r="D84" s="31" t="s">
        <v>103</v>
      </c>
      <c r="E84" s="31">
        <v>505</v>
      </c>
      <c r="F84" s="31">
        <v>505</v>
      </c>
      <c r="G84" s="31" t="s">
        <v>39</v>
      </c>
      <c r="H84" s="31" t="s">
        <v>17</v>
      </c>
      <c r="I84" s="31">
        <v>25</v>
      </c>
      <c r="J84" s="32">
        <v>1173</v>
      </c>
      <c r="K84" s="31" t="s">
        <v>274</v>
      </c>
      <c r="L84" s="32">
        <v>38</v>
      </c>
      <c r="M84" s="32">
        <v>47</v>
      </c>
      <c r="N84" s="31" t="s">
        <v>351</v>
      </c>
      <c r="O84" s="31">
        <v>7.0000000000000007E-2</v>
      </c>
      <c r="P84" s="31">
        <v>0.55000000000000004</v>
      </c>
      <c r="Q84" s="31" t="s">
        <v>274</v>
      </c>
      <c r="R84" s="32">
        <v>53</v>
      </c>
      <c r="S84" s="32">
        <v>54</v>
      </c>
      <c r="T84" s="31" t="s">
        <v>353</v>
      </c>
      <c r="U84" s="31">
        <v>0.09</v>
      </c>
      <c r="V84" s="31">
        <v>0.5</v>
      </c>
      <c r="W84" s="31" t="s">
        <v>274</v>
      </c>
    </row>
    <row r="85" spans="1:23" x14ac:dyDescent="0.25">
      <c r="A85" s="30" t="s">
        <v>71</v>
      </c>
      <c r="B85" s="30" t="s">
        <v>82</v>
      </c>
      <c r="C85" s="30" t="s">
        <v>84</v>
      </c>
      <c r="D85" s="31" t="s">
        <v>20</v>
      </c>
      <c r="E85" s="31">
        <v>67</v>
      </c>
      <c r="F85" s="31" t="s">
        <v>313</v>
      </c>
      <c r="G85" s="31" t="s">
        <v>39</v>
      </c>
      <c r="H85" s="31" t="s">
        <v>40</v>
      </c>
      <c r="I85" s="31">
        <v>50</v>
      </c>
      <c r="J85" s="32">
        <v>5718</v>
      </c>
      <c r="K85" s="31" t="s">
        <v>274</v>
      </c>
      <c r="L85" s="32">
        <v>329</v>
      </c>
      <c r="M85" s="32">
        <v>314</v>
      </c>
      <c r="N85" s="35">
        <v>0.3125</v>
      </c>
      <c r="O85" s="31">
        <v>0.11</v>
      </c>
      <c r="P85" s="31">
        <v>0.51</v>
      </c>
      <c r="Q85" s="31" t="s">
        <v>274</v>
      </c>
      <c r="R85" s="32">
        <v>222</v>
      </c>
      <c r="S85" s="32">
        <v>278</v>
      </c>
      <c r="T85" s="35">
        <v>0.60416666666666663</v>
      </c>
      <c r="U85" s="31">
        <v>0.09</v>
      </c>
      <c r="V85" s="31">
        <v>0.56000000000000005</v>
      </c>
      <c r="W85" s="31" t="s">
        <v>274</v>
      </c>
    </row>
    <row r="86" spans="1:23" x14ac:dyDescent="0.25">
      <c r="A86" s="30" t="s">
        <v>36</v>
      </c>
      <c r="B86" s="30" t="s">
        <v>82</v>
      </c>
      <c r="C86" s="30" t="s">
        <v>185</v>
      </c>
      <c r="D86" s="31" t="s">
        <v>103</v>
      </c>
      <c r="E86" s="31">
        <v>657</v>
      </c>
      <c r="F86" s="31">
        <v>657</v>
      </c>
      <c r="G86" s="31" t="s">
        <v>39</v>
      </c>
      <c r="H86" s="31" t="s">
        <v>40</v>
      </c>
      <c r="I86" s="31">
        <v>50</v>
      </c>
      <c r="J86" s="32">
        <v>3693</v>
      </c>
      <c r="K86" s="31" t="s">
        <v>274</v>
      </c>
      <c r="L86" s="32">
        <v>137</v>
      </c>
      <c r="M86" s="32">
        <v>90</v>
      </c>
      <c r="N86" s="35">
        <v>0.3125</v>
      </c>
      <c r="O86" s="31">
        <v>0.06</v>
      </c>
      <c r="P86" s="31">
        <v>0.6</v>
      </c>
      <c r="Q86" s="31" t="s">
        <v>274</v>
      </c>
      <c r="R86" s="32">
        <v>133</v>
      </c>
      <c r="S86" s="32">
        <v>169</v>
      </c>
      <c r="T86" s="35">
        <v>0.70833333333333337</v>
      </c>
      <c r="U86" s="31">
        <v>0.08</v>
      </c>
      <c r="V86" s="31">
        <v>0.56000000000000005</v>
      </c>
      <c r="W86" s="31" t="s">
        <v>274</v>
      </c>
    </row>
    <row r="87" spans="1:23" x14ac:dyDescent="0.25">
      <c r="A87" s="30" t="s">
        <v>71</v>
      </c>
      <c r="B87" s="30" t="s">
        <v>82</v>
      </c>
      <c r="C87" s="30" t="s">
        <v>83</v>
      </c>
      <c r="D87" s="31" t="s">
        <v>20</v>
      </c>
      <c r="E87" s="31">
        <v>30</v>
      </c>
      <c r="F87" s="31" t="s">
        <v>314</v>
      </c>
      <c r="G87" s="31" t="s">
        <v>39</v>
      </c>
      <c r="H87" s="31" t="s">
        <v>40</v>
      </c>
      <c r="I87" s="31">
        <v>50</v>
      </c>
      <c r="J87" s="32">
        <v>7629</v>
      </c>
      <c r="K87" s="31" t="s">
        <v>274</v>
      </c>
      <c r="L87" s="32">
        <v>396</v>
      </c>
      <c r="M87" s="32">
        <v>305</v>
      </c>
      <c r="N87" s="31" t="s">
        <v>350</v>
      </c>
      <c r="O87" s="31">
        <v>0.09</v>
      </c>
      <c r="P87" s="31">
        <v>0.56000000000000005</v>
      </c>
      <c r="Q87" s="31" t="s">
        <v>274</v>
      </c>
      <c r="R87" s="32">
        <v>378</v>
      </c>
      <c r="S87" s="32">
        <v>373</v>
      </c>
      <c r="T87" s="31" t="s">
        <v>352</v>
      </c>
      <c r="U87" s="31">
        <v>0.1</v>
      </c>
      <c r="V87" s="31">
        <v>0.5</v>
      </c>
      <c r="W87" s="31" t="s">
        <v>274</v>
      </c>
    </row>
    <row r="88" spans="1:23" ht="15" customHeight="1" x14ac:dyDescent="0.25">
      <c r="A88" s="30" t="s">
        <v>71</v>
      </c>
      <c r="B88" s="30" t="s">
        <v>186</v>
      </c>
      <c r="C88" s="30" t="s">
        <v>187</v>
      </c>
      <c r="D88" s="31" t="s">
        <v>103</v>
      </c>
      <c r="E88" s="31">
        <v>801</v>
      </c>
      <c r="F88" s="31">
        <v>801</v>
      </c>
      <c r="G88" s="31" t="s">
        <v>39</v>
      </c>
      <c r="H88" s="31" t="s">
        <v>40</v>
      </c>
      <c r="I88" s="31">
        <v>35</v>
      </c>
      <c r="J88" s="32">
        <v>5494</v>
      </c>
      <c r="K88" s="31" t="s">
        <v>274</v>
      </c>
      <c r="L88" s="32">
        <v>155</v>
      </c>
      <c r="M88" s="32">
        <v>297</v>
      </c>
      <c r="N88" s="31" t="s">
        <v>350</v>
      </c>
      <c r="O88" s="31">
        <v>0.08</v>
      </c>
      <c r="P88" s="31">
        <v>0.66</v>
      </c>
      <c r="Q88" s="31" t="s">
        <v>274</v>
      </c>
      <c r="R88" s="32">
        <v>292</v>
      </c>
      <c r="S88" s="32">
        <v>179</v>
      </c>
      <c r="T88" s="31" t="s">
        <v>353</v>
      </c>
      <c r="U88" s="31">
        <v>0.09</v>
      </c>
      <c r="V88" s="31">
        <v>0.62</v>
      </c>
      <c r="W88" s="31" t="s">
        <v>274</v>
      </c>
    </row>
    <row r="89" spans="1:23" x14ac:dyDescent="0.25">
      <c r="A89" s="30" t="s">
        <v>71</v>
      </c>
      <c r="B89" s="30" t="s">
        <v>186</v>
      </c>
      <c r="C89" s="30" t="s">
        <v>188</v>
      </c>
      <c r="D89" s="31" t="s">
        <v>103</v>
      </c>
      <c r="E89" s="31">
        <v>506</v>
      </c>
      <c r="F89" s="31">
        <v>506</v>
      </c>
      <c r="G89" s="31" t="s">
        <v>39</v>
      </c>
      <c r="H89" s="31" t="s">
        <v>40</v>
      </c>
      <c r="I89" s="31">
        <v>35</v>
      </c>
      <c r="J89" s="32">
        <v>6465</v>
      </c>
      <c r="K89" s="31" t="s">
        <v>274</v>
      </c>
      <c r="L89" s="32">
        <v>339</v>
      </c>
      <c r="M89" s="32">
        <v>218</v>
      </c>
      <c r="N89" s="31" t="s">
        <v>351</v>
      </c>
      <c r="O89" s="31">
        <v>0.09</v>
      </c>
      <c r="P89" s="31">
        <v>0.61</v>
      </c>
      <c r="Q89" s="31" t="s">
        <v>17</v>
      </c>
      <c r="R89" s="32">
        <v>260</v>
      </c>
      <c r="S89" s="32">
        <v>297</v>
      </c>
      <c r="T89" s="31" t="s">
        <v>353</v>
      </c>
      <c r="U89" s="31">
        <v>0.09</v>
      </c>
      <c r="V89" s="31">
        <v>0.53</v>
      </c>
      <c r="W89" s="31" t="s">
        <v>274</v>
      </c>
    </row>
    <row r="90" spans="1:23" x14ac:dyDescent="0.25">
      <c r="A90" s="30" t="s">
        <v>71</v>
      </c>
      <c r="B90" s="30" t="s">
        <v>186</v>
      </c>
      <c r="C90" s="30" t="s">
        <v>189</v>
      </c>
      <c r="D90" s="31" t="s">
        <v>103</v>
      </c>
      <c r="E90" s="31">
        <v>583</v>
      </c>
      <c r="F90" s="31">
        <v>583</v>
      </c>
      <c r="G90" s="31" t="s">
        <v>39</v>
      </c>
      <c r="H90" s="31" t="s">
        <v>40</v>
      </c>
      <c r="I90" s="31">
        <v>35</v>
      </c>
      <c r="J90" s="32">
        <v>5964</v>
      </c>
      <c r="K90" s="31" t="s">
        <v>274</v>
      </c>
      <c r="L90" s="32">
        <v>266</v>
      </c>
      <c r="M90" s="32">
        <v>193</v>
      </c>
      <c r="N90" s="31" t="s">
        <v>351</v>
      </c>
      <c r="O90" s="31">
        <v>0.08</v>
      </c>
      <c r="P90" s="31">
        <v>0.57999999999999996</v>
      </c>
      <c r="Q90" s="31" t="s">
        <v>274</v>
      </c>
      <c r="R90" s="32">
        <v>240</v>
      </c>
      <c r="S90" s="32">
        <v>298</v>
      </c>
      <c r="T90" s="31" t="s">
        <v>353</v>
      </c>
      <c r="U90" s="31">
        <v>0.09</v>
      </c>
      <c r="V90" s="31">
        <v>0.55000000000000004</v>
      </c>
      <c r="W90" s="31" t="s">
        <v>274</v>
      </c>
    </row>
    <row r="91" spans="1:23" x14ac:dyDescent="0.25">
      <c r="A91" s="30" t="s">
        <v>71</v>
      </c>
      <c r="B91" s="30" t="s">
        <v>190</v>
      </c>
      <c r="C91" s="30" t="s">
        <v>191</v>
      </c>
      <c r="D91" s="31" t="s">
        <v>103</v>
      </c>
      <c r="E91" s="31">
        <v>526</v>
      </c>
      <c r="F91" s="31">
        <v>526</v>
      </c>
      <c r="G91" s="31" t="s">
        <v>39</v>
      </c>
      <c r="H91" s="31" t="s">
        <v>40</v>
      </c>
      <c r="I91" s="31">
        <v>30</v>
      </c>
      <c r="J91" s="32">
        <v>1666</v>
      </c>
      <c r="K91" s="31" t="s">
        <v>274</v>
      </c>
      <c r="L91" s="32">
        <v>111</v>
      </c>
      <c r="M91" s="32">
        <v>31</v>
      </c>
      <c r="N91" s="31" t="s">
        <v>350</v>
      </c>
      <c r="O91" s="31">
        <v>0.09</v>
      </c>
      <c r="P91" s="31">
        <v>0.78</v>
      </c>
      <c r="Q91" s="31" t="s">
        <v>274</v>
      </c>
      <c r="R91" s="32">
        <v>45</v>
      </c>
      <c r="S91" s="32">
        <v>85</v>
      </c>
      <c r="T91" s="31" t="s">
        <v>353</v>
      </c>
      <c r="U91" s="31">
        <v>0.08</v>
      </c>
      <c r="V91" s="31">
        <v>0.65</v>
      </c>
      <c r="W91" s="31" t="s">
        <v>274</v>
      </c>
    </row>
    <row r="92" spans="1:23" x14ac:dyDescent="0.25">
      <c r="A92" s="30" t="s">
        <v>71</v>
      </c>
      <c r="B92" s="30" t="s">
        <v>192</v>
      </c>
      <c r="C92" s="30" t="s">
        <v>193</v>
      </c>
      <c r="D92" s="31" t="s">
        <v>103</v>
      </c>
      <c r="E92" s="31">
        <v>413</v>
      </c>
      <c r="F92" s="31">
        <v>413</v>
      </c>
      <c r="G92" s="31" t="s">
        <v>39</v>
      </c>
      <c r="H92" s="31" t="s">
        <v>40</v>
      </c>
      <c r="I92" s="31">
        <v>30</v>
      </c>
      <c r="J92" s="32">
        <v>939</v>
      </c>
      <c r="K92" s="31" t="s">
        <v>274</v>
      </c>
      <c r="L92" s="32">
        <v>25</v>
      </c>
      <c r="M92" s="32">
        <v>32</v>
      </c>
      <c r="N92" s="31" t="s">
        <v>351</v>
      </c>
      <c r="O92" s="31">
        <v>0.06</v>
      </c>
      <c r="P92" s="31">
        <v>0.56000000000000005</v>
      </c>
      <c r="Q92" s="31" t="s">
        <v>274</v>
      </c>
      <c r="R92" s="32">
        <v>33</v>
      </c>
      <c r="S92" s="32">
        <v>60</v>
      </c>
      <c r="T92" s="31" t="s">
        <v>352</v>
      </c>
      <c r="U92" s="31">
        <v>0.1</v>
      </c>
      <c r="V92" s="31">
        <v>0.65</v>
      </c>
      <c r="W92" s="31" t="s">
        <v>274</v>
      </c>
    </row>
    <row r="93" spans="1:23" x14ac:dyDescent="0.25">
      <c r="A93" s="30" t="s">
        <v>71</v>
      </c>
      <c r="B93" s="30" t="s">
        <v>192</v>
      </c>
      <c r="C93" s="30" t="s">
        <v>115</v>
      </c>
      <c r="D93" s="31" t="s">
        <v>103</v>
      </c>
      <c r="E93" s="31">
        <v>412</v>
      </c>
      <c r="F93" s="31">
        <v>412</v>
      </c>
      <c r="G93" s="31" t="s">
        <v>39</v>
      </c>
      <c r="H93" s="31" t="s">
        <v>40</v>
      </c>
      <c r="I93" s="31">
        <v>30</v>
      </c>
      <c r="J93" s="32">
        <v>1864</v>
      </c>
      <c r="K93" s="31" t="s">
        <v>274</v>
      </c>
      <c r="L93" s="32">
        <v>43</v>
      </c>
      <c r="M93" s="32">
        <v>37</v>
      </c>
      <c r="N93" s="31" t="s">
        <v>350</v>
      </c>
      <c r="O93" s="31">
        <v>0.04</v>
      </c>
      <c r="P93" s="31">
        <v>0.54</v>
      </c>
      <c r="Q93" s="31" t="s">
        <v>274</v>
      </c>
      <c r="R93" s="32">
        <v>159</v>
      </c>
      <c r="S93" s="32">
        <v>54</v>
      </c>
      <c r="T93" s="31" t="s">
        <v>352</v>
      </c>
      <c r="U93" s="31">
        <v>0.11</v>
      </c>
      <c r="V93" s="31">
        <v>0.75</v>
      </c>
      <c r="W93" s="31" t="s">
        <v>274</v>
      </c>
    </row>
    <row r="94" spans="1:23" x14ac:dyDescent="0.25">
      <c r="A94" s="30" t="s">
        <v>71</v>
      </c>
      <c r="B94" s="30" t="s">
        <v>194</v>
      </c>
      <c r="C94" s="30" t="s">
        <v>196</v>
      </c>
      <c r="D94" s="31" t="s">
        <v>103</v>
      </c>
      <c r="E94" s="31">
        <v>569</v>
      </c>
      <c r="F94" s="31">
        <v>569</v>
      </c>
      <c r="G94" s="31" t="s">
        <v>39</v>
      </c>
      <c r="H94" s="31" t="s">
        <v>40</v>
      </c>
      <c r="I94" s="31">
        <v>35</v>
      </c>
      <c r="J94" s="32">
        <v>2371</v>
      </c>
      <c r="K94" s="31" t="s">
        <v>274</v>
      </c>
      <c r="L94" s="32">
        <v>113</v>
      </c>
      <c r="M94" s="32">
        <v>109</v>
      </c>
      <c r="N94" s="31" t="s">
        <v>351</v>
      </c>
      <c r="O94" s="31">
        <v>0.09</v>
      </c>
      <c r="P94" s="31">
        <v>0.51</v>
      </c>
      <c r="Q94" s="31" t="s">
        <v>274</v>
      </c>
      <c r="R94" s="32">
        <v>141</v>
      </c>
      <c r="S94" s="32">
        <v>74</v>
      </c>
      <c r="T94" s="31" t="s">
        <v>353</v>
      </c>
      <c r="U94" s="31">
        <v>0.09</v>
      </c>
      <c r="V94" s="31">
        <v>0.66</v>
      </c>
      <c r="W94" s="31" t="s">
        <v>274</v>
      </c>
    </row>
    <row r="95" spans="1:23" x14ac:dyDescent="0.25">
      <c r="A95" s="30" t="s">
        <v>71</v>
      </c>
      <c r="B95" s="30" t="s">
        <v>194</v>
      </c>
      <c r="C95" s="30" t="s">
        <v>195</v>
      </c>
      <c r="D95" s="31" t="s">
        <v>103</v>
      </c>
      <c r="E95" s="31">
        <v>560</v>
      </c>
      <c r="F95" s="31">
        <v>560</v>
      </c>
      <c r="G95" s="31" t="s">
        <v>39</v>
      </c>
      <c r="H95" s="31" t="s">
        <v>40</v>
      </c>
      <c r="I95" s="31">
        <v>35</v>
      </c>
      <c r="J95" s="32">
        <v>6969</v>
      </c>
      <c r="K95" s="31" t="s">
        <v>17</v>
      </c>
      <c r="L95" s="32">
        <v>301</v>
      </c>
      <c r="M95" s="32">
        <v>358</v>
      </c>
      <c r="N95" s="31" t="s">
        <v>351</v>
      </c>
      <c r="O95" s="31">
        <v>0.09</v>
      </c>
      <c r="P95" s="31">
        <v>0.54</v>
      </c>
      <c r="Q95" s="31" t="s">
        <v>17</v>
      </c>
      <c r="R95" s="32">
        <v>281</v>
      </c>
      <c r="S95" s="32">
        <v>260</v>
      </c>
      <c r="T95" s="31" t="s">
        <v>353</v>
      </c>
      <c r="U95" s="31">
        <v>0.08</v>
      </c>
      <c r="V95" s="31">
        <v>0.52</v>
      </c>
      <c r="W95" s="31" t="s">
        <v>274</v>
      </c>
    </row>
    <row r="96" spans="1:23" x14ac:dyDescent="0.25">
      <c r="A96" s="30" t="s">
        <v>71</v>
      </c>
      <c r="B96" s="30" t="s">
        <v>194</v>
      </c>
      <c r="C96" s="30" t="s">
        <v>197</v>
      </c>
      <c r="D96" s="31" t="s">
        <v>103</v>
      </c>
      <c r="E96" s="31">
        <v>555</v>
      </c>
      <c r="F96" s="31">
        <v>555</v>
      </c>
      <c r="G96" s="31" t="s">
        <v>39</v>
      </c>
      <c r="H96" s="31" t="s">
        <v>40</v>
      </c>
      <c r="I96" s="31">
        <v>35</v>
      </c>
      <c r="J96" s="32">
        <v>5936</v>
      </c>
      <c r="K96" s="31" t="s">
        <v>274</v>
      </c>
      <c r="L96" s="32">
        <v>271</v>
      </c>
      <c r="M96" s="32">
        <v>325</v>
      </c>
      <c r="N96" s="31" t="s">
        <v>351</v>
      </c>
      <c r="O96" s="31">
        <v>0.1</v>
      </c>
      <c r="P96" s="31">
        <v>0.55000000000000004</v>
      </c>
      <c r="Q96" s="31" t="s">
        <v>274</v>
      </c>
      <c r="R96" s="32">
        <v>228</v>
      </c>
      <c r="S96" s="32">
        <v>240</v>
      </c>
      <c r="T96" s="31" t="s">
        <v>353</v>
      </c>
      <c r="U96" s="31">
        <v>0.08</v>
      </c>
      <c r="V96" s="31">
        <v>0.51</v>
      </c>
      <c r="W96" s="31" t="s">
        <v>274</v>
      </c>
    </row>
    <row r="97" spans="1:23" x14ac:dyDescent="0.25">
      <c r="A97" s="30" t="s">
        <v>71</v>
      </c>
      <c r="B97" s="30" t="s">
        <v>198</v>
      </c>
      <c r="C97" s="30" t="s">
        <v>199</v>
      </c>
      <c r="D97" s="31" t="s">
        <v>103</v>
      </c>
      <c r="E97" s="31">
        <v>584</v>
      </c>
      <c r="F97" s="31">
        <v>584</v>
      </c>
      <c r="G97" s="31" t="s">
        <v>39</v>
      </c>
      <c r="H97" s="31" t="s">
        <v>40</v>
      </c>
      <c r="I97" s="31">
        <v>35</v>
      </c>
      <c r="J97" s="32">
        <v>1187</v>
      </c>
      <c r="K97" s="31" t="s">
        <v>274</v>
      </c>
      <c r="L97" s="32">
        <v>45</v>
      </c>
      <c r="M97" s="32">
        <v>87</v>
      </c>
      <c r="N97" s="31" t="s">
        <v>350</v>
      </c>
      <c r="O97" s="31">
        <v>0.11</v>
      </c>
      <c r="P97" s="31">
        <v>0.66</v>
      </c>
      <c r="Q97" s="31" t="s">
        <v>274</v>
      </c>
      <c r="R97" s="32">
        <v>99</v>
      </c>
      <c r="S97" s="32">
        <v>21</v>
      </c>
      <c r="T97" s="31" t="s">
        <v>352</v>
      </c>
      <c r="U97" s="31">
        <v>0.1</v>
      </c>
      <c r="V97" s="31">
        <v>0.82</v>
      </c>
      <c r="W97" s="31" t="s">
        <v>274</v>
      </c>
    </row>
    <row r="98" spans="1:23" x14ac:dyDescent="0.25">
      <c r="A98" s="30" t="s">
        <v>71</v>
      </c>
      <c r="B98" s="30" t="s">
        <v>200</v>
      </c>
      <c r="C98" s="30" t="s">
        <v>202</v>
      </c>
      <c r="D98" s="31" t="s">
        <v>103</v>
      </c>
      <c r="E98" s="31">
        <v>519</v>
      </c>
      <c r="F98" s="31">
        <v>519</v>
      </c>
      <c r="G98" s="31" t="s">
        <v>39</v>
      </c>
      <c r="H98" s="31" t="s">
        <v>40</v>
      </c>
      <c r="I98" s="31">
        <v>25</v>
      </c>
      <c r="J98" s="32">
        <v>3019</v>
      </c>
      <c r="K98" s="31" t="s">
        <v>274</v>
      </c>
      <c r="L98" s="32">
        <v>143</v>
      </c>
      <c r="M98" s="32">
        <v>156</v>
      </c>
      <c r="N98" s="31" t="s">
        <v>351</v>
      </c>
      <c r="O98" s="31">
        <v>0.1</v>
      </c>
      <c r="P98" s="31">
        <v>0.52</v>
      </c>
      <c r="Q98" s="31" t="s">
        <v>274</v>
      </c>
      <c r="R98" s="32">
        <v>125</v>
      </c>
      <c r="S98" s="32">
        <v>141</v>
      </c>
      <c r="T98" s="31" t="s">
        <v>353</v>
      </c>
      <c r="U98" s="31">
        <v>0.09</v>
      </c>
      <c r="V98" s="31">
        <v>0.53</v>
      </c>
      <c r="W98" s="31" t="s">
        <v>274</v>
      </c>
    </row>
    <row r="99" spans="1:23" x14ac:dyDescent="0.25">
      <c r="A99" s="30" t="s">
        <v>71</v>
      </c>
      <c r="B99" s="30" t="s">
        <v>200</v>
      </c>
      <c r="C99" s="30" t="s">
        <v>201</v>
      </c>
      <c r="D99" s="31" t="s">
        <v>103</v>
      </c>
      <c r="E99" s="31">
        <v>830</v>
      </c>
      <c r="F99" s="31">
        <v>830</v>
      </c>
      <c r="G99" s="31" t="s">
        <v>39</v>
      </c>
      <c r="H99" s="31" t="s">
        <v>40</v>
      </c>
      <c r="I99" s="31">
        <v>25</v>
      </c>
      <c r="J99" s="32">
        <v>4337</v>
      </c>
      <c r="K99" s="31" t="s">
        <v>274</v>
      </c>
      <c r="L99" s="32">
        <v>240</v>
      </c>
      <c r="M99" s="32">
        <v>138</v>
      </c>
      <c r="N99" s="31" t="s">
        <v>350</v>
      </c>
      <c r="O99" s="31">
        <v>0.09</v>
      </c>
      <c r="P99" s="31">
        <v>0.63</v>
      </c>
      <c r="Q99" s="31" t="s">
        <v>274</v>
      </c>
      <c r="R99" s="32">
        <v>142</v>
      </c>
      <c r="S99" s="32">
        <v>164</v>
      </c>
      <c r="T99" s="31" t="s">
        <v>352</v>
      </c>
      <c r="U99" s="31">
        <v>7.0000000000000007E-2</v>
      </c>
      <c r="V99" s="31">
        <v>0.54</v>
      </c>
      <c r="W99" s="31" t="s">
        <v>274</v>
      </c>
    </row>
    <row r="100" spans="1:23" x14ac:dyDescent="0.25">
      <c r="A100" s="30" t="s">
        <v>71</v>
      </c>
      <c r="B100" s="30" t="s">
        <v>203</v>
      </c>
      <c r="C100" s="30" t="s">
        <v>160</v>
      </c>
      <c r="D100" s="31" t="s">
        <v>103</v>
      </c>
      <c r="E100" s="31">
        <v>407</v>
      </c>
      <c r="F100" s="31">
        <v>407</v>
      </c>
      <c r="G100" s="31" t="s">
        <v>39</v>
      </c>
      <c r="H100" s="31" t="s">
        <v>40</v>
      </c>
      <c r="I100" s="31">
        <v>25</v>
      </c>
      <c r="J100" s="32">
        <v>1322</v>
      </c>
      <c r="K100" s="31" t="s">
        <v>274</v>
      </c>
      <c r="L100" s="32">
        <v>44</v>
      </c>
      <c r="M100" s="32">
        <v>32</v>
      </c>
      <c r="N100" s="31" t="s">
        <v>351</v>
      </c>
      <c r="O100" s="31">
        <v>0.06</v>
      </c>
      <c r="P100" s="31">
        <v>0.57999999999999996</v>
      </c>
      <c r="Q100" s="31" t="s">
        <v>274</v>
      </c>
      <c r="R100" s="32">
        <v>68</v>
      </c>
      <c r="S100" s="32">
        <v>66</v>
      </c>
      <c r="T100" s="31" t="s">
        <v>352</v>
      </c>
      <c r="U100" s="31">
        <v>0.1</v>
      </c>
      <c r="V100" s="31">
        <v>0.51</v>
      </c>
      <c r="W100" s="31" t="s">
        <v>274</v>
      </c>
    </row>
    <row r="101" spans="1:23" x14ac:dyDescent="0.25">
      <c r="A101" s="30" t="s">
        <v>71</v>
      </c>
      <c r="B101" s="30" t="s">
        <v>204</v>
      </c>
      <c r="C101" s="30" t="s">
        <v>110</v>
      </c>
      <c r="D101" s="31" t="s">
        <v>103</v>
      </c>
      <c r="E101" s="31">
        <v>603</v>
      </c>
      <c r="F101" s="31">
        <v>603</v>
      </c>
      <c r="G101" s="31" t="s">
        <v>39</v>
      </c>
      <c r="H101" s="31" t="s">
        <v>17</v>
      </c>
      <c r="I101" s="31">
        <v>25</v>
      </c>
      <c r="J101" s="32">
        <v>3230</v>
      </c>
      <c r="K101" s="31" t="s">
        <v>274</v>
      </c>
      <c r="L101" s="32">
        <v>151</v>
      </c>
      <c r="M101" s="32">
        <v>56</v>
      </c>
      <c r="N101" s="31" t="s">
        <v>350</v>
      </c>
      <c r="O101" s="31">
        <v>0.06</v>
      </c>
      <c r="P101" s="31">
        <v>0.73</v>
      </c>
      <c r="Q101" s="31" t="s">
        <v>274</v>
      </c>
      <c r="R101" s="32">
        <v>133</v>
      </c>
      <c r="S101" s="32">
        <v>268</v>
      </c>
      <c r="T101" s="31" t="s">
        <v>353</v>
      </c>
      <c r="U101" s="31">
        <v>0.12</v>
      </c>
      <c r="V101" s="31">
        <v>0.67</v>
      </c>
      <c r="W101" s="31" t="s">
        <v>274</v>
      </c>
    </row>
    <row r="102" spans="1:23" x14ac:dyDescent="0.25">
      <c r="A102" s="30" t="s">
        <v>71</v>
      </c>
      <c r="B102" s="30" t="s">
        <v>204</v>
      </c>
      <c r="C102" s="30" t="s">
        <v>205</v>
      </c>
      <c r="D102" s="31" t="s">
        <v>103</v>
      </c>
      <c r="E102" s="31">
        <v>604</v>
      </c>
      <c r="F102" s="31">
        <v>604</v>
      </c>
      <c r="G102" s="31" t="s">
        <v>39</v>
      </c>
      <c r="H102" s="31" t="s">
        <v>17</v>
      </c>
      <c r="I102" s="31">
        <v>25</v>
      </c>
      <c r="J102" s="32">
        <v>4325</v>
      </c>
      <c r="K102" s="31" t="s">
        <v>274</v>
      </c>
      <c r="L102" s="32">
        <v>156</v>
      </c>
      <c r="M102" s="32">
        <v>103</v>
      </c>
      <c r="N102" s="31" t="s">
        <v>350</v>
      </c>
      <c r="O102" s="31">
        <v>0.06</v>
      </c>
      <c r="P102" s="31">
        <v>0.6</v>
      </c>
      <c r="Q102" s="31" t="s">
        <v>274</v>
      </c>
      <c r="R102" s="32">
        <v>205</v>
      </c>
      <c r="S102" s="32">
        <v>281</v>
      </c>
      <c r="T102" s="31" t="s">
        <v>353</v>
      </c>
      <c r="U102" s="31">
        <v>0.11</v>
      </c>
      <c r="V102" s="31">
        <v>0.57999999999999996</v>
      </c>
      <c r="W102" s="31" t="s">
        <v>274</v>
      </c>
    </row>
    <row r="103" spans="1:23" x14ac:dyDescent="0.25">
      <c r="A103" s="30" t="s">
        <v>71</v>
      </c>
      <c r="B103" s="30" t="s">
        <v>85</v>
      </c>
      <c r="C103" s="30" t="s">
        <v>86</v>
      </c>
      <c r="D103" s="31" t="s">
        <v>20</v>
      </c>
      <c r="E103" s="31">
        <v>17</v>
      </c>
      <c r="F103" s="31" t="s">
        <v>315</v>
      </c>
      <c r="G103" s="31" t="s">
        <v>39</v>
      </c>
      <c r="H103" s="31" t="s">
        <v>40</v>
      </c>
      <c r="I103" s="31">
        <v>45</v>
      </c>
      <c r="J103" s="32">
        <v>8104</v>
      </c>
      <c r="K103" s="31" t="s">
        <v>274</v>
      </c>
      <c r="L103" s="32">
        <v>261</v>
      </c>
      <c r="M103" s="32">
        <v>423</v>
      </c>
      <c r="N103" s="35">
        <v>0.29166666666666669</v>
      </c>
      <c r="O103" s="31">
        <v>0.08</v>
      </c>
      <c r="P103" s="31">
        <v>0.62</v>
      </c>
      <c r="Q103" s="31" t="s">
        <v>274</v>
      </c>
      <c r="R103" s="32">
        <v>471</v>
      </c>
      <c r="S103" s="32">
        <v>332</v>
      </c>
      <c r="T103" s="35">
        <v>0.69791666666666663</v>
      </c>
      <c r="U103" s="31">
        <v>0.1</v>
      </c>
      <c r="V103" s="31">
        <v>0.59</v>
      </c>
      <c r="W103" s="31" t="s">
        <v>274</v>
      </c>
    </row>
    <row r="104" spans="1:23" x14ac:dyDescent="0.25">
      <c r="A104" s="30" t="s">
        <v>71</v>
      </c>
      <c r="B104" s="30" t="s">
        <v>85</v>
      </c>
      <c r="C104" s="30" t="s">
        <v>206</v>
      </c>
      <c r="D104" s="31" t="s">
        <v>103</v>
      </c>
      <c r="E104" s="31">
        <v>17.100000000000001</v>
      </c>
      <c r="F104" s="31">
        <v>17.100000000000001</v>
      </c>
      <c r="G104" s="31" t="s">
        <v>39</v>
      </c>
      <c r="H104" s="31" t="s">
        <v>40</v>
      </c>
      <c r="I104" s="31">
        <v>45</v>
      </c>
      <c r="J104" s="32">
        <v>6388</v>
      </c>
      <c r="K104" s="31" t="s">
        <v>274</v>
      </c>
      <c r="L104" s="32">
        <v>358</v>
      </c>
      <c r="M104" s="32">
        <v>205</v>
      </c>
      <c r="N104" s="31" t="s">
        <v>350</v>
      </c>
      <c r="O104" s="31">
        <v>0.09</v>
      </c>
      <c r="P104" s="31">
        <v>0.64</v>
      </c>
      <c r="Q104" s="31" t="s">
        <v>274</v>
      </c>
      <c r="R104" s="32">
        <v>251</v>
      </c>
      <c r="S104" s="32">
        <v>368</v>
      </c>
      <c r="T104" s="31" t="s">
        <v>352</v>
      </c>
      <c r="U104" s="31">
        <v>0.1</v>
      </c>
      <c r="V104" s="31">
        <v>0.59</v>
      </c>
      <c r="W104" s="31" t="s">
        <v>274</v>
      </c>
    </row>
    <row r="105" spans="1:23" x14ac:dyDescent="0.25">
      <c r="A105" s="30" t="s">
        <v>71</v>
      </c>
      <c r="B105" s="30" t="s">
        <v>207</v>
      </c>
      <c r="C105" s="30" t="s">
        <v>208</v>
      </c>
      <c r="D105" s="31" t="s">
        <v>103</v>
      </c>
      <c r="E105" s="31">
        <v>512</v>
      </c>
      <c r="F105" s="31">
        <v>512</v>
      </c>
      <c r="G105" s="31" t="s">
        <v>39</v>
      </c>
      <c r="H105" s="31" t="s">
        <v>17</v>
      </c>
      <c r="I105" s="31">
        <v>25</v>
      </c>
      <c r="J105" s="32">
        <v>5335</v>
      </c>
      <c r="K105" s="31" t="s">
        <v>274</v>
      </c>
      <c r="L105" s="32">
        <v>272</v>
      </c>
      <c r="M105" s="32">
        <v>247</v>
      </c>
      <c r="N105" s="31" t="s">
        <v>350</v>
      </c>
      <c r="O105" s="31">
        <v>0.1</v>
      </c>
      <c r="P105" s="31">
        <v>0.52</v>
      </c>
      <c r="Q105" s="31" t="s">
        <v>274</v>
      </c>
      <c r="R105" s="32">
        <v>257</v>
      </c>
      <c r="S105" s="32">
        <v>167</v>
      </c>
      <c r="T105" s="31" t="s">
        <v>353</v>
      </c>
      <c r="U105" s="31">
        <v>0.08</v>
      </c>
      <c r="V105" s="31">
        <v>0.61</v>
      </c>
      <c r="W105" s="31" t="s">
        <v>274</v>
      </c>
    </row>
    <row r="106" spans="1:23" x14ac:dyDescent="0.25">
      <c r="A106" s="30" t="s">
        <v>71</v>
      </c>
      <c r="B106" s="30" t="s">
        <v>209</v>
      </c>
      <c r="C106" s="30" t="s">
        <v>210</v>
      </c>
      <c r="D106" s="31" t="s">
        <v>103</v>
      </c>
      <c r="E106" s="31">
        <v>674</v>
      </c>
      <c r="F106" s="31">
        <v>674</v>
      </c>
      <c r="G106" s="31" t="s">
        <v>39</v>
      </c>
      <c r="H106" s="31" t="s">
        <v>40</v>
      </c>
      <c r="I106" s="31">
        <v>35</v>
      </c>
      <c r="J106" s="32">
        <v>9644</v>
      </c>
      <c r="K106" s="31" t="s">
        <v>17</v>
      </c>
      <c r="L106" s="32">
        <v>545</v>
      </c>
      <c r="M106" s="32">
        <v>268</v>
      </c>
      <c r="N106" s="31" t="s">
        <v>350</v>
      </c>
      <c r="O106" s="31">
        <v>0.08</v>
      </c>
      <c r="P106" s="31">
        <v>0.67</v>
      </c>
      <c r="Q106" s="31" t="s">
        <v>17</v>
      </c>
      <c r="R106" s="32">
        <v>473</v>
      </c>
      <c r="S106" s="32">
        <v>377</v>
      </c>
      <c r="T106" s="31" t="s">
        <v>353</v>
      </c>
      <c r="U106" s="31">
        <v>0.09</v>
      </c>
      <c r="V106" s="31">
        <v>0.56000000000000005</v>
      </c>
      <c r="W106" s="31" t="s">
        <v>17</v>
      </c>
    </row>
    <row r="107" spans="1:23" x14ac:dyDescent="0.25">
      <c r="A107" s="30" t="s">
        <v>71</v>
      </c>
      <c r="B107" s="30" t="s">
        <v>209</v>
      </c>
      <c r="C107" s="30" t="s">
        <v>28</v>
      </c>
      <c r="D107" s="31" t="s">
        <v>103</v>
      </c>
      <c r="E107" s="31">
        <v>510</v>
      </c>
      <c r="F107" s="31">
        <v>510</v>
      </c>
      <c r="G107" s="31" t="s">
        <v>39</v>
      </c>
      <c r="H107" s="31" t="s">
        <v>40</v>
      </c>
      <c r="I107" s="31">
        <v>35</v>
      </c>
      <c r="J107" s="32">
        <v>5020</v>
      </c>
      <c r="K107" s="31" t="s">
        <v>274</v>
      </c>
      <c r="L107" s="32">
        <v>211</v>
      </c>
      <c r="M107" s="32">
        <v>165</v>
      </c>
      <c r="N107" s="31" t="s">
        <v>350</v>
      </c>
      <c r="O107" s="31">
        <v>7.0000000000000007E-2</v>
      </c>
      <c r="P107" s="31">
        <v>0.56000000000000005</v>
      </c>
      <c r="Q107" s="31" t="s">
        <v>274</v>
      </c>
      <c r="R107" s="32">
        <v>230</v>
      </c>
      <c r="S107" s="32">
        <v>293</v>
      </c>
      <c r="T107" s="31" t="s">
        <v>353</v>
      </c>
      <c r="U107" s="31">
        <v>0.1</v>
      </c>
      <c r="V107" s="31">
        <v>0.56000000000000005</v>
      </c>
      <c r="W107" s="31" t="s">
        <v>274</v>
      </c>
    </row>
    <row r="108" spans="1:23" x14ac:dyDescent="0.25">
      <c r="A108" s="30" t="s">
        <v>71</v>
      </c>
      <c r="B108" s="30" t="s">
        <v>209</v>
      </c>
      <c r="C108" s="30" t="s">
        <v>183</v>
      </c>
      <c r="D108" s="31" t="s">
        <v>103</v>
      </c>
      <c r="E108" s="31">
        <v>511</v>
      </c>
      <c r="F108" s="31">
        <v>511</v>
      </c>
      <c r="G108" s="31" t="s">
        <v>39</v>
      </c>
      <c r="H108" s="31" t="s">
        <v>40</v>
      </c>
      <c r="I108" s="31">
        <v>35</v>
      </c>
      <c r="J108" s="32">
        <v>7681</v>
      </c>
      <c r="K108" s="31" t="s">
        <v>17</v>
      </c>
      <c r="L108" s="32">
        <v>188</v>
      </c>
      <c r="M108" s="32">
        <v>360</v>
      </c>
      <c r="N108" s="31" t="s">
        <v>350</v>
      </c>
      <c r="O108" s="31">
        <v>7.0000000000000007E-2</v>
      </c>
      <c r="P108" s="31">
        <v>0.66</v>
      </c>
      <c r="Q108" s="31" t="s">
        <v>17</v>
      </c>
      <c r="R108" s="32">
        <v>416</v>
      </c>
      <c r="S108" s="32">
        <v>350</v>
      </c>
      <c r="T108" s="31" t="s">
        <v>353</v>
      </c>
      <c r="U108" s="31">
        <v>0.1</v>
      </c>
      <c r="V108" s="31">
        <v>0.54</v>
      </c>
      <c r="W108" s="31" t="s">
        <v>17</v>
      </c>
    </row>
    <row r="109" spans="1:23" x14ac:dyDescent="0.25">
      <c r="A109" s="30" t="s">
        <v>71</v>
      </c>
      <c r="B109" s="30" t="s">
        <v>209</v>
      </c>
      <c r="C109" s="30" t="s">
        <v>211</v>
      </c>
      <c r="D109" s="31" t="s">
        <v>103</v>
      </c>
      <c r="E109" s="31">
        <v>514</v>
      </c>
      <c r="F109" s="31">
        <v>514</v>
      </c>
      <c r="G109" s="31" t="s">
        <v>39</v>
      </c>
      <c r="H109" s="31" t="s">
        <v>40</v>
      </c>
      <c r="I109" s="31">
        <v>25</v>
      </c>
      <c r="J109" s="32">
        <v>3304</v>
      </c>
      <c r="K109" s="31" t="s">
        <v>274</v>
      </c>
      <c r="L109" s="32">
        <v>172</v>
      </c>
      <c r="M109" s="32">
        <v>77</v>
      </c>
      <c r="N109" s="31" t="s">
        <v>351</v>
      </c>
      <c r="O109" s="31">
        <v>0.08</v>
      </c>
      <c r="P109" s="31">
        <v>0.69</v>
      </c>
      <c r="Q109" s="31" t="s">
        <v>274</v>
      </c>
      <c r="R109" s="32">
        <v>166</v>
      </c>
      <c r="S109" s="32">
        <v>186</v>
      </c>
      <c r="T109" s="31" t="s">
        <v>353</v>
      </c>
      <c r="U109" s="31">
        <v>0.11</v>
      </c>
      <c r="V109" s="31">
        <v>0.53</v>
      </c>
      <c r="W109" s="31" t="s">
        <v>274</v>
      </c>
    </row>
    <row r="110" spans="1:23" x14ac:dyDescent="0.25">
      <c r="A110" s="30" t="s">
        <v>71</v>
      </c>
      <c r="B110" s="30" t="s">
        <v>209</v>
      </c>
      <c r="C110" s="30" t="s">
        <v>212</v>
      </c>
      <c r="D110" s="31" t="s">
        <v>103</v>
      </c>
      <c r="E110" s="31">
        <v>518</v>
      </c>
      <c r="F110" s="31">
        <v>518</v>
      </c>
      <c r="G110" s="31" t="s">
        <v>39</v>
      </c>
      <c r="H110" s="31" t="s">
        <v>40</v>
      </c>
      <c r="I110" s="31">
        <v>25</v>
      </c>
      <c r="J110" s="32">
        <v>5162</v>
      </c>
      <c r="K110" s="31" t="s">
        <v>274</v>
      </c>
      <c r="L110" s="32">
        <v>141</v>
      </c>
      <c r="M110" s="32">
        <v>213</v>
      </c>
      <c r="N110" s="31" t="s">
        <v>350</v>
      </c>
      <c r="O110" s="31">
        <v>7.0000000000000007E-2</v>
      </c>
      <c r="P110" s="31">
        <v>0.6</v>
      </c>
      <c r="Q110" s="31" t="s">
        <v>274</v>
      </c>
      <c r="R110" s="32">
        <v>270</v>
      </c>
      <c r="S110" s="32">
        <v>220</v>
      </c>
      <c r="T110" s="31" t="s">
        <v>353</v>
      </c>
      <c r="U110" s="31">
        <v>0.09</v>
      </c>
      <c r="V110" s="31">
        <v>0.55000000000000004</v>
      </c>
      <c r="W110" s="31" t="s">
        <v>274</v>
      </c>
    </row>
    <row r="111" spans="1:23" x14ac:dyDescent="0.25">
      <c r="A111" s="30" t="s">
        <v>71</v>
      </c>
      <c r="B111" s="30" t="s">
        <v>209</v>
      </c>
      <c r="C111" s="30" t="s">
        <v>213</v>
      </c>
      <c r="D111" s="31" t="s">
        <v>103</v>
      </c>
      <c r="E111" s="31">
        <v>582</v>
      </c>
      <c r="F111" s="31">
        <v>582</v>
      </c>
      <c r="G111" s="31" t="s">
        <v>39</v>
      </c>
      <c r="H111" s="31" t="s">
        <v>40</v>
      </c>
      <c r="I111" s="31">
        <v>35</v>
      </c>
      <c r="J111" s="32">
        <v>2583</v>
      </c>
      <c r="K111" s="31" t="s">
        <v>274</v>
      </c>
      <c r="L111" s="32">
        <v>87</v>
      </c>
      <c r="M111" s="32">
        <v>85</v>
      </c>
      <c r="N111" s="31" t="s">
        <v>350</v>
      </c>
      <c r="O111" s="31">
        <v>7.0000000000000007E-2</v>
      </c>
      <c r="P111" s="31">
        <v>0.51</v>
      </c>
      <c r="Q111" s="31" t="s">
        <v>274</v>
      </c>
      <c r="R111" s="32">
        <v>146</v>
      </c>
      <c r="S111" s="32">
        <v>125</v>
      </c>
      <c r="T111" s="31" t="s">
        <v>353</v>
      </c>
      <c r="U111" s="31">
        <v>0.1</v>
      </c>
      <c r="V111" s="31">
        <v>0.54</v>
      </c>
      <c r="W111" s="31" t="s">
        <v>274</v>
      </c>
    </row>
    <row r="112" spans="1:23" x14ac:dyDescent="0.25">
      <c r="A112" s="30" t="s">
        <v>71</v>
      </c>
      <c r="B112" s="30" t="s">
        <v>214</v>
      </c>
      <c r="C112" s="30" t="s">
        <v>215</v>
      </c>
      <c r="D112" s="31" t="s">
        <v>103</v>
      </c>
      <c r="E112" s="31">
        <v>817</v>
      </c>
      <c r="F112" s="31">
        <v>817</v>
      </c>
      <c r="G112" s="31" t="s">
        <v>39</v>
      </c>
      <c r="H112" s="31" t="s">
        <v>40</v>
      </c>
      <c r="I112" s="31">
        <v>30</v>
      </c>
      <c r="J112" s="32">
        <v>833</v>
      </c>
      <c r="K112" s="31" t="s">
        <v>274</v>
      </c>
      <c r="L112" s="32">
        <v>27</v>
      </c>
      <c r="M112" s="32">
        <v>53</v>
      </c>
      <c r="N112" s="31" t="s">
        <v>350</v>
      </c>
      <c r="O112" s="31">
        <v>0.1</v>
      </c>
      <c r="P112" s="31">
        <v>0.66</v>
      </c>
      <c r="Q112" s="31" t="s">
        <v>274</v>
      </c>
      <c r="R112" s="32">
        <v>52</v>
      </c>
      <c r="S112" s="32">
        <v>49</v>
      </c>
      <c r="T112" s="31" t="s">
        <v>352</v>
      </c>
      <c r="U112" s="31">
        <v>0.12</v>
      </c>
      <c r="V112" s="31">
        <v>0.51</v>
      </c>
      <c r="W112" s="31" t="s">
        <v>274</v>
      </c>
    </row>
    <row r="113" spans="1:23" x14ac:dyDescent="0.25">
      <c r="A113" s="30" t="s">
        <v>71</v>
      </c>
      <c r="B113" s="30" t="s">
        <v>214</v>
      </c>
      <c r="C113" s="30" t="s">
        <v>216</v>
      </c>
      <c r="D113" s="31" t="s">
        <v>103</v>
      </c>
      <c r="E113" s="31">
        <v>901</v>
      </c>
      <c r="F113" s="31">
        <v>901</v>
      </c>
      <c r="G113" s="31" t="s">
        <v>39</v>
      </c>
      <c r="H113" s="31" t="s">
        <v>40</v>
      </c>
      <c r="I113" s="31">
        <v>30</v>
      </c>
      <c r="J113" s="32">
        <v>1040</v>
      </c>
      <c r="K113" s="31" t="s">
        <v>274</v>
      </c>
      <c r="L113" s="32">
        <v>38</v>
      </c>
      <c r="M113" s="32">
        <v>66</v>
      </c>
      <c r="N113" s="31" t="s">
        <v>350</v>
      </c>
      <c r="O113" s="31">
        <v>0.1</v>
      </c>
      <c r="P113" s="31">
        <v>0.63</v>
      </c>
      <c r="Q113" s="31" t="s">
        <v>274</v>
      </c>
      <c r="R113" s="32">
        <v>60</v>
      </c>
      <c r="S113" s="32">
        <v>62</v>
      </c>
      <c r="T113" s="31" t="s">
        <v>352</v>
      </c>
      <c r="U113" s="31">
        <v>0.12</v>
      </c>
      <c r="V113" s="31">
        <v>0.51</v>
      </c>
      <c r="W113" s="31" t="s">
        <v>274</v>
      </c>
    </row>
    <row r="114" spans="1:23" x14ac:dyDescent="0.25">
      <c r="A114" s="30" t="s">
        <v>71</v>
      </c>
      <c r="B114" s="30" t="s">
        <v>217</v>
      </c>
      <c r="C114" s="30" t="s">
        <v>218</v>
      </c>
      <c r="D114" s="31" t="s">
        <v>103</v>
      </c>
      <c r="E114" s="31">
        <v>672</v>
      </c>
      <c r="F114" s="31">
        <v>672</v>
      </c>
      <c r="G114" s="31" t="s">
        <v>39</v>
      </c>
      <c r="H114" s="31" t="s">
        <v>40</v>
      </c>
      <c r="I114" s="31">
        <v>45</v>
      </c>
      <c r="J114" s="32">
        <v>5780</v>
      </c>
      <c r="K114" s="31" t="s">
        <v>274</v>
      </c>
      <c r="L114" s="32">
        <v>178</v>
      </c>
      <c r="M114" s="32">
        <v>218</v>
      </c>
      <c r="N114" s="31" t="s">
        <v>350</v>
      </c>
      <c r="O114" s="31">
        <v>7.0000000000000007E-2</v>
      </c>
      <c r="P114" s="31">
        <v>0.55000000000000004</v>
      </c>
      <c r="Q114" s="31" t="s">
        <v>274</v>
      </c>
      <c r="R114" s="32">
        <v>275</v>
      </c>
      <c r="S114" s="32">
        <v>256</v>
      </c>
      <c r="T114" s="31" t="s">
        <v>352</v>
      </c>
      <c r="U114" s="31">
        <v>0.09</v>
      </c>
      <c r="V114" s="31">
        <v>0.52</v>
      </c>
      <c r="W114" s="31" t="s">
        <v>274</v>
      </c>
    </row>
    <row r="115" spans="1:23" x14ac:dyDescent="0.25">
      <c r="A115" s="30" t="s">
        <v>71</v>
      </c>
      <c r="B115" s="30" t="s">
        <v>219</v>
      </c>
      <c r="C115" s="30" t="s">
        <v>220</v>
      </c>
      <c r="D115" s="31" t="s">
        <v>103</v>
      </c>
      <c r="E115" s="31">
        <v>586</v>
      </c>
      <c r="F115" s="31">
        <v>586</v>
      </c>
      <c r="G115" s="31" t="s">
        <v>39</v>
      </c>
      <c r="H115" s="31" t="s">
        <v>40</v>
      </c>
      <c r="I115" s="31">
        <v>35</v>
      </c>
      <c r="J115" s="32">
        <v>1482</v>
      </c>
      <c r="K115" s="31" t="s">
        <v>274</v>
      </c>
      <c r="L115" s="32">
        <v>57</v>
      </c>
      <c r="M115" s="32">
        <v>56</v>
      </c>
      <c r="N115" s="31" t="s">
        <v>351</v>
      </c>
      <c r="O115" s="31">
        <v>0.08</v>
      </c>
      <c r="P115" s="31">
        <v>0.5</v>
      </c>
      <c r="Q115" s="31" t="s">
        <v>274</v>
      </c>
      <c r="R115" s="32">
        <v>50</v>
      </c>
      <c r="S115" s="32">
        <v>49</v>
      </c>
      <c r="T115" s="31" t="s">
        <v>352</v>
      </c>
      <c r="U115" s="31">
        <v>7.0000000000000007E-2</v>
      </c>
      <c r="V115" s="31">
        <v>0.51</v>
      </c>
      <c r="W115" s="31" t="s">
        <v>274</v>
      </c>
    </row>
    <row r="116" spans="1:23" x14ac:dyDescent="0.25">
      <c r="A116" s="30" t="s">
        <v>36</v>
      </c>
      <c r="B116" s="30" t="s">
        <v>52</v>
      </c>
      <c r="C116" s="30" t="s">
        <v>54</v>
      </c>
      <c r="D116" s="31" t="s">
        <v>20</v>
      </c>
      <c r="E116" s="31">
        <v>11</v>
      </c>
      <c r="F116" s="31" t="s">
        <v>316</v>
      </c>
      <c r="G116" s="31" t="s">
        <v>39</v>
      </c>
      <c r="H116" s="31" t="s">
        <v>40</v>
      </c>
      <c r="I116" s="31">
        <v>55</v>
      </c>
      <c r="J116" s="32">
        <v>8771</v>
      </c>
      <c r="K116" s="31" t="s">
        <v>274</v>
      </c>
      <c r="L116" s="32">
        <v>346</v>
      </c>
      <c r="M116" s="32">
        <v>360</v>
      </c>
      <c r="N116" s="35">
        <v>0.28125</v>
      </c>
      <c r="O116" s="31">
        <v>0.08</v>
      </c>
      <c r="P116" s="31">
        <v>0.51</v>
      </c>
      <c r="Q116" s="31" t="s">
        <v>274</v>
      </c>
      <c r="R116" s="32">
        <v>473</v>
      </c>
      <c r="S116" s="32">
        <v>467</v>
      </c>
      <c r="T116" s="35">
        <v>0.69791666666666663</v>
      </c>
      <c r="U116" s="31">
        <v>0.11</v>
      </c>
      <c r="V116" s="31">
        <v>0.5</v>
      </c>
      <c r="W116" s="31" t="s">
        <v>274</v>
      </c>
    </row>
    <row r="117" spans="1:23" x14ac:dyDescent="0.25">
      <c r="A117" s="30" t="s">
        <v>36</v>
      </c>
      <c r="B117" s="30" t="s">
        <v>52</v>
      </c>
      <c r="C117" s="30" t="s">
        <v>53</v>
      </c>
      <c r="D117" s="31" t="s">
        <v>20</v>
      </c>
      <c r="E117" s="31">
        <v>14</v>
      </c>
      <c r="F117" s="31" t="s">
        <v>318</v>
      </c>
      <c r="G117" s="31" t="s">
        <v>39</v>
      </c>
      <c r="H117" s="31" t="s">
        <v>40</v>
      </c>
      <c r="I117" s="31">
        <v>55</v>
      </c>
      <c r="J117" s="32">
        <v>11502</v>
      </c>
      <c r="K117" s="31" t="s">
        <v>273</v>
      </c>
      <c r="L117" s="32">
        <v>407</v>
      </c>
      <c r="M117" s="32">
        <v>625</v>
      </c>
      <c r="N117" s="35">
        <v>0.29166666666666669</v>
      </c>
      <c r="O117" s="31">
        <v>0.09</v>
      </c>
      <c r="P117" s="31">
        <v>0.61</v>
      </c>
      <c r="Q117" s="31" t="s">
        <v>274</v>
      </c>
      <c r="R117" s="32">
        <v>656</v>
      </c>
      <c r="S117" s="32">
        <v>381</v>
      </c>
      <c r="T117" s="35">
        <v>0.70833333333333337</v>
      </c>
      <c r="U117" s="31">
        <v>0.09</v>
      </c>
      <c r="V117" s="31">
        <v>0.63</v>
      </c>
      <c r="W117" s="31" t="s">
        <v>274</v>
      </c>
    </row>
    <row r="118" spans="1:23" x14ac:dyDescent="0.25">
      <c r="A118" s="30" t="s">
        <v>36</v>
      </c>
      <c r="B118" s="30" t="s">
        <v>52</v>
      </c>
      <c r="C118" s="30" t="s">
        <v>221</v>
      </c>
      <c r="D118" s="31" t="s">
        <v>103</v>
      </c>
      <c r="E118" s="31">
        <v>542</v>
      </c>
      <c r="F118" s="31">
        <v>542</v>
      </c>
      <c r="G118" s="31" t="s">
        <v>39</v>
      </c>
      <c r="H118" s="31" t="s">
        <v>40</v>
      </c>
      <c r="I118" s="31">
        <v>45</v>
      </c>
      <c r="J118" s="32">
        <v>11192</v>
      </c>
      <c r="K118" s="31" t="s">
        <v>274</v>
      </c>
      <c r="L118" s="32">
        <v>277</v>
      </c>
      <c r="M118" s="32">
        <v>622</v>
      </c>
      <c r="N118" s="35">
        <v>0.32291666666666669</v>
      </c>
      <c r="O118" s="31">
        <v>0.08</v>
      </c>
      <c r="P118" s="31">
        <v>0.69</v>
      </c>
      <c r="Q118" s="31" t="s">
        <v>274</v>
      </c>
      <c r="R118" s="32">
        <v>602</v>
      </c>
      <c r="S118" s="32">
        <v>376</v>
      </c>
      <c r="T118" s="35">
        <v>0.70833333333333337</v>
      </c>
      <c r="U118" s="31">
        <v>0.09</v>
      </c>
      <c r="V118" s="31">
        <v>0.62</v>
      </c>
      <c r="W118" s="31" t="s">
        <v>274</v>
      </c>
    </row>
    <row r="119" spans="1:23" x14ac:dyDescent="0.25">
      <c r="A119" s="30" t="s">
        <v>36</v>
      </c>
      <c r="B119" s="30" t="s">
        <v>52</v>
      </c>
      <c r="C119" s="30" t="s">
        <v>222</v>
      </c>
      <c r="D119" s="31" t="s">
        <v>103</v>
      </c>
      <c r="E119" s="31">
        <v>543</v>
      </c>
      <c r="F119" s="31">
        <v>543</v>
      </c>
      <c r="G119" s="31" t="s">
        <v>39</v>
      </c>
      <c r="H119" s="31" t="s">
        <v>40</v>
      </c>
      <c r="I119" s="31">
        <v>45</v>
      </c>
      <c r="J119" s="32">
        <v>8554</v>
      </c>
      <c r="K119" s="31" t="s">
        <v>274</v>
      </c>
      <c r="L119" s="32">
        <v>271</v>
      </c>
      <c r="M119" s="32">
        <v>330</v>
      </c>
      <c r="N119" s="31" t="s">
        <v>350</v>
      </c>
      <c r="O119" s="31">
        <v>7.0000000000000007E-2</v>
      </c>
      <c r="P119" s="31">
        <v>0.55000000000000004</v>
      </c>
      <c r="Q119" s="31" t="s">
        <v>274</v>
      </c>
      <c r="R119" s="32">
        <v>433</v>
      </c>
      <c r="S119" s="32">
        <v>342</v>
      </c>
      <c r="T119" s="31" t="s">
        <v>352</v>
      </c>
      <c r="U119" s="31">
        <v>0.09</v>
      </c>
      <c r="V119" s="31">
        <v>0.56000000000000005</v>
      </c>
      <c r="W119" s="31" t="s">
        <v>274</v>
      </c>
    </row>
    <row r="120" spans="1:23" x14ac:dyDescent="0.25">
      <c r="A120" s="30" t="s">
        <v>36</v>
      </c>
      <c r="B120" s="30" t="s">
        <v>52</v>
      </c>
      <c r="C120" s="30" t="s">
        <v>223</v>
      </c>
      <c r="D120" s="31" t="s">
        <v>103</v>
      </c>
      <c r="E120" s="31">
        <v>544</v>
      </c>
      <c r="F120" s="31">
        <v>544</v>
      </c>
      <c r="G120" s="31" t="s">
        <v>39</v>
      </c>
      <c r="H120" s="31" t="s">
        <v>40</v>
      </c>
      <c r="I120" s="31">
        <v>55</v>
      </c>
      <c r="J120" s="32">
        <v>7570</v>
      </c>
      <c r="K120" s="31" t="s">
        <v>274</v>
      </c>
      <c r="L120" s="32">
        <v>224</v>
      </c>
      <c r="M120" s="32">
        <v>296</v>
      </c>
      <c r="N120" s="31" t="s">
        <v>351</v>
      </c>
      <c r="O120" s="31">
        <v>7.0000000000000007E-2</v>
      </c>
      <c r="P120" s="31">
        <v>0.56999999999999995</v>
      </c>
      <c r="Q120" s="31" t="s">
        <v>274</v>
      </c>
      <c r="R120" s="32">
        <v>344</v>
      </c>
      <c r="S120" s="32">
        <v>375</v>
      </c>
      <c r="T120" s="31" t="s">
        <v>352</v>
      </c>
      <c r="U120" s="31">
        <v>0.09</v>
      </c>
      <c r="V120" s="31">
        <v>0.52</v>
      </c>
      <c r="W120" s="31" t="s">
        <v>274</v>
      </c>
    </row>
    <row r="121" spans="1:23" x14ac:dyDescent="0.25">
      <c r="A121" s="30" t="s">
        <v>36</v>
      </c>
      <c r="B121" s="30" t="s">
        <v>52</v>
      </c>
      <c r="C121" s="30" t="s">
        <v>55</v>
      </c>
      <c r="D121" s="31" t="s">
        <v>20</v>
      </c>
      <c r="E121" s="31">
        <v>10</v>
      </c>
      <c r="F121" s="31" t="s">
        <v>319</v>
      </c>
      <c r="G121" s="31" t="s">
        <v>39</v>
      </c>
      <c r="H121" s="31" t="s">
        <v>40</v>
      </c>
      <c r="I121" s="31">
        <v>55</v>
      </c>
      <c r="J121" s="32">
        <v>11623</v>
      </c>
      <c r="K121" s="31" t="s">
        <v>274</v>
      </c>
      <c r="L121" s="32">
        <v>443</v>
      </c>
      <c r="M121" s="32">
        <v>546</v>
      </c>
      <c r="N121" s="31" t="s">
        <v>350</v>
      </c>
      <c r="O121" s="31">
        <v>0.09</v>
      </c>
      <c r="P121" s="31">
        <v>0.55000000000000004</v>
      </c>
      <c r="Q121" s="31" t="s">
        <v>274</v>
      </c>
      <c r="R121" s="32">
        <v>638</v>
      </c>
      <c r="S121" s="32">
        <v>475</v>
      </c>
      <c r="T121" s="31" t="s">
        <v>353</v>
      </c>
      <c r="U121" s="31">
        <v>0.1</v>
      </c>
      <c r="V121" s="31">
        <v>0.56999999999999995</v>
      </c>
      <c r="W121" s="31" t="s">
        <v>274</v>
      </c>
    </row>
    <row r="122" spans="1:23" ht="15" customHeight="1" x14ac:dyDescent="0.25">
      <c r="A122" s="30" t="s">
        <v>71</v>
      </c>
      <c r="B122" s="30" t="s">
        <v>87</v>
      </c>
      <c r="C122" s="30" t="s">
        <v>89</v>
      </c>
      <c r="D122" s="31" t="s">
        <v>20</v>
      </c>
      <c r="E122" s="31">
        <v>8115</v>
      </c>
      <c r="F122" s="31" t="s">
        <v>317</v>
      </c>
      <c r="G122" s="31" t="s">
        <v>39</v>
      </c>
      <c r="H122" s="31" t="s">
        <v>40</v>
      </c>
      <c r="I122" s="31">
        <v>45</v>
      </c>
      <c r="J122" s="32">
        <v>5402</v>
      </c>
      <c r="K122" s="31" t="s">
        <v>274</v>
      </c>
      <c r="L122" s="32">
        <v>443</v>
      </c>
      <c r="M122" s="32">
        <v>203</v>
      </c>
      <c r="N122" s="35">
        <v>0.30208333333333331</v>
      </c>
      <c r="O122" s="31">
        <v>0.12</v>
      </c>
      <c r="P122" s="31">
        <v>0.69</v>
      </c>
      <c r="Q122" s="31" t="s">
        <v>274</v>
      </c>
      <c r="R122" s="32">
        <v>350</v>
      </c>
      <c r="S122" s="32">
        <v>372</v>
      </c>
      <c r="T122" s="35">
        <v>0.66666666666666663</v>
      </c>
      <c r="U122" s="31">
        <v>0.13</v>
      </c>
      <c r="V122" s="31">
        <v>0.52</v>
      </c>
      <c r="W122" s="31" t="s">
        <v>274</v>
      </c>
    </row>
    <row r="123" spans="1:23" x14ac:dyDescent="0.25">
      <c r="A123" s="30" t="s">
        <v>71</v>
      </c>
      <c r="B123" s="30" t="s">
        <v>87</v>
      </c>
      <c r="C123" s="30" t="s">
        <v>88</v>
      </c>
      <c r="D123" s="31" t="s">
        <v>20</v>
      </c>
      <c r="E123" s="31">
        <v>13</v>
      </c>
      <c r="F123" s="31" t="s">
        <v>320</v>
      </c>
      <c r="G123" s="31" t="s">
        <v>39</v>
      </c>
      <c r="H123" s="31" t="s">
        <v>40</v>
      </c>
      <c r="I123" s="31">
        <v>35</v>
      </c>
      <c r="J123" s="32">
        <v>10818</v>
      </c>
      <c r="K123" s="31" t="s">
        <v>17</v>
      </c>
      <c r="L123" s="32">
        <v>554</v>
      </c>
      <c r="M123" s="32">
        <v>501</v>
      </c>
      <c r="N123" s="35">
        <v>0.34375</v>
      </c>
      <c r="O123" s="31">
        <v>0.1</v>
      </c>
      <c r="P123" s="31">
        <v>0.53</v>
      </c>
      <c r="Q123" s="31" t="s">
        <v>17</v>
      </c>
      <c r="R123" s="32">
        <v>492</v>
      </c>
      <c r="S123" s="32">
        <v>492</v>
      </c>
      <c r="T123" s="35">
        <v>0.71875</v>
      </c>
      <c r="U123" s="31">
        <v>0.09</v>
      </c>
      <c r="V123" s="31">
        <v>0.5</v>
      </c>
      <c r="W123" s="31" t="s">
        <v>17</v>
      </c>
    </row>
    <row r="124" spans="1:23" x14ac:dyDescent="0.25">
      <c r="A124" s="30" t="s">
        <v>71</v>
      </c>
      <c r="B124" s="30" t="s">
        <v>87</v>
      </c>
      <c r="C124" s="30" t="s">
        <v>68</v>
      </c>
      <c r="D124" s="31" t="s">
        <v>20</v>
      </c>
      <c r="E124" s="31">
        <v>326</v>
      </c>
      <c r="F124" s="31" t="s">
        <v>321</v>
      </c>
      <c r="G124" s="31" t="s">
        <v>39</v>
      </c>
      <c r="H124" s="31" t="s">
        <v>40</v>
      </c>
      <c r="I124" s="31">
        <v>45</v>
      </c>
      <c r="J124" s="32">
        <v>5402</v>
      </c>
      <c r="K124" s="31" t="s">
        <v>274</v>
      </c>
      <c r="L124" s="32">
        <v>237</v>
      </c>
      <c r="M124" s="32">
        <v>164</v>
      </c>
      <c r="N124" s="35">
        <v>0.33333333333333331</v>
      </c>
      <c r="O124" s="31">
        <v>7.0000000000000007E-2</v>
      </c>
      <c r="P124" s="31">
        <v>0.59</v>
      </c>
      <c r="Q124" s="31" t="s">
        <v>274</v>
      </c>
      <c r="R124" s="32">
        <v>249</v>
      </c>
      <c r="S124" s="32">
        <v>372</v>
      </c>
      <c r="T124" s="35">
        <v>0.71875</v>
      </c>
      <c r="U124" s="31">
        <v>0.11</v>
      </c>
      <c r="V124" s="31">
        <v>0.6</v>
      </c>
      <c r="W124" s="31" t="s">
        <v>274</v>
      </c>
    </row>
    <row r="125" spans="1:23" x14ac:dyDescent="0.25">
      <c r="A125" s="30" t="s">
        <v>71</v>
      </c>
      <c r="B125" s="30" t="s">
        <v>224</v>
      </c>
      <c r="C125" s="30" t="s">
        <v>225</v>
      </c>
      <c r="D125" s="31" t="s">
        <v>103</v>
      </c>
      <c r="E125" s="31">
        <v>540</v>
      </c>
      <c r="F125" s="31">
        <v>540</v>
      </c>
      <c r="G125" s="31" t="s">
        <v>39</v>
      </c>
      <c r="H125" s="31" t="s">
        <v>40</v>
      </c>
      <c r="I125" s="31">
        <v>30</v>
      </c>
      <c r="J125" s="32">
        <v>3811</v>
      </c>
      <c r="K125" s="31" t="s">
        <v>274</v>
      </c>
      <c r="L125" s="32">
        <v>200</v>
      </c>
      <c r="M125" s="32">
        <v>55</v>
      </c>
      <c r="N125" s="31" t="s">
        <v>350</v>
      </c>
      <c r="O125" s="31">
        <v>7.0000000000000007E-2</v>
      </c>
      <c r="P125" s="31">
        <v>0.78</v>
      </c>
      <c r="Q125" s="31" t="s">
        <v>274</v>
      </c>
      <c r="R125" s="32">
        <v>111</v>
      </c>
      <c r="S125" s="32">
        <v>190</v>
      </c>
      <c r="T125" s="31" t="s">
        <v>353</v>
      </c>
      <c r="U125" s="31">
        <v>0.08</v>
      </c>
      <c r="V125" s="31">
        <v>0.63</v>
      </c>
      <c r="W125" s="31" t="s">
        <v>274</v>
      </c>
    </row>
    <row r="126" spans="1:23" x14ac:dyDescent="0.25">
      <c r="A126" s="30" t="s">
        <v>71</v>
      </c>
      <c r="B126" s="30" t="s">
        <v>226</v>
      </c>
      <c r="C126" s="30" t="s">
        <v>227</v>
      </c>
      <c r="D126" s="31" t="s">
        <v>103</v>
      </c>
      <c r="E126" s="31">
        <v>613</v>
      </c>
      <c r="F126" s="31">
        <v>613</v>
      </c>
      <c r="G126" s="31" t="s">
        <v>39</v>
      </c>
      <c r="H126" s="31" t="s">
        <v>40</v>
      </c>
      <c r="I126" s="31">
        <v>30</v>
      </c>
      <c r="J126" s="32">
        <v>3142</v>
      </c>
      <c r="K126" s="31" t="s">
        <v>274</v>
      </c>
      <c r="L126" s="32">
        <v>105</v>
      </c>
      <c r="M126" s="32">
        <v>237</v>
      </c>
      <c r="N126" s="31" t="s">
        <v>350</v>
      </c>
      <c r="O126" s="31">
        <v>0.11</v>
      </c>
      <c r="P126" s="31">
        <v>0.69</v>
      </c>
      <c r="Q126" s="31" t="s">
        <v>274</v>
      </c>
      <c r="R126" s="32">
        <v>93</v>
      </c>
      <c r="S126" s="32">
        <v>165</v>
      </c>
      <c r="T126" s="31" t="s">
        <v>353</v>
      </c>
      <c r="U126" s="31">
        <v>0.08</v>
      </c>
      <c r="V126" s="31">
        <v>0.64</v>
      </c>
      <c r="W126" s="31" t="s">
        <v>274</v>
      </c>
    </row>
    <row r="127" spans="1:23" x14ac:dyDescent="0.25">
      <c r="A127" s="30" t="s">
        <v>71</v>
      </c>
      <c r="B127" s="30" t="s">
        <v>228</v>
      </c>
      <c r="C127" s="30" t="s">
        <v>229</v>
      </c>
      <c r="D127" s="31" t="s">
        <v>103</v>
      </c>
      <c r="E127" s="31">
        <v>976</v>
      </c>
      <c r="F127" s="31">
        <v>976</v>
      </c>
      <c r="G127" s="31" t="s">
        <v>39</v>
      </c>
      <c r="H127" s="31" t="s">
        <v>40</v>
      </c>
      <c r="I127" s="31">
        <v>30</v>
      </c>
      <c r="J127" s="32">
        <v>1979</v>
      </c>
      <c r="K127" s="31" t="s">
        <v>274</v>
      </c>
      <c r="L127" s="32">
        <v>72</v>
      </c>
      <c r="M127" s="32">
        <v>143</v>
      </c>
      <c r="N127" s="31" t="s">
        <v>351</v>
      </c>
      <c r="O127" s="31">
        <v>0.11</v>
      </c>
      <c r="P127" s="31">
        <v>0.67</v>
      </c>
      <c r="Q127" s="31" t="s">
        <v>274</v>
      </c>
      <c r="R127" s="32">
        <v>110</v>
      </c>
      <c r="S127" s="32">
        <v>69</v>
      </c>
      <c r="T127" s="31" t="s">
        <v>353</v>
      </c>
      <c r="U127" s="31">
        <v>0.09</v>
      </c>
      <c r="V127" s="31">
        <v>0.61</v>
      </c>
      <c r="W127" s="31" t="s">
        <v>274</v>
      </c>
    </row>
    <row r="128" spans="1:23" x14ac:dyDescent="0.25">
      <c r="A128" s="30" t="s">
        <v>71</v>
      </c>
      <c r="B128" s="30" t="s">
        <v>90</v>
      </c>
      <c r="C128" s="30" t="s">
        <v>92</v>
      </c>
      <c r="D128" s="31" t="s">
        <v>20</v>
      </c>
      <c r="E128" s="31">
        <v>8</v>
      </c>
      <c r="F128" s="31" t="s">
        <v>322</v>
      </c>
      <c r="G128" s="31" t="s">
        <v>39</v>
      </c>
      <c r="H128" s="31" t="s">
        <v>40</v>
      </c>
      <c r="I128" s="31">
        <v>55</v>
      </c>
      <c r="J128" s="32">
        <v>6796</v>
      </c>
      <c r="K128" s="31" t="s">
        <v>274</v>
      </c>
      <c r="L128" s="32">
        <v>379</v>
      </c>
      <c r="M128" s="32">
        <v>361</v>
      </c>
      <c r="N128" s="35">
        <v>0.30208333333333331</v>
      </c>
      <c r="O128" s="31">
        <v>0.11</v>
      </c>
      <c r="P128" s="31">
        <v>0.51</v>
      </c>
      <c r="Q128" s="31" t="s">
        <v>274</v>
      </c>
      <c r="R128" s="32">
        <v>344</v>
      </c>
      <c r="S128" s="32">
        <v>306</v>
      </c>
      <c r="T128" s="35">
        <v>0.67708333333333337</v>
      </c>
      <c r="U128" s="31">
        <v>0.1</v>
      </c>
      <c r="V128" s="31">
        <v>0.53</v>
      </c>
      <c r="W128" s="31" t="s">
        <v>274</v>
      </c>
    </row>
    <row r="129" spans="1:23" x14ac:dyDescent="0.25">
      <c r="A129" s="30" t="s">
        <v>71</v>
      </c>
      <c r="B129" s="30" t="s">
        <v>90</v>
      </c>
      <c r="C129" s="30" t="s">
        <v>91</v>
      </c>
      <c r="D129" s="31" t="s">
        <v>20</v>
      </c>
      <c r="E129" s="31">
        <v>8067</v>
      </c>
      <c r="F129" s="31" t="s">
        <v>323</v>
      </c>
      <c r="G129" s="31" t="s">
        <v>39</v>
      </c>
      <c r="H129" s="31" t="s">
        <v>40</v>
      </c>
      <c r="I129" s="31">
        <v>50</v>
      </c>
      <c r="J129" s="32">
        <v>6796</v>
      </c>
      <c r="K129" s="31" t="s">
        <v>274</v>
      </c>
      <c r="L129" s="32">
        <v>379</v>
      </c>
      <c r="M129" s="32">
        <v>361</v>
      </c>
      <c r="N129" s="35">
        <v>0.30208333333333331</v>
      </c>
      <c r="O129" s="31">
        <v>0.11</v>
      </c>
      <c r="P129" s="31">
        <v>0.51</v>
      </c>
      <c r="Q129" s="31" t="s">
        <v>274</v>
      </c>
      <c r="R129" s="32">
        <v>344</v>
      </c>
      <c r="S129" s="32">
        <v>306</v>
      </c>
      <c r="T129" s="35">
        <v>0.67708333333333337</v>
      </c>
      <c r="U129" s="31">
        <v>0.1</v>
      </c>
      <c r="V129" s="31">
        <v>0.53</v>
      </c>
      <c r="W129" s="31" t="s">
        <v>274</v>
      </c>
    </row>
    <row r="130" spans="1:23" x14ac:dyDescent="0.25">
      <c r="A130" s="30" t="s">
        <v>71</v>
      </c>
      <c r="B130" s="30" t="s">
        <v>90</v>
      </c>
      <c r="C130" s="30" t="s">
        <v>94</v>
      </c>
      <c r="D130" s="31" t="s">
        <v>20</v>
      </c>
      <c r="E130" s="31">
        <v>8178</v>
      </c>
      <c r="F130" s="31" t="s">
        <v>324</v>
      </c>
      <c r="G130" s="31" t="s">
        <v>39</v>
      </c>
      <c r="H130" s="31" t="s">
        <v>40</v>
      </c>
      <c r="I130" s="31">
        <v>50</v>
      </c>
      <c r="J130" s="32">
        <v>3945</v>
      </c>
      <c r="K130" s="31" t="s">
        <v>274</v>
      </c>
      <c r="L130" s="32">
        <v>191</v>
      </c>
      <c r="M130" s="32">
        <v>239</v>
      </c>
      <c r="N130" s="35">
        <v>0.30208333333333331</v>
      </c>
      <c r="O130" s="31">
        <v>0.11</v>
      </c>
      <c r="P130" s="31">
        <v>0.56000000000000005</v>
      </c>
      <c r="Q130" s="31" t="s">
        <v>274</v>
      </c>
      <c r="R130" s="32">
        <v>209</v>
      </c>
      <c r="S130" s="32">
        <v>189</v>
      </c>
      <c r="T130" s="35">
        <v>0.66666666666666663</v>
      </c>
      <c r="U130" s="31">
        <v>0.1</v>
      </c>
      <c r="V130" s="31">
        <v>0.53</v>
      </c>
      <c r="W130" s="31" t="s">
        <v>274</v>
      </c>
    </row>
    <row r="131" spans="1:23" x14ac:dyDescent="0.25">
      <c r="A131" s="30" t="s">
        <v>71</v>
      </c>
      <c r="B131" s="30" t="s">
        <v>90</v>
      </c>
      <c r="C131" s="30" t="s">
        <v>93</v>
      </c>
      <c r="D131" s="31" t="s">
        <v>20</v>
      </c>
      <c r="E131" s="31">
        <v>6</v>
      </c>
      <c r="F131" s="31" t="s">
        <v>324</v>
      </c>
      <c r="G131" s="31" t="s">
        <v>39</v>
      </c>
      <c r="H131" s="31" t="s">
        <v>40</v>
      </c>
      <c r="I131" s="31">
        <v>55</v>
      </c>
      <c r="J131" s="32">
        <v>3945</v>
      </c>
      <c r="K131" s="31" t="s">
        <v>274</v>
      </c>
      <c r="L131" s="32">
        <v>191</v>
      </c>
      <c r="M131" s="32">
        <v>239</v>
      </c>
      <c r="N131" s="35">
        <v>0.30208333333333331</v>
      </c>
      <c r="O131" s="31">
        <v>0.11</v>
      </c>
      <c r="P131" s="31">
        <v>0.56000000000000005</v>
      </c>
      <c r="Q131" s="31" t="s">
        <v>274</v>
      </c>
      <c r="R131" s="32">
        <v>209</v>
      </c>
      <c r="S131" s="32">
        <v>189</v>
      </c>
      <c r="T131" s="35">
        <v>0.66666666666666663</v>
      </c>
      <c r="U131" s="31">
        <v>0.1</v>
      </c>
      <c r="V131" s="31">
        <v>0.53</v>
      </c>
      <c r="W131" s="31" t="s">
        <v>274</v>
      </c>
    </row>
    <row r="132" spans="1:23" x14ac:dyDescent="0.25">
      <c r="A132" s="30" t="s">
        <v>71</v>
      </c>
      <c r="B132" s="30" t="s">
        <v>238</v>
      </c>
      <c r="C132" s="30" t="s">
        <v>239</v>
      </c>
      <c r="D132" s="31" t="s">
        <v>103</v>
      </c>
      <c r="E132" s="31">
        <v>980</v>
      </c>
      <c r="F132" s="31">
        <v>980</v>
      </c>
      <c r="G132" s="31" t="s">
        <v>25</v>
      </c>
      <c r="H132" s="31" t="s">
        <v>40</v>
      </c>
      <c r="I132" s="31">
        <v>35</v>
      </c>
      <c r="J132" s="32">
        <v>18213</v>
      </c>
      <c r="K132" s="31" t="s">
        <v>17</v>
      </c>
      <c r="L132" s="32">
        <v>689</v>
      </c>
      <c r="M132" s="32">
        <v>654</v>
      </c>
      <c r="N132" s="31" t="s">
        <v>350</v>
      </c>
      <c r="O132" s="31">
        <v>7.0000000000000007E-2</v>
      </c>
      <c r="P132" s="31">
        <v>0.51</v>
      </c>
      <c r="Q132" s="31" t="s">
        <v>274</v>
      </c>
      <c r="R132" s="32">
        <v>545</v>
      </c>
      <c r="S132" s="32">
        <v>760</v>
      </c>
      <c r="T132" s="31" t="s">
        <v>353</v>
      </c>
      <c r="U132" s="31">
        <v>7.0000000000000007E-2</v>
      </c>
      <c r="V132" s="31">
        <v>0.57999999999999996</v>
      </c>
      <c r="W132" s="31" t="s">
        <v>17</v>
      </c>
    </row>
    <row r="133" spans="1:23" x14ac:dyDescent="0.25">
      <c r="A133" s="30" t="s">
        <v>71</v>
      </c>
      <c r="B133" s="30" t="s">
        <v>240</v>
      </c>
      <c r="C133" s="30" t="s">
        <v>241</v>
      </c>
      <c r="D133" s="31" t="s">
        <v>103</v>
      </c>
      <c r="E133" s="31">
        <v>3</v>
      </c>
      <c r="F133" s="31">
        <v>3</v>
      </c>
      <c r="G133" s="31" t="s">
        <v>25</v>
      </c>
      <c r="H133" s="31" t="s">
        <v>40</v>
      </c>
      <c r="I133" s="31">
        <v>35</v>
      </c>
      <c r="J133" s="32">
        <v>19094</v>
      </c>
      <c r="K133" s="31" t="s">
        <v>17</v>
      </c>
      <c r="L133" s="32">
        <v>744</v>
      </c>
      <c r="M133" s="32">
        <v>770</v>
      </c>
      <c r="N133" s="31" t="s">
        <v>350</v>
      </c>
      <c r="O133" s="31">
        <v>0.08</v>
      </c>
      <c r="P133" s="31">
        <v>0.51</v>
      </c>
      <c r="Q133" s="31" t="s">
        <v>17</v>
      </c>
      <c r="R133" s="32">
        <v>549</v>
      </c>
      <c r="S133" s="32">
        <v>767</v>
      </c>
      <c r="T133" s="31" t="s">
        <v>353</v>
      </c>
      <c r="U133" s="31">
        <v>7.0000000000000007E-2</v>
      </c>
      <c r="V133" s="31">
        <v>0.57999999999999996</v>
      </c>
      <c r="W133" s="31" t="s">
        <v>17</v>
      </c>
    </row>
    <row r="134" spans="1:23" x14ac:dyDescent="0.25">
      <c r="A134" s="30" t="s">
        <v>12</v>
      </c>
      <c r="B134" s="30" t="s">
        <v>13</v>
      </c>
      <c r="C134" s="30" t="s">
        <v>242</v>
      </c>
      <c r="D134" s="31" t="s">
        <v>103</v>
      </c>
      <c r="E134" s="31">
        <v>608</v>
      </c>
      <c r="F134" s="31">
        <v>608</v>
      </c>
      <c r="G134" s="31" t="s">
        <v>16</v>
      </c>
      <c r="H134" s="31" t="s">
        <v>17</v>
      </c>
      <c r="I134" s="31">
        <v>45</v>
      </c>
      <c r="J134" s="32">
        <v>41214</v>
      </c>
      <c r="K134" s="31" t="s">
        <v>274</v>
      </c>
      <c r="L134" s="32">
        <v>1628</v>
      </c>
      <c r="M134" s="32">
        <v>1059</v>
      </c>
      <c r="N134" s="31" t="s">
        <v>350</v>
      </c>
      <c r="O134" s="31">
        <v>7.0000000000000007E-2</v>
      </c>
      <c r="P134" s="31">
        <v>0.61</v>
      </c>
      <c r="Q134" s="31" t="s">
        <v>274</v>
      </c>
      <c r="R134" s="32">
        <v>1431</v>
      </c>
      <c r="S134" s="32">
        <v>1781</v>
      </c>
      <c r="T134" s="31" t="s">
        <v>353</v>
      </c>
      <c r="U134" s="31">
        <v>0.08</v>
      </c>
      <c r="V134" s="31">
        <v>0.55000000000000004</v>
      </c>
      <c r="W134" s="31" t="s">
        <v>274</v>
      </c>
    </row>
    <row r="135" spans="1:23" x14ac:dyDescent="0.25">
      <c r="A135" s="30" t="s">
        <v>12</v>
      </c>
      <c r="B135" s="30" t="s">
        <v>13</v>
      </c>
      <c r="C135" s="30" t="s">
        <v>14</v>
      </c>
      <c r="D135" s="31" t="s">
        <v>15</v>
      </c>
      <c r="E135" s="31">
        <v>607</v>
      </c>
      <c r="F135" s="31">
        <v>295</v>
      </c>
      <c r="G135" s="31" t="s">
        <v>16</v>
      </c>
      <c r="H135" s="31" t="s">
        <v>17</v>
      </c>
      <c r="I135" s="31">
        <v>45</v>
      </c>
      <c r="J135" s="32">
        <v>44041</v>
      </c>
      <c r="K135" s="31" t="s">
        <v>274</v>
      </c>
      <c r="L135" s="32">
        <v>1744</v>
      </c>
      <c r="M135" s="32">
        <v>1411</v>
      </c>
      <c r="N135" s="31" t="s">
        <v>351</v>
      </c>
      <c r="O135" s="31">
        <v>7.0000000000000007E-2</v>
      </c>
      <c r="P135" s="31">
        <v>0.55000000000000004</v>
      </c>
      <c r="Q135" s="31" t="s">
        <v>274</v>
      </c>
      <c r="R135" s="32">
        <v>1789</v>
      </c>
      <c r="S135" s="32">
        <v>1964</v>
      </c>
      <c r="T135" s="31" t="s">
        <v>353</v>
      </c>
      <c r="U135" s="31">
        <v>0.09</v>
      </c>
      <c r="V135" s="31">
        <v>0.52</v>
      </c>
      <c r="W135" s="31" t="s">
        <v>274</v>
      </c>
    </row>
    <row r="136" spans="1:23" x14ac:dyDescent="0.25">
      <c r="A136" s="30" t="s">
        <v>12</v>
      </c>
      <c r="B136" s="30" t="s">
        <v>13</v>
      </c>
      <c r="C136" s="30" t="s">
        <v>18</v>
      </c>
      <c r="D136" s="31" t="s">
        <v>15</v>
      </c>
      <c r="E136" s="31">
        <v>620</v>
      </c>
      <c r="F136" s="31">
        <v>295</v>
      </c>
      <c r="G136" s="31" t="s">
        <v>16</v>
      </c>
      <c r="H136" s="31" t="s">
        <v>17</v>
      </c>
      <c r="I136" s="31">
        <v>45</v>
      </c>
      <c r="J136" s="32">
        <v>44041</v>
      </c>
      <c r="K136" s="31" t="s">
        <v>274</v>
      </c>
      <c r="L136" s="32">
        <v>1744</v>
      </c>
      <c r="M136" s="32">
        <v>1411</v>
      </c>
      <c r="N136" s="35">
        <v>0.30208333333333331</v>
      </c>
      <c r="O136" s="31">
        <v>7.0000000000000007E-2</v>
      </c>
      <c r="P136" s="31">
        <v>0.55000000000000004</v>
      </c>
      <c r="Q136" s="31" t="s">
        <v>274</v>
      </c>
      <c r="R136" s="32">
        <v>1789</v>
      </c>
      <c r="S136" s="32">
        <v>1964</v>
      </c>
      <c r="T136" s="35">
        <v>0.71875</v>
      </c>
      <c r="U136" s="31">
        <v>0.09</v>
      </c>
      <c r="V136" s="31">
        <v>0.52</v>
      </c>
      <c r="W136" s="31" t="s">
        <v>274</v>
      </c>
    </row>
    <row r="137" spans="1:23" x14ac:dyDescent="0.25">
      <c r="A137" s="30" t="s">
        <v>12</v>
      </c>
      <c r="B137" s="30" t="s">
        <v>13</v>
      </c>
      <c r="C137" s="30" t="s">
        <v>19</v>
      </c>
      <c r="D137" s="31" t="s">
        <v>20</v>
      </c>
      <c r="E137" s="31">
        <v>621</v>
      </c>
      <c r="F137" s="31" t="s">
        <v>325</v>
      </c>
      <c r="G137" s="31" t="s">
        <v>16</v>
      </c>
      <c r="H137" s="31" t="s">
        <v>17</v>
      </c>
      <c r="I137" s="31">
        <v>45</v>
      </c>
      <c r="J137" s="32">
        <v>44041</v>
      </c>
      <c r="K137" s="31" t="s">
        <v>274</v>
      </c>
      <c r="L137" s="32">
        <v>1744</v>
      </c>
      <c r="M137" s="32">
        <v>1411</v>
      </c>
      <c r="N137" s="35">
        <v>0.29166666666666669</v>
      </c>
      <c r="O137" s="31">
        <v>7.0000000000000007E-2</v>
      </c>
      <c r="P137" s="31">
        <v>0.55000000000000004</v>
      </c>
      <c r="Q137" s="31" t="s">
        <v>274</v>
      </c>
      <c r="R137" s="32">
        <v>1789</v>
      </c>
      <c r="S137" s="32">
        <v>1964</v>
      </c>
      <c r="T137" s="35">
        <v>0.70833333333333337</v>
      </c>
      <c r="U137" s="31">
        <v>0.09</v>
      </c>
      <c r="V137" s="31">
        <v>0.52</v>
      </c>
      <c r="W137" s="31" t="s">
        <v>274</v>
      </c>
    </row>
    <row r="138" spans="1:23" x14ac:dyDescent="0.25">
      <c r="A138" s="30" t="s">
        <v>12</v>
      </c>
      <c r="B138" s="30" t="s">
        <v>13</v>
      </c>
      <c r="C138" s="30" t="s">
        <v>21</v>
      </c>
      <c r="D138" s="31" t="s">
        <v>20</v>
      </c>
      <c r="E138" s="31">
        <v>622</v>
      </c>
      <c r="F138" s="31" t="s">
        <v>326</v>
      </c>
      <c r="G138" s="31" t="s">
        <v>22</v>
      </c>
      <c r="H138" s="31" t="s">
        <v>17</v>
      </c>
      <c r="I138" s="31">
        <v>45</v>
      </c>
      <c r="J138" s="32">
        <v>56744</v>
      </c>
      <c r="K138" s="31" t="s">
        <v>274</v>
      </c>
      <c r="L138" s="32">
        <v>2306</v>
      </c>
      <c r="M138" s="32">
        <v>1753</v>
      </c>
      <c r="N138" s="31" t="s">
        <v>350</v>
      </c>
      <c r="O138" s="31">
        <v>7.0000000000000007E-2</v>
      </c>
      <c r="P138" s="31">
        <v>0.56999999999999995</v>
      </c>
      <c r="Q138" s="31" t="s">
        <v>274</v>
      </c>
      <c r="R138" s="32">
        <v>2139</v>
      </c>
      <c r="S138" s="32">
        <v>2289</v>
      </c>
      <c r="T138" s="31" t="s">
        <v>353</v>
      </c>
      <c r="U138" s="31">
        <v>0.08</v>
      </c>
      <c r="V138" s="31">
        <v>0.52</v>
      </c>
      <c r="W138" s="31" t="s">
        <v>274</v>
      </c>
    </row>
    <row r="139" spans="1:23" x14ac:dyDescent="0.25">
      <c r="A139" s="30" t="s">
        <v>71</v>
      </c>
      <c r="B139" s="30" t="s">
        <v>230</v>
      </c>
      <c r="C139" s="30" t="s">
        <v>232</v>
      </c>
      <c r="D139" s="31" t="s">
        <v>103</v>
      </c>
      <c r="E139" s="31">
        <v>601</v>
      </c>
      <c r="F139" s="31">
        <v>601</v>
      </c>
      <c r="G139" s="31" t="s">
        <v>39</v>
      </c>
      <c r="H139" s="31" t="s">
        <v>40</v>
      </c>
      <c r="I139" s="31">
        <v>40</v>
      </c>
      <c r="J139" s="32">
        <v>5175</v>
      </c>
      <c r="K139" s="31" t="s">
        <v>274</v>
      </c>
      <c r="L139" s="32">
        <v>325</v>
      </c>
      <c r="M139" s="32">
        <v>108</v>
      </c>
      <c r="N139" s="31" t="s">
        <v>350</v>
      </c>
      <c r="O139" s="31">
        <v>0.08</v>
      </c>
      <c r="P139" s="31">
        <v>0.75</v>
      </c>
      <c r="Q139" s="31" t="s">
        <v>274</v>
      </c>
      <c r="R139" s="32">
        <v>193</v>
      </c>
      <c r="S139" s="32">
        <v>320</v>
      </c>
      <c r="T139" s="31" t="s">
        <v>353</v>
      </c>
      <c r="U139" s="31">
        <v>0.1</v>
      </c>
      <c r="V139" s="31">
        <v>0.62</v>
      </c>
      <c r="W139" s="31" t="s">
        <v>274</v>
      </c>
    </row>
    <row r="140" spans="1:23" x14ac:dyDescent="0.25">
      <c r="A140" s="30" t="s">
        <v>71</v>
      </c>
      <c r="B140" s="30" t="s">
        <v>230</v>
      </c>
      <c r="C140" s="30" t="s">
        <v>231</v>
      </c>
      <c r="D140" s="31" t="s">
        <v>103</v>
      </c>
      <c r="E140" s="31">
        <v>600</v>
      </c>
      <c r="F140" s="31">
        <v>600</v>
      </c>
      <c r="G140" s="31" t="s">
        <v>39</v>
      </c>
      <c r="H140" s="31" t="s">
        <v>40</v>
      </c>
      <c r="I140" s="31">
        <v>40</v>
      </c>
      <c r="J140" s="32">
        <v>4129</v>
      </c>
      <c r="K140" s="31" t="s">
        <v>274</v>
      </c>
      <c r="L140" s="32">
        <v>275</v>
      </c>
      <c r="M140" s="32">
        <v>80</v>
      </c>
      <c r="N140" s="31" t="s">
        <v>350</v>
      </c>
      <c r="O140" s="31">
        <v>0.09</v>
      </c>
      <c r="P140" s="31">
        <v>0.77</v>
      </c>
      <c r="Q140" s="31" t="s">
        <v>274</v>
      </c>
      <c r="R140" s="32">
        <v>163</v>
      </c>
      <c r="S140" s="32">
        <v>260</v>
      </c>
      <c r="T140" s="31" t="s">
        <v>352</v>
      </c>
      <c r="U140" s="31">
        <v>0.1</v>
      </c>
      <c r="V140" s="31">
        <v>0.61</v>
      </c>
      <c r="W140" s="31" t="s">
        <v>274</v>
      </c>
    </row>
    <row r="141" spans="1:23" x14ac:dyDescent="0.25">
      <c r="A141" s="30" t="s">
        <v>71</v>
      </c>
      <c r="B141" s="30" t="s">
        <v>233</v>
      </c>
      <c r="C141" s="30" t="s">
        <v>234</v>
      </c>
      <c r="D141" s="31" t="s">
        <v>103</v>
      </c>
      <c r="E141" s="31">
        <v>507</v>
      </c>
      <c r="F141" s="31">
        <v>507</v>
      </c>
      <c r="G141" s="31" t="s">
        <v>39</v>
      </c>
      <c r="H141" s="31" t="s">
        <v>40</v>
      </c>
      <c r="I141" s="31">
        <v>35</v>
      </c>
      <c r="J141" s="32">
        <v>3864</v>
      </c>
      <c r="K141" s="31" t="s">
        <v>274</v>
      </c>
      <c r="L141" s="32">
        <v>79</v>
      </c>
      <c r="M141" s="32">
        <v>173</v>
      </c>
      <c r="N141" s="31" t="s">
        <v>350</v>
      </c>
      <c r="O141" s="31">
        <v>7.0000000000000007E-2</v>
      </c>
      <c r="P141" s="31">
        <v>0.69</v>
      </c>
      <c r="Q141" s="31" t="s">
        <v>274</v>
      </c>
      <c r="R141" s="32">
        <v>221</v>
      </c>
      <c r="S141" s="32">
        <v>128</v>
      </c>
      <c r="T141" s="31" t="s">
        <v>353</v>
      </c>
      <c r="U141" s="31">
        <v>0.09</v>
      </c>
      <c r="V141" s="31">
        <v>0.63</v>
      </c>
      <c r="W141" s="31" t="s">
        <v>274</v>
      </c>
    </row>
    <row r="142" spans="1:23" x14ac:dyDescent="0.25">
      <c r="A142" s="30" t="s">
        <v>71</v>
      </c>
      <c r="B142" s="30" t="s">
        <v>235</v>
      </c>
      <c r="C142" s="30" t="s">
        <v>236</v>
      </c>
      <c r="D142" s="31" t="s">
        <v>103</v>
      </c>
      <c r="E142" s="31">
        <v>701</v>
      </c>
      <c r="F142" s="31">
        <v>701</v>
      </c>
      <c r="G142" s="31" t="s">
        <v>39</v>
      </c>
      <c r="H142" s="31" t="s">
        <v>40</v>
      </c>
      <c r="I142" s="31">
        <v>45</v>
      </c>
      <c r="J142" s="32">
        <v>2015</v>
      </c>
      <c r="K142" s="31" t="s">
        <v>274</v>
      </c>
      <c r="L142" s="32">
        <v>61</v>
      </c>
      <c r="M142" s="32">
        <v>73</v>
      </c>
      <c r="N142" s="35">
        <v>0.3125</v>
      </c>
      <c r="O142" s="31">
        <v>7.0000000000000007E-2</v>
      </c>
      <c r="P142" s="31">
        <v>0.54</v>
      </c>
      <c r="Q142" s="31" t="s">
        <v>274</v>
      </c>
      <c r="R142" s="32">
        <v>96</v>
      </c>
      <c r="S142" s="32">
        <v>94</v>
      </c>
      <c r="T142" s="35">
        <v>0.69791666666666663</v>
      </c>
      <c r="U142" s="31">
        <v>0.09</v>
      </c>
      <c r="V142" s="31">
        <v>0.51</v>
      </c>
      <c r="W142" s="31" t="s">
        <v>274</v>
      </c>
    </row>
    <row r="143" spans="1:23" x14ac:dyDescent="0.25">
      <c r="A143" s="30" t="s">
        <v>36</v>
      </c>
      <c r="B143" s="30" t="s">
        <v>56</v>
      </c>
      <c r="C143" s="30" t="s">
        <v>49</v>
      </c>
      <c r="D143" s="31" t="s">
        <v>103</v>
      </c>
      <c r="E143" s="31">
        <v>656</v>
      </c>
      <c r="F143" s="31">
        <v>656</v>
      </c>
      <c r="G143" s="31" t="s">
        <v>39</v>
      </c>
      <c r="H143" s="31" t="s">
        <v>40</v>
      </c>
      <c r="I143" s="31">
        <v>45</v>
      </c>
      <c r="J143" s="32">
        <v>8522</v>
      </c>
      <c r="K143" s="31" t="s">
        <v>274</v>
      </c>
      <c r="L143" s="32">
        <v>313</v>
      </c>
      <c r="M143" s="32">
        <v>296</v>
      </c>
      <c r="N143" s="35">
        <v>0.3125</v>
      </c>
      <c r="O143" s="31">
        <v>7.0000000000000007E-2</v>
      </c>
      <c r="P143" s="31">
        <v>0.51</v>
      </c>
      <c r="Q143" s="31" t="s">
        <v>274</v>
      </c>
      <c r="R143" s="32">
        <v>353</v>
      </c>
      <c r="S143" s="32">
        <v>420</v>
      </c>
      <c r="T143" s="35">
        <v>0.69791666666666663</v>
      </c>
      <c r="U143" s="31">
        <v>0.09</v>
      </c>
      <c r="V143" s="31">
        <v>0.54</v>
      </c>
      <c r="W143" s="31" t="s">
        <v>274</v>
      </c>
    </row>
    <row r="144" spans="1:23" x14ac:dyDescent="0.25">
      <c r="A144" s="30" t="s">
        <v>36</v>
      </c>
      <c r="B144" s="30" t="s">
        <v>56</v>
      </c>
      <c r="C144" s="30" t="s">
        <v>57</v>
      </c>
      <c r="D144" s="31" t="s">
        <v>20</v>
      </c>
      <c r="E144" s="31">
        <v>7006</v>
      </c>
      <c r="F144" s="31" t="s">
        <v>327</v>
      </c>
      <c r="G144" s="31" t="s">
        <v>39</v>
      </c>
      <c r="H144" s="31" t="s">
        <v>40</v>
      </c>
      <c r="I144" s="31">
        <v>45</v>
      </c>
      <c r="J144" s="32">
        <v>10248</v>
      </c>
      <c r="K144" s="31" t="s">
        <v>274</v>
      </c>
      <c r="L144" s="32">
        <v>380</v>
      </c>
      <c r="M144" s="32">
        <v>336</v>
      </c>
      <c r="N144" s="35">
        <v>0.3125</v>
      </c>
      <c r="O144" s="31">
        <v>7.0000000000000007E-2</v>
      </c>
      <c r="P144" s="31">
        <v>0.53</v>
      </c>
      <c r="Q144" s="31" t="s">
        <v>274</v>
      </c>
      <c r="R144" s="32">
        <v>427</v>
      </c>
      <c r="S144" s="32">
        <v>437</v>
      </c>
      <c r="T144" s="35">
        <v>0.69791666666666663</v>
      </c>
      <c r="U144" s="31">
        <v>0.08</v>
      </c>
      <c r="V144" s="31">
        <v>0.51</v>
      </c>
      <c r="W144" s="31" t="s">
        <v>274</v>
      </c>
    </row>
    <row r="145" spans="1:23" x14ac:dyDescent="0.25">
      <c r="A145" s="30" t="s">
        <v>36</v>
      </c>
      <c r="B145" s="30" t="s">
        <v>56</v>
      </c>
      <c r="C145" s="30" t="s">
        <v>237</v>
      </c>
      <c r="D145" s="31" t="s">
        <v>103</v>
      </c>
      <c r="E145" s="31">
        <v>605</v>
      </c>
      <c r="F145" s="31">
        <v>605</v>
      </c>
      <c r="G145" s="31" t="s">
        <v>61</v>
      </c>
      <c r="H145" s="31" t="s">
        <v>40</v>
      </c>
      <c r="I145" s="31">
        <v>35</v>
      </c>
      <c r="J145" s="32">
        <v>9915</v>
      </c>
      <c r="K145" s="31" t="s">
        <v>274</v>
      </c>
      <c r="L145" s="32">
        <v>285</v>
      </c>
      <c r="M145" s="32">
        <v>270</v>
      </c>
      <c r="N145" s="35">
        <v>0.3125</v>
      </c>
      <c r="O145" s="31">
        <v>0.06</v>
      </c>
      <c r="P145" s="31">
        <v>0.51</v>
      </c>
      <c r="Q145" s="31" t="s">
        <v>274</v>
      </c>
      <c r="R145" s="32">
        <v>447</v>
      </c>
      <c r="S145" s="32">
        <v>417</v>
      </c>
      <c r="T145" s="35">
        <v>0.69791666666666663</v>
      </c>
      <c r="U145" s="31">
        <v>0.09</v>
      </c>
      <c r="V145" s="31">
        <v>0.52</v>
      </c>
      <c r="W145" s="31" t="s">
        <v>274</v>
      </c>
    </row>
    <row r="146" spans="1:23" x14ac:dyDescent="0.25">
      <c r="A146" s="30" t="s">
        <v>36</v>
      </c>
      <c r="B146" s="30" t="s">
        <v>56</v>
      </c>
      <c r="C146" s="30" t="s">
        <v>58</v>
      </c>
      <c r="D146" s="31" t="s">
        <v>20</v>
      </c>
      <c r="E146" s="31">
        <v>7007</v>
      </c>
      <c r="F146" s="31" t="s">
        <v>328</v>
      </c>
      <c r="G146" s="31" t="s">
        <v>39</v>
      </c>
      <c r="H146" s="31" t="s">
        <v>40</v>
      </c>
      <c r="I146" s="31">
        <v>45</v>
      </c>
      <c r="J146" s="32">
        <v>10897</v>
      </c>
      <c r="K146" s="31" t="s">
        <v>274</v>
      </c>
      <c r="L146" s="32">
        <v>447</v>
      </c>
      <c r="M146" s="32">
        <v>313</v>
      </c>
      <c r="N146" s="31" t="s">
        <v>351</v>
      </c>
      <c r="O146" s="31">
        <v>7.0000000000000007E-2</v>
      </c>
      <c r="P146" s="31">
        <v>0.59</v>
      </c>
      <c r="Q146" s="31" t="s">
        <v>274</v>
      </c>
      <c r="R146" s="32">
        <v>438</v>
      </c>
      <c r="S146" s="32">
        <v>477</v>
      </c>
      <c r="T146" s="31" t="s">
        <v>353</v>
      </c>
      <c r="U146" s="31">
        <v>0.08</v>
      </c>
      <c r="V146" s="31">
        <v>0.52</v>
      </c>
      <c r="W146" s="31" t="s">
        <v>274</v>
      </c>
    </row>
    <row r="147" spans="1:23" x14ac:dyDescent="0.25">
      <c r="A147" s="30" t="s">
        <v>71</v>
      </c>
      <c r="B147" s="30" t="s">
        <v>243</v>
      </c>
      <c r="C147" s="30" t="s">
        <v>244</v>
      </c>
      <c r="D147" s="31" t="s">
        <v>103</v>
      </c>
      <c r="E147" s="31">
        <v>521</v>
      </c>
      <c r="F147" s="31">
        <v>521</v>
      </c>
      <c r="G147" s="31" t="s">
        <v>39</v>
      </c>
      <c r="H147" s="31" t="s">
        <v>40</v>
      </c>
      <c r="I147" s="31">
        <v>30</v>
      </c>
      <c r="J147" s="32">
        <v>3600</v>
      </c>
      <c r="K147" s="31" t="s">
        <v>274</v>
      </c>
      <c r="L147" s="32">
        <v>232</v>
      </c>
      <c r="M147" s="32">
        <v>131</v>
      </c>
      <c r="N147" s="31" t="s">
        <v>351</v>
      </c>
      <c r="O147" s="31">
        <v>0.1</v>
      </c>
      <c r="P147" s="31">
        <v>0.64</v>
      </c>
      <c r="Q147" s="31" t="s">
        <v>274</v>
      </c>
      <c r="R147" s="32">
        <v>134</v>
      </c>
      <c r="S147" s="32">
        <v>161</v>
      </c>
      <c r="T147" s="31" t="s">
        <v>353</v>
      </c>
      <c r="U147" s="31">
        <v>0.08</v>
      </c>
      <c r="V147" s="31">
        <v>0.55000000000000004</v>
      </c>
      <c r="W147" s="31" t="s">
        <v>274</v>
      </c>
    </row>
    <row r="148" spans="1:23" x14ac:dyDescent="0.25">
      <c r="A148" s="30" t="s">
        <v>71</v>
      </c>
      <c r="B148" s="30" t="s">
        <v>245</v>
      </c>
      <c r="C148" s="30" t="s">
        <v>246</v>
      </c>
      <c r="D148" s="31" t="s">
        <v>103</v>
      </c>
      <c r="E148" s="31">
        <v>611</v>
      </c>
      <c r="F148" s="31">
        <v>611</v>
      </c>
      <c r="G148" s="31" t="s">
        <v>39</v>
      </c>
      <c r="H148" s="31" t="s">
        <v>40</v>
      </c>
      <c r="I148" s="31">
        <v>30</v>
      </c>
      <c r="J148" s="32">
        <v>1044</v>
      </c>
      <c r="K148" s="31" t="s">
        <v>274</v>
      </c>
      <c r="L148" s="32">
        <v>33</v>
      </c>
      <c r="M148" s="32">
        <v>39</v>
      </c>
      <c r="N148" s="31" t="s">
        <v>351</v>
      </c>
      <c r="O148" s="31">
        <v>7.0000000000000007E-2</v>
      </c>
      <c r="P148" s="31">
        <v>0.54</v>
      </c>
      <c r="Q148" s="31" t="s">
        <v>274</v>
      </c>
      <c r="R148" s="32">
        <v>63</v>
      </c>
      <c r="S148" s="32">
        <v>53</v>
      </c>
      <c r="T148" s="31" t="s">
        <v>352</v>
      </c>
      <c r="U148" s="31">
        <v>0.11</v>
      </c>
      <c r="V148" s="31">
        <v>0.54</v>
      </c>
      <c r="W148" s="31" t="s">
        <v>274</v>
      </c>
    </row>
    <row r="149" spans="1:23" x14ac:dyDescent="0.25">
      <c r="A149" s="30" t="s">
        <v>71</v>
      </c>
      <c r="B149" s="30" t="s">
        <v>95</v>
      </c>
      <c r="C149" s="30" t="s">
        <v>62</v>
      </c>
      <c r="D149" s="31" t="s">
        <v>20</v>
      </c>
      <c r="E149" s="31">
        <v>24</v>
      </c>
      <c r="F149" s="31" t="s">
        <v>329</v>
      </c>
      <c r="G149" s="31" t="s">
        <v>39</v>
      </c>
      <c r="H149" s="31" t="s">
        <v>40</v>
      </c>
      <c r="I149" s="31">
        <v>35</v>
      </c>
      <c r="J149" s="32">
        <v>11626</v>
      </c>
      <c r="K149" s="31" t="s">
        <v>17</v>
      </c>
      <c r="L149" s="32">
        <v>351</v>
      </c>
      <c r="M149" s="32">
        <v>644</v>
      </c>
      <c r="N149" s="35">
        <v>0.3125</v>
      </c>
      <c r="O149" s="31">
        <v>0.09</v>
      </c>
      <c r="P149" s="31">
        <v>0.65</v>
      </c>
      <c r="Q149" s="31" t="s">
        <v>17</v>
      </c>
      <c r="R149" s="32">
        <v>670</v>
      </c>
      <c r="S149" s="32">
        <v>412</v>
      </c>
      <c r="T149" s="35">
        <v>0.73958333333333337</v>
      </c>
      <c r="U149" s="31">
        <v>0.09</v>
      </c>
      <c r="V149" s="31">
        <v>0.62</v>
      </c>
      <c r="W149" s="31" t="s">
        <v>17</v>
      </c>
    </row>
    <row r="150" spans="1:23" x14ac:dyDescent="0.25">
      <c r="A150" s="30" t="s">
        <v>71</v>
      </c>
      <c r="B150" s="30" t="s">
        <v>95</v>
      </c>
      <c r="C150" s="30" t="s">
        <v>60</v>
      </c>
      <c r="D150" s="31" t="s">
        <v>20</v>
      </c>
      <c r="E150" s="31">
        <v>429</v>
      </c>
      <c r="F150" s="31" t="s">
        <v>330</v>
      </c>
      <c r="G150" s="31" t="s">
        <v>39</v>
      </c>
      <c r="H150" s="31" t="s">
        <v>40</v>
      </c>
      <c r="I150" s="31">
        <v>45</v>
      </c>
      <c r="J150" s="32">
        <v>10443</v>
      </c>
      <c r="K150" s="31" t="s">
        <v>274</v>
      </c>
      <c r="L150" s="32">
        <v>329</v>
      </c>
      <c r="M150" s="32">
        <v>605</v>
      </c>
      <c r="N150" s="35">
        <v>0.30208333333333331</v>
      </c>
      <c r="O150" s="31">
        <v>0.09</v>
      </c>
      <c r="P150" s="31">
        <v>0.65</v>
      </c>
      <c r="Q150" s="31" t="s">
        <v>274</v>
      </c>
      <c r="R150" s="32">
        <v>545</v>
      </c>
      <c r="S150" s="32">
        <v>495</v>
      </c>
      <c r="T150" s="35">
        <v>0.71875</v>
      </c>
      <c r="U150" s="31">
        <v>0.1</v>
      </c>
      <c r="V150" s="31">
        <v>0.52</v>
      </c>
      <c r="W150" s="31" t="s">
        <v>274</v>
      </c>
    </row>
    <row r="151" spans="1:23" x14ac:dyDescent="0.25">
      <c r="A151" s="30" t="s">
        <v>12</v>
      </c>
      <c r="B151" s="30" t="s">
        <v>23</v>
      </c>
      <c r="C151" s="30" t="s">
        <v>212</v>
      </c>
      <c r="D151" s="31" t="s">
        <v>103</v>
      </c>
      <c r="E151" s="31">
        <v>552</v>
      </c>
      <c r="F151" s="31">
        <v>552</v>
      </c>
      <c r="G151" s="31" t="s">
        <v>31</v>
      </c>
      <c r="H151" s="31" t="s">
        <v>17</v>
      </c>
      <c r="I151" s="31">
        <v>45</v>
      </c>
      <c r="J151" s="32">
        <v>39455</v>
      </c>
      <c r="K151" s="31" t="s">
        <v>272</v>
      </c>
      <c r="L151" s="32">
        <v>1291</v>
      </c>
      <c r="M151" s="32">
        <v>1466</v>
      </c>
      <c r="N151" s="35">
        <v>0.30208333333333331</v>
      </c>
      <c r="O151" s="31">
        <v>7.0000000000000007E-2</v>
      </c>
      <c r="P151" s="31">
        <v>0.53</v>
      </c>
      <c r="Q151" s="31" t="s">
        <v>272</v>
      </c>
      <c r="R151" s="32">
        <v>1511</v>
      </c>
      <c r="S151" s="32">
        <v>1207</v>
      </c>
      <c r="T151" s="35">
        <v>0.70833333333333337</v>
      </c>
      <c r="U151" s="31">
        <v>7.0000000000000007E-2</v>
      </c>
      <c r="V151" s="31">
        <v>0.56000000000000005</v>
      </c>
      <c r="W151" s="31" t="s">
        <v>272</v>
      </c>
    </row>
    <row r="152" spans="1:23" x14ac:dyDescent="0.25">
      <c r="A152" s="30" t="s">
        <v>12</v>
      </c>
      <c r="B152" s="30" t="s">
        <v>23</v>
      </c>
      <c r="C152" s="30" t="s">
        <v>28</v>
      </c>
      <c r="D152" s="31" t="s">
        <v>20</v>
      </c>
      <c r="E152" s="31">
        <v>82.1</v>
      </c>
      <c r="F152" s="31" t="s">
        <v>331</v>
      </c>
      <c r="G152" s="31" t="s">
        <v>25</v>
      </c>
      <c r="H152" s="31" t="s">
        <v>17</v>
      </c>
      <c r="I152" s="31">
        <v>45</v>
      </c>
      <c r="J152" s="32">
        <v>34862</v>
      </c>
      <c r="K152" s="31" t="s">
        <v>272</v>
      </c>
      <c r="L152" s="32">
        <v>1077</v>
      </c>
      <c r="M152" s="32">
        <v>1372</v>
      </c>
      <c r="N152" s="35">
        <v>0.30208333333333331</v>
      </c>
      <c r="O152" s="31">
        <v>7.0000000000000007E-2</v>
      </c>
      <c r="P152" s="31">
        <v>0.56000000000000005</v>
      </c>
      <c r="Q152" s="31" t="s">
        <v>272</v>
      </c>
      <c r="R152" s="32">
        <v>1351</v>
      </c>
      <c r="S152" s="32">
        <v>1297</v>
      </c>
      <c r="T152" s="35">
        <v>0.70833333333333337</v>
      </c>
      <c r="U152" s="31">
        <v>0.08</v>
      </c>
      <c r="V152" s="31">
        <v>0.51</v>
      </c>
      <c r="W152" s="31" t="s">
        <v>272</v>
      </c>
    </row>
    <row r="153" spans="1:23" x14ac:dyDescent="0.25">
      <c r="A153" s="30" t="s">
        <v>12</v>
      </c>
      <c r="B153" s="30" t="s">
        <v>23</v>
      </c>
      <c r="C153" s="30" t="s">
        <v>247</v>
      </c>
      <c r="D153" s="31" t="s">
        <v>103</v>
      </c>
      <c r="E153" s="31">
        <v>661</v>
      </c>
      <c r="F153" s="31">
        <v>661</v>
      </c>
      <c r="G153" s="31" t="s">
        <v>25</v>
      </c>
      <c r="H153" s="31" t="s">
        <v>17</v>
      </c>
      <c r="I153" s="31">
        <v>45</v>
      </c>
      <c r="J153" s="32">
        <v>24396</v>
      </c>
      <c r="K153" s="31" t="s">
        <v>274</v>
      </c>
      <c r="L153" s="32">
        <v>1305</v>
      </c>
      <c r="M153" s="32">
        <v>556</v>
      </c>
      <c r="N153" s="35">
        <v>0.28125</v>
      </c>
      <c r="O153" s="31">
        <v>0.08</v>
      </c>
      <c r="P153" s="31">
        <v>0.7</v>
      </c>
      <c r="Q153" s="31" t="s">
        <v>274</v>
      </c>
      <c r="R153" s="32">
        <v>730</v>
      </c>
      <c r="S153" s="32">
        <v>912</v>
      </c>
      <c r="T153" s="35">
        <v>0.6875</v>
      </c>
      <c r="U153" s="31">
        <v>7.0000000000000007E-2</v>
      </c>
      <c r="V153" s="31">
        <v>0.56000000000000005</v>
      </c>
      <c r="W153" s="31" t="s">
        <v>274</v>
      </c>
    </row>
    <row r="154" spans="1:23" x14ac:dyDescent="0.25">
      <c r="A154" s="30" t="s">
        <v>12</v>
      </c>
      <c r="B154" s="30" t="s">
        <v>23</v>
      </c>
      <c r="C154" s="30" t="s">
        <v>248</v>
      </c>
      <c r="D154" s="31" t="s">
        <v>103</v>
      </c>
      <c r="E154" s="31">
        <v>530</v>
      </c>
      <c r="F154" s="31">
        <v>530</v>
      </c>
      <c r="G154" s="31" t="s">
        <v>25</v>
      </c>
      <c r="H154" s="31" t="s">
        <v>17</v>
      </c>
      <c r="I154" s="31">
        <v>55</v>
      </c>
      <c r="J154" s="32">
        <v>42264</v>
      </c>
      <c r="K154" s="31" t="s">
        <v>272</v>
      </c>
      <c r="L154" s="32">
        <v>2150</v>
      </c>
      <c r="M154" s="32">
        <v>1726</v>
      </c>
      <c r="N154" s="35">
        <v>0.28125</v>
      </c>
      <c r="O154" s="31">
        <v>0.09</v>
      </c>
      <c r="P154" s="31">
        <v>0.55000000000000004</v>
      </c>
      <c r="Q154" s="31" t="s">
        <v>272</v>
      </c>
      <c r="R154" s="32">
        <v>1253</v>
      </c>
      <c r="S154" s="32">
        <v>1860</v>
      </c>
      <c r="T154" s="35">
        <v>0.6875</v>
      </c>
      <c r="U154" s="31">
        <v>7.0000000000000007E-2</v>
      </c>
      <c r="V154" s="31">
        <v>0.6</v>
      </c>
      <c r="W154" s="31" t="s">
        <v>272</v>
      </c>
    </row>
    <row r="155" spans="1:23" x14ac:dyDescent="0.25">
      <c r="A155" s="30" t="s">
        <v>12</v>
      </c>
      <c r="B155" s="30" t="s">
        <v>23</v>
      </c>
      <c r="C155" s="30" t="s">
        <v>250</v>
      </c>
      <c r="D155" s="31" t="s">
        <v>103</v>
      </c>
      <c r="E155" s="31">
        <v>609</v>
      </c>
      <c r="F155" s="31">
        <v>609</v>
      </c>
      <c r="G155" s="31" t="s">
        <v>31</v>
      </c>
      <c r="H155" s="31" t="s">
        <v>17</v>
      </c>
      <c r="I155" s="31">
        <v>35</v>
      </c>
      <c r="J155" s="32">
        <v>49066</v>
      </c>
      <c r="K155" s="31" t="s">
        <v>272</v>
      </c>
      <c r="L155" s="32">
        <v>2054</v>
      </c>
      <c r="M155" s="32">
        <v>1232</v>
      </c>
      <c r="N155" s="35">
        <v>0.30208333333333331</v>
      </c>
      <c r="O155" s="31">
        <v>7.0000000000000007E-2</v>
      </c>
      <c r="P155" s="31">
        <v>0.63</v>
      </c>
      <c r="Q155" s="31" t="s">
        <v>273</v>
      </c>
      <c r="R155" s="32">
        <v>1800</v>
      </c>
      <c r="S155" s="32">
        <v>1553</v>
      </c>
      <c r="T155" s="35">
        <v>0.69791666666666663</v>
      </c>
      <c r="U155" s="31">
        <v>7.0000000000000007E-2</v>
      </c>
      <c r="V155" s="31">
        <v>0.54</v>
      </c>
      <c r="W155" s="31" t="s">
        <v>272</v>
      </c>
    </row>
    <row r="156" spans="1:23" x14ac:dyDescent="0.25">
      <c r="A156" s="30" t="s">
        <v>12</v>
      </c>
      <c r="B156" s="30" t="s">
        <v>23</v>
      </c>
      <c r="C156" s="30" t="s">
        <v>24</v>
      </c>
      <c r="D156" s="31" t="s">
        <v>20</v>
      </c>
      <c r="E156" s="31">
        <v>2.1</v>
      </c>
      <c r="F156" s="31" t="s">
        <v>332</v>
      </c>
      <c r="G156" s="31" t="s">
        <v>25</v>
      </c>
      <c r="H156" s="31" t="s">
        <v>17</v>
      </c>
      <c r="I156" s="31">
        <v>55</v>
      </c>
      <c r="J156" s="32">
        <v>37801</v>
      </c>
      <c r="K156" s="31" t="s">
        <v>274</v>
      </c>
      <c r="L156" s="32">
        <v>1649</v>
      </c>
      <c r="M156" s="32">
        <v>1278</v>
      </c>
      <c r="N156" s="35">
        <v>0.30208333333333331</v>
      </c>
      <c r="O156" s="31">
        <v>0.08</v>
      </c>
      <c r="P156" s="31">
        <v>0.56000000000000005</v>
      </c>
      <c r="Q156" s="31" t="s">
        <v>274</v>
      </c>
      <c r="R156" s="32">
        <v>1344</v>
      </c>
      <c r="S156" s="32">
        <v>1857</v>
      </c>
      <c r="T156" s="35">
        <v>0.69791666666666663</v>
      </c>
      <c r="U156" s="31">
        <v>0.08</v>
      </c>
      <c r="V156" s="31">
        <v>0.57999999999999996</v>
      </c>
      <c r="W156" s="31" t="s">
        <v>274</v>
      </c>
    </row>
    <row r="157" spans="1:23" ht="15" customHeight="1" x14ac:dyDescent="0.25">
      <c r="A157" s="30" t="s">
        <v>12</v>
      </c>
      <c r="B157" s="30" t="s">
        <v>23</v>
      </c>
      <c r="C157" s="30" t="s">
        <v>26</v>
      </c>
      <c r="D157" s="31" t="s">
        <v>15</v>
      </c>
      <c r="E157" s="31">
        <v>940</v>
      </c>
      <c r="F157" s="31" t="s">
        <v>27</v>
      </c>
      <c r="G157" s="31" t="s">
        <v>25</v>
      </c>
      <c r="H157" s="31" t="s">
        <v>17</v>
      </c>
      <c r="I157" s="31">
        <v>45</v>
      </c>
      <c r="J157" s="32">
        <v>41761</v>
      </c>
      <c r="K157" s="31" t="s">
        <v>272</v>
      </c>
      <c r="L157" s="32">
        <v>1649</v>
      </c>
      <c r="M157" s="32">
        <v>1815</v>
      </c>
      <c r="N157" s="35">
        <v>0.29166666666666669</v>
      </c>
      <c r="O157" s="31">
        <v>0.08</v>
      </c>
      <c r="P157" s="31">
        <v>0.52</v>
      </c>
      <c r="Q157" s="31" t="s">
        <v>272</v>
      </c>
      <c r="R157" s="32">
        <v>1823</v>
      </c>
      <c r="S157" s="32">
        <v>1857</v>
      </c>
      <c r="T157" s="35">
        <v>0.65625</v>
      </c>
      <c r="U157" s="31">
        <v>0.09</v>
      </c>
      <c r="V157" s="31">
        <v>0.5</v>
      </c>
      <c r="W157" s="31" t="s">
        <v>272</v>
      </c>
    </row>
    <row r="158" spans="1:23" x14ac:dyDescent="0.25">
      <c r="A158" s="30" t="s">
        <v>12</v>
      </c>
      <c r="B158" s="30" t="s">
        <v>23</v>
      </c>
      <c r="C158" s="30" t="s">
        <v>199</v>
      </c>
      <c r="D158" s="31" t="s">
        <v>103</v>
      </c>
      <c r="E158" s="31">
        <v>531</v>
      </c>
      <c r="F158" s="31">
        <v>531</v>
      </c>
      <c r="G158" s="31" t="s">
        <v>25</v>
      </c>
      <c r="H158" s="31" t="s">
        <v>17</v>
      </c>
      <c r="I158" s="31">
        <v>45</v>
      </c>
      <c r="J158" s="32">
        <v>40918</v>
      </c>
      <c r="K158" s="31" t="s">
        <v>272</v>
      </c>
      <c r="L158" s="32">
        <v>1391</v>
      </c>
      <c r="M158" s="32">
        <v>1291</v>
      </c>
      <c r="N158" s="35">
        <v>0.29166666666666669</v>
      </c>
      <c r="O158" s="31">
        <v>7.0000000000000007E-2</v>
      </c>
      <c r="P158" s="31">
        <v>0.52</v>
      </c>
      <c r="Q158" s="31" t="s">
        <v>272</v>
      </c>
      <c r="R158" s="32">
        <v>1315</v>
      </c>
      <c r="S158" s="32">
        <v>1728</v>
      </c>
      <c r="T158" s="35">
        <v>0.65625</v>
      </c>
      <c r="U158" s="31">
        <v>7.0000000000000007E-2</v>
      </c>
      <c r="V158" s="31">
        <v>0.56999999999999995</v>
      </c>
      <c r="W158" s="31" t="s">
        <v>272</v>
      </c>
    </row>
    <row r="159" spans="1:23" x14ac:dyDescent="0.25">
      <c r="A159" s="30" t="s">
        <v>12</v>
      </c>
      <c r="B159" s="30" t="s">
        <v>23</v>
      </c>
      <c r="C159" s="30" t="s">
        <v>29</v>
      </c>
      <c r="D159" s="31" t="s">
        <v>15</v>
      </c>
      <c r="E159" s="31">
        <v>551</v>
      </c>
      <c r="F159" s="31" t="s">
        <v>331</v>
      </c>
      <c r="G159" s="31" t="s">
        <v>25</v>
      </c>
      <c r="H159" s="31" t="s">
        <v>17</v>
      </c>
      <c r="I159" s="31">
        <v>45</v>
      </c>
      <c r="J159" s="32">
        <v>34862</v>
      </c>
      <c r="K159" s="31" t="s">
        <v>272</v>
      </c>
      <c r="L159" s="32">
        <v>1077</v>
      </c>
      <c r="M159" s="32">
        <v>1372</v>
      </c>
      <c r="N159" s="35">
        <v>0.30208333333333331</v>
      </c>
      <c r="O159" s="31">
        <v>7.0000000000000007E-2</v>
      </c>
      <c r="P159" s="31">
        <v>0.56000000000000005</v>
      </c>
      <c r="Q159" s="31" t="s">
        <v>272</v>
      </c>
      <c r="R159" s="32">
        <v>1351</v>
      </c>
      <c r="S159" s="32">
        <v>1297</v>
      </c>
      <c r="T159" s="35">
        <v>0.6875</v>
      </c>
      <c r="U159" s="31">
        <v>0.08</v>
      </c>
      <c r="V159" s="31">
        <v>0.51</v>
      </c>
      <c r="W159" s="31" t="s">
        <v>272</v>
      </c>
    </row>
    <row r="160" spans="1:23" x14ac:dyDescent="0.25">
      <c r="A160" s="30" t="s">
        <v>12</v>
      </c>
      <c r="B160" s="30" t="s">
        <v>23</v>
      </c>
      <c r="C160" s="30" t="s">
        <v>32</v>
      </c>
      <c r="D160" s="31" t="s">
        <v>15</v>
      </c>
      <c r="E160" s="31">
        <v>5099</v>
      </c>
      <c r="F160" s="31" t="s">
        <v>333</v>
      </c>
      <c r="G160" s="31" t="s">
        <v>31</v>
      </c>
      <c r="H160" s="31" t="s">
        <v>17</v>
      </c>
      <c r="I160" s="31">
        <v>35</v>
      </c>
      <c r="J160" s="32">
        <v>38448</v>
      </c>
      <c r="K160" s="31" t="s">
        <v>272</v>
      </c>
      <c r="L160" s="32">
        <v>1508</v>
      </c>
      <c r="M160" s="32">
        <v>1114</v>
      </c>
      <c r="N160" s="35">
        <v>0.3125</v>
      </c>
      <c r="O160" s="31">
        <v>7.0000000000000007E-2</v>
      </c>
      <c r="P160" s="31">
        <v>0.57999999999999996</v>
      </c>
      <c r="Q160" s="31" t="s">
        <v>272</v>
      </c>
      <c r="R160" s="32">
        <v>1378</v>
      </c>
      <c r="S160" s="32">
        <v>1526</v>
      </c>
      <c r="T160" s="35">
        <v>0.70833333333333337</v>
      </c>
      <c r="U160" s="31">
        <v>0.08</v>
      </c>
      <c r="V160" s="31">
        <v>0.53</v>
      </c>
      <c r="W160" s="31" t="s">
        <v>272</v>
      </c>
    </row>
    <row r="161" spans="1:23" x14ac:dyDescent="0.25">
      <c r="A161" s="30" t="s">
        <v>12</v>
      </c>
      <c r="B161" s="30" t="s">
        <v>23</v>
      </c>
      <c r="C161" s="30" t="s">
        <v>30</v>
      </c>
      <c r="D161" s="31" t="s">
        <v>15</v>
      </c>
      <c r="E161" s="31">
        <v>287</v>
      </c>
      <c r="F161" s="31" t="s">
        <v>333</v>
      </c>
      <c r="G161" s="31" t="s">
        <v>31</v>
      </c>
      <c r="H161" s="31" t="s">
        <v>17</v>
      </c>
      <c r="I161" s="31">
        <v>35</v>
      </c>
      <c r="J161" s="32">
        <v>38448</v>
      </c>
      <c r="K161" s="31" t="s">
        <v>272</v>
      </c>
      <c r="L161" s="32">
        <v>1508</v>
      </c>
      <c r="M161" s="32">
        <v>1114</v>
      </c>
      <c r="N161" s="35">
        <v>0.30208333333333331</v>
      </c>
      <c r="O161" s="31">
        <v>7.0000000000000007E-2</v>
      </c>
      <c r="P161" s="31">
        <v>0.57999999999999996</v>
      </c>
      <c r="Q161" s="31" t="s">
        <v>272</v>
      </c>
      <c r="R161" s="32">
        <v>1378</v>
      </c>
      <c r="S161" s="32">
        <v>1526</v>
      </c>
      <c r="T161" s="35">
        <v>0.6875</v>
      </c>
      <c r="U161" s="31">
        <v>0.08</v>
      </c>
      <c r="V161" s="31">
        <v>0.53</v>
      </c>
      <c r="W161" s="31" t="s">
        <v>272</v>
      </c>
    </row>
    <row r="162" spans="1:23" x14ac:dyDescent="0.25">
      <c r="A162" s="30" t="s">
        <v>12</v>
      </c>
      <c r="B162" s="30" t="s">
        <v>23</v>
      </c>
      <c r="C162" s="30" t="s">
        <v>21</v>
      </c>
      <c r="D162" s="31" t="s">
        <v>20</v>
      </c>
      <c r="E162" s="31">
        <v>33</v>
      </c>
      <c r="F162" s="31" t="s">
        <v>296</v>
      </c>
      <c r="G162" s="31" t="s">
        <v>25</v>
      </c>
      <c r="H162" s="31" t="s">
        <v>17</v>
      </c>
      <c r="I162" s="31">
        <v>55</v>
      </c>
      <c r="J162" s="32">
        <v>33726</v>
      </c>
      <c r="K162" s="31" t="s">
        <v>274</v>
      </c>
      <c r="L162" s="32">
        <v>1051</v>
      </c>
      <c r="M162" s="32">
        <v>1402</v>
      </c>
      <c r="N162" s="31" t="s">
        <v>350</v>
      </c>
      <c r="O162" s="31">
        <v>7.0000000000000007E-2</v>
      </c>
      <c r="P162" s="31">
        <v>0.56999999999999995</v>
      </c>
      <c r="Q162" s="31" t="s">
        <v>274</v>
      </c>
      <c r="R162" s="32">
        <v>1529</v>
      </c>
      <c r="S162" s="32">
        <v>1091</v>
      </c>
      <c r="T162" s="31" t="s">
        <v>352</v>
      </c>
      <c r="U162" s="31">
        <v>0.08</v>
      </c>
      <c r="V162" s="31">
        <v>0.57999999999999996</v>
      </c>
      <c r="W162" s="31" t="s">
        <v>274</v>
      </c>
    </row>
    <row r="163" spans="1:23" x14ac:dyDescent="0.25">
      <c r="A163" s="30" t="s">
        <v>12</v>
      </c>
      <c r="B163" s="30" t="s">
        <v>23</v>
      </c>
      <c r="C163" s="30" t="s">
        <v>19</v>
      </c>
      <c r="D163" s="31" t="s">
        <v>20</v>
      </c>
      <c r="E163" s="31">
        <v>660</v>
      </c>
      <c r="F163" s="31" t="s">
        <v>334</v>
      </c>
      <c r="G163" s="31" t="s">
        <v>25</v>
      </c>
      <c r="H163" s="31" t="s">
        <v>17</v>
      </c>
      <c r="I163" s="31">
        <v>55</v>
      </c>
      <c r="J163" s="32">
        <v>30443</v>
      </c>
      <c r="K163" s="31" t="s">
        <v>274</v>
      </c>
      <c r="L163" s="32">
        <v>1193</v>
      </c>
      <c r="M163" s="32">
        <v>974</v>
      </c>
      <c r="N163" s="31" t="s">
        <v>350</v>
      </c>
      <c r="O163" s="31">
        <v>7.0000000000000007E-2</v>
      </c>
      <c r="P163" s="31">
        <v>0.55000000000000004</v>
      </c>
      <c r="Q163" s="31" t="s">
        <v>274</v>
      </c>
      <c r="R163" s="32">
        <v>989</v>
      </c>
      <c r="S163" s="32">
        <v>1377</v>
      </c>
      <c r="T163" s="31" t="s">
        <v>353</v>
      </c>
      <c r="U163" s="31">
        <v>0.08</v>
      </c>
      <c r="V163" s="31">
        <v>0.57999999999999996</v>
      </c>
      <c r="W163" s="31" t="s">
        <v>274</v>
      </c>
    </row>
    <row r="164" spans="1:23" x14ac:dyDescent="0.25">
      <c r="A164" s="30" t="s">
        <v>12</v>
      </c>
      <c r="B164" s="30" t="s">
        <v>23</v>
      </c>
      <c r="C164" s="30" t="s">
        <v>249</v>
      </c>
      <c r="D164" s="31" t="s">
        <v>103</v>
      </c>
      <c r="E164" s="31">
        <v>550</v>
      </c>
      <c r="F164" s="31">
        <v>550</v>
      </c>
      <c r="G164" s="31" t="s">
        <v>25</v>
      </c>
      <c r="H164" s="31" t="s">
        <v>17</v>
      </c>
      <c r="I164" s="31">
        <v>45</v>
      </c>
      <c r="J164" s="32">
        <v>28844</v>
      </c>
      <c r="K164" s="31" t="s">
        <v>272</v>
      </c>
      <c r="L164" s="32">
        <v>1235</v>
      </c>
      <c r="M164" s="32">
        <v>828</v>
      </c>
      <c r="N164" s="31" t="s">
        <v>350</v>
      </c>
      <c r="O164" s="31">
        <v>7.0000000000000007E-2</v>
      </c>
      <c r="P164" s="31">
        <v>0.6</v>
      </c>
      <c r="Q164" s="31" t="s">
        <v>272</v>
      </c>
      <c r="R164" s="32">
        <v>1050</v>
      </c>
      <c r="S164" s="32">
        <v>1149</v>
      </c>
      <c r="T164" s="31" t="s">
        <v>353</v>
      </c>
      <c r="U164" s="31">
        <v>0.08</v>
      </c>
      <c r="V164" s="31">
        <v>0.52</v>
      </c>
      <c r="W164" s="31" t="s">
        <v>272</v>
      </c>
    </row>
    <row r="165" spans="1:23" x14ac:dyDescent="0.25">
      <c r="A165" s="30" t="s">
        <v>12</v>
      </c>
      <c r="B165" s="30" t="s">
        <v>23</v>
      </c>
      <c r="C165" s="30" t="s">
        <v>34</v>
      </c>
      <c r="D165" s="31" t="s">
        <v>15</v>
      </c>
      <c r="E165" s="31">
        <v>5096</v>
      </c>
      <c r="F165" s="31" t="s">
        <v>335</v>
      </c>
      <c r="G165" s="31" t="s">
        <v>25</v>
      </c>
      <c r="H165" s="31" t="s">
        <v>17</v>
      </c>
      <c r="I165" s="31">
        <v>35</v>
      </c>
      <c r="J165" s="32">
        <v>47365</v>
      </c>
      <c r="K165" s="31" t="s">
        <v>272</v>
      </c>
      <c r="L165" s="32">
        <v>1517</v>
      </c>
      <c r="M165" s="32">
        <v>1783</v>
      </c>
      <c r="N165" s="31" t="s">
        <v>350</v>
      </c>
      <c r="O165" s="31">
        <v>7.0000000000000007E-2</v>
      </c>
      <c r="P165" s="31">
        <v>0.54</v>
      </c>
      <c r="Q165" s="31" t="s">
        <v>272</v>
      </c>
      <c r="R165" s="32">
        <v>1626</v>
      </c>
      <c r="S165" s="32">
        <v>1597</v>
      </c>
      <c r="T165" s="31" t="s">
        <v>353</v>
      </c>
      <c r="U165" s="31">
        <v>7.0000000000000007E-2</v>
      </c>
      <c r="V165" s="31">
        <v>0.5</v>
      </c>
      <c r="W165" s="31" t="s">
        <v>272</v>
      </c>
    </row>
    <row r="166" spans="1:23" x14ac:dyDescent="0.25">
      <c r="A166" s="30" t="s">
        <v>12</v>
      </c>
      <c r="B166" s="30" t="s">
        <v>23</v>
      </c>
      <c r="C166" s="30" t="s">
        <v>33</v>
      </c>
      <c r="D166" s="31" t="s">
        <v>20</v>
      </c>
      <c r="E166" s="31">
        <v>5098</v>
      </c>
      <c r="F166" s="31" t="s">
        <v>335</v>
      </c>
      <c r="G166" s="31" t="s">
        <v>31</v>
      </c>
      <c r="H166" s="31" t="s">
        <v>17</v>
      </c>
      <c r="I166" s="31">
        <v>35</v>
      </c>
      <c r="J166" s="32">
        <v>47365</v>
      </c>
      <c r="K166" s="31" t="s">
        <v>272</v>
      </c>
      <c r="L166" s="32">
        <v>1517</v>
      </c>
      <c r="M166" s="32">
        <v>1783</v>
      </c>
      <c r="N166" s="31" t="s">
        <v>350</v>
      </c>
      <c r="O166" s="31">
        <v>7.0000000000000007E-2</v>
      </c>
      <c r="P166" s="31">
        <v>0.54</v>
      </c>
      <c r="Q166" s="31" t="s">
        <v>272</v>
      </c>
      <c r="R166" s="32">
        <v>1626</v>
      </c>
      <c r="S166" s="32">
        <v>1597</v>
      </c>
      <c r="T166" s="31" t="s">
        <v>353</v>
      </c>
      <c r="U166" s="31">
        <v>7.0000000000000007E-2</v>
      </c>
      <c r="V166" s="31">
        <v>0.5</v>
      </c>
      <c r="W166" s="31" t="s">
        <v>272</v>
      </c>
    </row>
    <row r="167" spans="1:23" x14ac:dyDescent="0.25">
      <c r="A167" s="30" t="s">
        <v>12</v>
      </c>
      <c r="B167" s="30" t="s">
        <v>23</v>
      </c>
      <c r="C167" s="30" t="s">
        <v>35</v>
      </c>
      <c r="D167" s="31" t="s">
        <v>20</v>
      </c>
      <c r="E167" s="31">
        <v>7075</v>
      </c>
      <c r="F167" s="31" t="s">
        <v>336</v>
      </c>
      <c r="G167" s="31" t="s">
        <v>25</v>
      </c>
      <c r="H167" s="31" t="s">
        <v>17</v>
      </c>
      <c r="I167" s="31">
        <v>45</v>
      </c>
      <c r="J167" s="32">
        <v>29511</v>
      </c>
      <c r="K167" s="31" t="s">
        <v>274</v>
      </c>
      <c r="L167" s="32">
        <v>942</v>
      </c>
      <c r="M167" s="32">
        <v>1272</v>
      </c>
      <c r="N167" s="31" t="s">
        <v>350</v>
      </c>
      <c r="O167" s="31">
        <v>0.08</v>
      </c>
      <c r="P167" s="31">
        <v>0.56999999999999995</v>
      </c>
      <c r="Q167" s="31" t="s">
        <v>274</v>
      </c>
      <c r="R167" s="32">
        <v>1207</v>
      </c>
      <c r="S167" s="32">
        <v>942</v>
      </c>
      <c r="T167" s="31" t="s">
        <v>353</v>
      </c>
      <c r="U167" s="31">
        <v>7.0000000000000007E-2</v>
      </c>
      <c r="V167" s="31">
        <v>0.56000000000000005</v>
      </c>
      <c r="W167" s="31" t="s">
        <v>274</v>
      </c>
    </row>
    <row r="168" spans="1:23" x14ac:dyDescent="0.25">
      <c r="A168" s="30" t="s">
        <v>71</v>
      </c>
      <c r="B168" s="30" t="s">
        <v>251</v>
      </c>
      <c r="C168" s="30" t="s">
        <v>46</v>
      </c>
      <c r="D168" s="31" t="s">
        <v>103</v>
      </c>
      <c r="E168" s="31">
        <v>610</v>
      </c>
      <c r="F168" s="31">
        <v>610</v>
      </c>
      <c r="G168" s="31" t="s">
        <v>39</v>
      </c>
      <c r="H168" s="31" t="s">
        <v>40</v>
      </c>
      <c r="I168" s="31">
        <v>30</v>
      </c>
      <c r="J168" s="32">
        <v>1072</v>
      </c>
      <c r="K168" s="31" t="s">
        <v>274</v>
      </c>
      <c r="L168" s="32">
        <v>38</v>
      </c>
      <c r="M168" s="32">
        <v>31</v>
      </c>
      <c r="N168" s="31" t="s">
        <v>351</v>
      </c>
      <c r="O168" s="31">
        <v>0.06</v>
      </c>
      <c r="P168" s="31">
        <v>0.55000000000000004</v>
      </c>
      <c r="Q168" s="31" t="s">
        <v>274</v>
      </c>
      <c r="R168" s="32">
        <v>56</v>
      </c>
      <c r="S168" s="32">
        <v>64</v>
      </c>
      <c r="T168" s="31" t="s">
        <v>352</v>
      </c>
      <c r="U168" s="31">
        <v>0.11</v>
      </c>
      <c r="V168" s="31">
        <v>0.53</v>
      </c>
      <c r="W168" s="31" t="s">
        <v>274</v>
      </c>
    </row>
    <row r="169" spans="1:23" x14ac:dyDescent="0.25">
      <c r="A169" s="30" t="s">
        <v>71</v>
      </c>
      <c r="B169" s="30" t="s">
        <v>251</v>
      </c>
      <c r="C169" s="30" t="s">
        <v>252</v>
      </c>
      <c r="D169" s="31" t="s">
        <v>103</v>
      </c>
      <c r="E169" s="31">
        <v>612</v>
      </c>
      <c r="F169" s="31">
        <v>612</v>
      </c>
      <c r="G169" s="31" t="s">
        <v>39</v>
      </c>
      <c r="H169" s="31" t="s">
        <v>40</v>
      </c>
      <c r="I169" s="31">
        <v>30</v>
      </c>
      <c r="J169" s="32">
        <v>669</v>
      </c>
      <c r="K169" s="31" t="s">
        <v>274</v>
      </c>
      <c r="L169" s="32">
        <v>15</v>
      </c>
      <c r="M169" s="32">
        <v>19</v>
      </c>
      <c r="N169" s="31" t="s">
        <v>351</v>
      </c>
      <c r="O169" s="31">
        <v>0.05</v>
      </c>
      <c r="P169" s="31">
        <v>0.56000000000000005</v>
      </c>
      <c r="Q169" s="31" t="s">
        <v>274</v>
      </c>
      <c r="R169" s="32">
        <v>34</v>
      </c>
      <c r="S169" s="32">
        <v>52</v>
      </c>
      <c r="T169" s="31" t="s">
        <v>353</v>
      </c>
      <c r="U169" s="31">
        <v>0.13</v>
      </c>
      <c r="V169" s="31">
        <v>0.6</v>
      </c>
      <c r="W169" s="31" t="s">
        <v>274</v>
      </c>
    </row>
    <row r="170" spans="1:23" x14ac:dyDescent="0.25">
      <c r="A170" s="30" t="s">
        <v>71</v>
      </c>
      <c r="B170" s="30" t="s">
        <v>96</v>
      </c>
      <c r="C170" s="30" t="s">
        <v>253</v>
      </c>
      <c r="D170" s="31" t="s">
        <v>103</v>
      </c>
      <c r="E170" s="31">
        <v>502</v>
      </c>
      <c r="F170" s="31">
        <v>502</v>
      </c>
      <c r="G170" s="31" t="s">
        <v>254</v>
      </c>
      <c r="H170" s="31" t="s">
        <v>40</v>
      </c>
      <c r="I170" s="31">
        <v>35</v>
      </c>
      <c r="J170" s="32">
        <v>13133</v>
      </c>
      <c r="K170" s="31" t="s">
        <v>17</v>
      </c>
      <c r="L170" s="32">
        <v>549</v>
      </c>
      <c r="M170" s="32">
        <v>366</v>
      </c>
      <c r="N170" s="35">
        <v>0.32291666666666669</v>
      </c>
      <c r="O170" s="31">
        <v>7.0000000000000007E-2</v>
      </c>
      <c r="P170" s="31">
        <v>0.6</v>
      </c>
      <c r="Q170" s="31" t="s">
        <v>17</v>
      </c>
      <c r="R170" s="32">
        <v>422</v>
      </c>
      <c r="S170" s="32">
        <v>656</v>
      </c>
      <c r="T170" s="35">
        <v>0.69791666666666663</v>
      </c>
      <c r="U170" s="31">
        <v>0.08</v>
      </c>
      <c r="V170" s="31">
        <v>0.61</v>
      </c>
      <c r="W170" s="31" t="s">
        <v>17</v>
      </c>
    </row>
    <row r="171" spans="1:23" x14ac:dyDescent="0.25">
      <c r="A171" s="30" t="s">
        <v>71</v>
      </c>
      <c r="B171" s="30" t="s">
        <v>96</v>
      </c>
      <c r="C171" s="30" t="s">
        <v>97</v>
      </c>
      <c r="D171" s="31" t="s">
        <v>20</v>
      </c>
      <c r="E171" s="31">
        <v>8150</v>
      </c>
      <c r="F171" s="31" t="s">
        <v>337</v>
      </c>
      <c r="G171" s="31" t="s">
        <v>25</v>
      </c>
      <c r="H171" s="31" t="s">
        <v>40</v>
      </c>
      <c r="I171" s="31">
        <v>35</v>
      </c>
      <c r="J171" s="32">
        <v>16902</v>
      </c>
      <c r="K171" s="31" t="s">
        <v>17</v>
      </c>
      <c r="L171" s="32">
        <v>623</v>
      </c>
      <c r="M171" s="32">
        <v>1011</v>
      </c>
      <c r="N171" s="35">
        <v>0.34375</v>
      </c>
      <c r="O171" s="31">
        <v>0.1</v>
      </c>
      <c r="P171" s="31">
        <v>0.62</v>
      </c>
      <c r="Q171" s="31" t="s">
        <v>17</v>
      </c>
      <c r="R171" s="32">
        <v>828</v>
      </c>
      <c r="S171" s="32">
        <v>742</v>
      </c>
      <c r="T171" s="35">
        <v>0.71875</v>
      </c>
      <c r="U171" s="31">
        <v>0.09</v>
      </c>
      <c r="V171" s="31">
        <v>0.53</v>
      </c>
      <c r="W171" s="31" t="s">
        <v>17</v>
      </c>
    </row>
    <row r="172" spans="1:23" x14ac:dyDescent="0.25">
      <c r="A172" s="30" t="s">
        <v>71</v>
      </c>
      <c r="B172" s="30" t="s">
        <v>96</v>
      </c>
      <c r="C172" s="30" t="s">
        <v>98</v>
      </c>
      <c r="D172" s="31" t="s">
        <v>20</v>
      </c>
      <c r="E172" s="31">
        <v>8151</v>
      </c>
      <c r="F172" s="31" t="s">
        <v>338</v>
      </c>
      <c r="G172" s="31" t="s">
        <v>39</v>
      </c>
      <c r="H172" s="31" t="s">
        <v>40</v>
      </c>
      <c r="I172" s="31">
        <v>35</v>
      </c>
      <c r="J172" s="32">
        <v>6050</v>
      </c>
      <c r="K172" s="31" t="s">
        <v>274</v>
      </c>
      <c r="L172" s="32">
        <v>327</v>
      </c>
      <c r="M172" s="32">
        <v>372</v>
      </c>
      <c r="N172" s="31" t="s">
        <v>350</v>
      </c>
      <c r="O172" s="31">
        <v>0.12</v>
      </c>
      <c r="P172" s="31">
        <v>0.53</v>
      </c>
      <c r="Q172" s="31" t="s">
        <v>17</v>
      </c>
      <c r="R172" s="32">
        <v>371</v>
      </c>
      <c r="S172" s="32">
        <v>292</v>
      </c>
      <c r="T172" s="31" t="s">
        <v>353</v>
      </c>
      <c r="U172" s="31">
        <v>0.11</v>
      </c>
      <c r="V172" s="31">
        <v>0.56000000000000005</v>
      </c>
      <c r="W172" s="31" t="s">
        <v>17</v>
      </c>
    </row>
    <row r="173" spans="1:23" x14ac:dyDescent="0.25">
      <c r="A173" s="30" t="s">
        <v>71</v>
      </c>
      <c r="B173" s="30" t="s">
        <v>96</v>
      </c>
      <c r="C173" s="30" t="s">
        <v>255</v>
      </c>
      <c r="D173" s="31" t="s">
        <v>103</v>
      </c>
      <c r="E173" s="31">
        <v>503</v>
      </c>
      <c r="F173" s="31">
        <v>503</v>
      </c>
      <c r="G173" s="31" t="s">
        <v>39</v>
      </c>
      <c r="H173" s="31" t="s">
        <v>40</v>
      </c>
      <c r="I173" s="31">
        <v>35</v>
      </c>
      <c r="J173" s="32">
        <v>12213</v>
      </c>
      <c r="K173" s="31" t="s">
        <v>17</v>
      </c>
      <c r="L173" s="32">
        <v>338</v>
      </c>
      <c r="M173" s="32">
        <v>613</v>
      </c>
      <c r="N173" s="31" t="s">
        <v>351</v>
      </c>
      <c r="O173" s="31">
        <v>0.08</v>
      </c>
      <c r="P173" s="31">
        <v>0.64</v>
      </c>
      <c r="Q173" s="31" t="s">
        <v>17</v>
      </c>
      <c r="R173" s="32">
        <v>590</v>
      </c>
      <c r="S173" s="32">
        <v>460</v>
      </c>
      <c r="T173" s="31" t="s">
        <v>353</v>
      </c>
      <c r="U173" s="31">
        <v>0.09</v>
      </c>
      <c r="V173" s="31">
        <v>0.56000000000000005</v>
      </c>
      <c r="W173" s="31" t="s">
        <v>17</v>
      </c>
    </row>
    <row r="174" spans="1:23" x14ac:dyDescent="0.25">
      <c r="A174" s="30" t="s">
        <v>71</v>
      </c>
      <c r="B174" s="30" t="s">
        <v>96</v>
      </c>
      <c r="C174" s="30" t="s">
        <v>256</v>
      </c>
      <c r="D174" s="31" t="s">
        <v>103</v>
      </c>
      <c r="E174" s="31">
        <v>532</v>
      </c>
      <c r="F174" s="31">
        <v>532</v>
      </c>
      <c r="G174" s="31" t="s">
        <v>254</v>
      </c>
      <c r="H174" s="31" t="s">
        <v>40</v>
      </c>
      <c r="I174" s="31">
        <v>35</v>
      </c>
      <c r="J174" s="32">
        <v>14883</v>
      </c>
      <c r="K174" s="31" t="s">
        <v>17</v>
      </c>
      <c r="L174" s="32">
        <v>461</v>
      </c>
      <c r="M174" s="32">
        <v>697</v>
      </c>
      <c r="N174" s="31" t="s">
        <v>350</v>
      </c>
      <c r="O174" s="31">
        <v>0.08</v>
      </c>
      <c r="P174" s="31">
        <v>0.6</v>
      </c>
      <c r="Q174" s="31" t="s">
        <v>17</v>
      </c>
      <c r="R174" s="32">
        <v>746</v>
      </c>
      <c r="S174" s="32">
        <v>435</v>
      </c>
      <c r="T174" s="31" t="s">
        <v>353</v>
      </c>
      <c r="U174" s="31">
        <v>0.08</v>
      </c>
      <c r="V174" s="31">
        <v>0.63</v>
      </c>
      <c r="W174" s="31" t="s">
        <v>17</v>
      </c>
    </row>
    <row r="175" spans="1:23" x14ac:dyDescent="0.25">
      <c r="A175" s="30" t="s">
        <v>71</v>
      </c>
      <c r="B175" s="30" t="s">
        <v>96</v>
      </c>
      <c r="C175" s="30" t="s">
        <v>257</v>
      </c>
      <c r="D175" s="31" t="s">
        <v>103</v>
      </c>
      <c r="E175" s="31">
        <v>533</v>
      </c>
      <c r="F175" s="31">
        <v>533</v>
      </c>
      <c r="G175" s="31" t="s">
        <v>39</v>
      </c>
      <c r="H175" s="31" t="s">
        <v>40</v>
      </c>
      <c r="I175" s="31">
        <v>35</v>
      </c>
      <c r="J175" s="32">
        <v>8294</v>
      </c>
      <c r="K175" s="31" t="s">
        <v>17</v>
      </c>
      <c r="L175" s="32">
        <v>264</v>
      </c>
      <c r="M175" s="32">
        <v>456</v>
      </c>
      <c r="N175" s="31" t="s">
        <v>351</v>
      </c>
      <c r="O175" s="31">
        <v>0.09</v>
      </c>
      <c r="P175" s="31">
        <v>0.63</v>
      </c>
      <c r="Q175" s="31" t="s">
        <v>17</v>
      </c>
      <c r="R175" s="32">
        <v>432</v>
      </c>
      <c r="S175" s="32">
        <v>388</v>
      </c>
      <c r="T175" s="31" t="s">
        <v>352</v>
      </c>
      <c r="U175" s="31">
        <v>0.1</v>
      </c>
      <c r="V175" s="31">
        <v>0.53</v>
      </c>
      <c r="W175" s="31" t="s">
        <v>17</v>
      </c>
    </row>
    <row r="176" spans="1:23" x14ac:dyDescent="0.25">
      <c r="A176" s="30" t="s">
        <v>71</v>
      </c>
      <c r="B176" s="30" t="s">
        <v>96</v>
      </c>
      <c r="C176" s="30" t="s">
        <v>258</v>
      </c>
      <c r="D176" s="31" t="s">
        <v>103</v>
      </c>
      <c r="E176" s="31">
        <v>525</v>
      </c>
      <c r="F176" s="31">
        <v>525</v>
      </c>
      <c r="G176" s="31" t="s">
        <v>25</v>
      </c>
      <c r="H176" s="31" t="s">
        <v>40</v>
      </c>
      <c r="I176" s="31">
        <v>35</v>
      </c>
      <c r="J176" s="32">
        <v>16163</v>
      </c>
      <c r="K176" s="31" t="s">
        <v>17</v>
      </c>
      <c r="L176" s="32">
        <v>579</v>
      </c>
      <c r="M176" s="32">
        <v>742</v>
      </c>
      <c r="N176" s="31" t="s">
        <v>351</v>
      </c>
      <c r="O176" s="31">
        <v>0.08</v>
      </c>
      <c r="P176" s="31">
        <v>0.56000000000000005</v>
      </c>
      <c r="Q176" s="31" t="s">
        <v>17</v>
      </c>
      <c r="R176" s="32">
        <v>760</v>
      </c>
      <c r="S176" s="32">
        <v>553</v>
      </c>
      <c r="T176" s="31" t="s">
        <v>353</v>
      </c>
      <c r="U176" s="31">
        <v>0.08</v>
      </c>
      <c r="V176" s="31">
        <v>0.57999999999999996</v>
      </c>
      <c r="W176" s="31" t="s">
        <v>17</v>
      </c>
    </row>
    <row r="177" spans="1:23" x14ac:dyDescent="0.25">
      <c r="A177" s="30" t="s">
        <v>71</v>
      </c>
      <c r="B177" s="30" t="s">
        <v>259</v>
      </c>
      <c r="C177" s="30" t="s">
        <v>260</v>
      </c>
      <c r="D177" s="31" t="s">
        <v>103</v>
      </c>
      <c r="E177" s="31">
        <v>534</v>
      </c>
      <c r="F177" s="31">
        <v>534</v>
      </c>
      <c r="G177" s="31" t="s">
        <v>39</v>
      </c>
      <c r="H177" s="31" t="s">
        <v>40</v>
      </c>
      <c r="I177" s="31">
        <v>35</v>
      </c>
      <c r="J177" s="32">
        <v>6498</v>
      </c>
      <c r="K177" s="31" t="s">
        <v>274</v>
      </c>
      <c r="L177" s="32">
        <v>283</v>
      </c>
      <c r="M177" s="32">
        <v>372</v>
      </c>
      <c r="N177" s="31" t="s">
        <v>351</v>
      </c>
      <c r="O177" s="31">
        <v>0.1</v>
      </c>
      <c r="P177" s="31">
        <v>0.56999999999999995</v>
      </c>
      <c r="Q177" s="31" t="s">
        <v>17</v>
      </c>
      <c r="R177" s="32">
        <v>309</v>
      </c>
      <c r="S177" s="32">
        <v>341</v>
      </c>
      <c r="T177" s="31" t="s">
        <v>352</v>
      </c>
      <c r="U177" s="31">
        <v>0.1</v>
      </c>
      <c r="V177" s="31">
        <v>0.52</v>
      </c>
      <c r="W177" s="31" t="s">
        <v>17</v>
      </c>
    </row>
    <row r="178" spans="1:23" x14ac:dyDescent="0.25">
      <c r="A178" s="30" t="s">
        <v>71</v>
      </c>
      <c r="B178" s="30" t="s">
        <v>261</v>
      </c>
      <c r="C178" s="30" t="s">
        <v>70</v>
      </c>
      <c r="D178" s="31" t="s">
        <v>103</v>
      </c>
      <c r="E178" s="31">
        <v>627</v>
      </c>
      <c r="F178" s="31">
        <v>627</v>
      </c>
      <c r="G178" s="31" t="s">
        <v>39</v>
      </c>
      <c r="H178" s="31" t="s">
        <v>40</v>
      </c>
      <c r="I178" s="31">
        <v>45</v>
      </c>
      <c r="J178" s="32">
        <v>8699</v>
      </c>
      <c r="K178" s="31" t="s">
        <v>274</v>
      </c>
      <c r="L178" s="32">
        <v>413</v>
      </c>
      <c r="M178" s="32">
        <v>224</v>
      </c>
      <c r="N178" s="31" t="s">
        <v>351</v>
      </c>
      <c r="O178" s="31">
        <v>7.0000000000000007E-2</v>
      </c>
      <c r="P178" s="31">
        <v>0.65</v>
      </c>
      <c r="Q178" s="31" t="s">
        <v>274</v>
      </c>
      <c r="R178" s="32">
        <v>306</v>
      </c>
      <c r="S178" s="32">
        <v>480</v>
      </c>
      <c r="T178" s="31" t="s">
        <v>353</v>
      </c>
      <c r="U178" s="31">
        <v>0.09</v>
      </c>
      <c r="V178" s="31">
        <v>0.61</v>
      </c>
      <c r="W178" s="31" t="s">
        <v>274</v>
      </c>
    </row>
    <row r="179" spans="1:23" x14ac:dyDescent="0.25">
      <c r="A179" s="30" t="s">
        <v>71</v>
      </c>
      <c r="B179" s="30" t="s">
        <v>261</v>
      </c>
      <c r="C179" s="30" t="s">
        <v>263</v>
      </c>
      <c r="D179" s="31" t="s">
        <v>103</v>
      </c>
      <c r="E179" s="31">
        <v>626</v>
      </c>
      <c r="F179" s="31">
        <v>626</v>
      </c>
      <c r="G179" s="31" t="s">
        <v>39</v>
      </c>
      <c r="H179" s="31" t="s">
        <v>40</v>
      </c>
      <c r="I179" s="31">
        <v>45</v>
      </c>
      <c r="J179" s="32">
        <v>7770</v>
      </c>
      <c r="K179" s="31" t="s">
        <v>274</v>
      </c>
      <c r="L179" s="32">
        <v>260</v>
      </c>
      <c r="M179" s="32">
        <v>203</v>
      </c>
      <c r="N179" s="31" t="s">
        <v>350</v>
      </c>
      <c r="O179" s="31">
        <v>0.06</v>
      </c>
      <c r="P179" s="31">
        <v>0.56000000000000005</v>
      </c>
      <c r="Q179" s="31" t="s">
        <v>274</v>
      </c>
      <c r="R179" s="32">
        <v>357</v>
      </c>
      <c r="S179" s="32">
        <v>445</v>
      </c>
      <c r="T179" s="31" t="s">
        <v>353</v>
      </c>
      <c r="U179" s="31">
        <v>0.1</v>
      </c>
      <c r="V179" s="31">
        <v>0.55000000000000004</v>
      </c>
      <c r="W179" s="31" t="s">
        <v>274</v>
      </c>
    </row>
    <row r="180" spans="1:23" x14ac:dyDescent="0.25">
      <c r="A180" s="30" t="s">
        <v>71</v>
      </c>
      <c r="B180" s="30" t="s">
        <v>261</v>
      </c>
      <c r="C180" s="30" t="s">
        <v>262</v>
      </c>
      <c r="D180" s="31" t="s">
        <v>103</v>
      </c>
      <c r="E180" s="31">
        <v>625</v>
      </c>
      <c r="F180" s="31">
        <v>625</v>
      </c>
      <c r="G180" s="31" t="s">
        <v>39</v>
      </c>
      <c r="H180" s="31" t="s">
        <v>40</v>
      </c>
      <c r="I180" s="31">
        <v>45</v>
      </c>
      <c r="J180" s="32">
        <v>7721</v>
      </c>
      <c r="K180" s="31" t="s">
        <v>274</v>
      </c>
      <c r="L180" s="32">
        <v>224</v>
      </c>
      <c r="M180" s="32">
        <v>289</v>
      </c>
      <c r="N180" s="31" t="s">
        <v>351</v>
      </c>
      <c r="O180" s="31">
        <v>7.0000000000000007E-2</v>
      </c>
      <c r="P180" s="31">
        <v>0.56000000000000005</v>
      </c>
      <c r="Q180" s="31" t="s">
        <v>274</v>
      </c>
      <c r="R180" s="32">
        <v>340</v>
      </c>
      <c r="S180" s="32">
        <v>438</v>
      </c>
      <c r="T180" s="31" t="s">
        <v>353</v>
      </c>
      <c r="U180" s="31">
        <v>0.1</v>
      </c>
      <c r="V180" s="31">
        <v>0.56000000000000005</v>
      </c>
      <c r="W180" s="31" t="s">
        <v>274</v>
      </c>
    </row>
    <row r="181" spans="1:23" x14ac:dyDescent="0.25">
      <c r="A181" s="30" t="s">
        <v>36</v>
      </c>
      <c r="B181" s="30" t="s">
        <v>59</v>
      </c>
      <c r="C181" s="30" t="s">
        <v>265</v>
      </c>
      <c r="D181" s="31" t="s">
        <v>103</v>
      </c>
      <c r="E181" s="31">
        <v>606</v>
      </c>
      <c r="F181" s="31">
        <v>606</v>
      </c>
      <c r="G181" s="31" t="s">
        <v>31</v>
      </c>
      <c r="H181" s="31" t="s">
        <v>40</v>
      </c>
      <c r="I181" s="31">
        <v>45</v>
      </c>
      <c r="J181" s="32">
        <v>32915</v>
      </c>
      <c r="K181" s="31" t="s">
        <v>274</v>
      </c>
      <c r="L181" s="32">
        <v>893</v>
      </c>
      <c r="M181" s="32">
        <v>1049</v>
      </c>
      <c r="N181" s="35">
        <v>0.33333333333333331</v>
      </c>
      <c r="O181" s="31">
        <v>0.06</v>
      </c>
      <c r="P181" s="31">
        <v>0.54</v>
      </c>
      <c r="Q181" s="31" t="s">
        <v>274</v>
      </c>
      <c r="R181" s="32">
        <v>1858</v>
      </c>
      <c r="S181" s="32">
        <v>1024</v>
      </c>
      <c r="T181" s="35">
        <v>0.69791666666666663</v>
      </c>
      <c r="U181" s="31">
        <v>0.09</v>
      </c>
      <c r="V181" s="31">
        <v>0.64</v>
      </c>
      <c r="W181" s="31" t="s">
        <v>274</v>
      </c>
    </row>
    <row r="182" spans="1:23" x14ac:dyDescent="0.25">
      <c r="A182" s="30" t="s">
        <v>36</v>
      </c>
      <c r="B182" s="30" t="s">
        <v>59</v>
      </c>
      <c r="C182" s="30" t="s">
        <v>60</v>
      </c>
      <c r="D182" s="31" t="s">
        <v>20</v>
      </c>
      <c r="E182" s="31">
        <v>799</v>
      </c>
      <c r="F182" s="31" t="s">
        <v>339</v>
      </c>
      <c r="G182" s="31" t="s">
        <v>61</v>
      </c>
      <c r="H182" s="31" t="s">
        <v>40</v>
      </c>
      <c r="I182" s="31">
        <v>45</v>
      </c>
      <c r="J182" s="32">
        <v>25074</v>
      </c>
      <c r="K182" s="31" t="s">
        <v>17</v>
      </c>
      <c r="L182" s="32">
        <v>939</v>
      </c>
      <c r="M182" s="32">
        <v>1266</v>
      </c>
      <c r="N182" s="35">
        <v>0.32291666666666669</v>
      </c>
      <c r="O182" s="31">
        <v>0.09</v>
      </c>
      <c r="P182" s="31">
        <v>0.56999999999999995</v>
      </c>
      <c r="Q182" s="31" t="s">
        <v>40</v>
      </c>
      <c r="R182" s="32">
        <v>1199</v>
      </c>
      <c r="S182" s="32">
        <v>1128</v>
      </c>
      <c r="T182" s="35">
        <v>0.70833333333333337</v>
      </c>
      <c r="U182" s="31">
        <v>0.09</v>
      </c>
      <c r="V182" s="31">
        <v>0.52</v>
      </c>
      <c r="W182" s="31" t="s">
        <v>17</v>
      </c>
    </row>
    <row r="183" spans="1:23" x14ac:dyDescent="0.25">
      <c r="A183" s="30" t="s">
        <v>36</v>
      </c>
      <c r="B183" s="30" t="s">
        <v>59</v>
      </c>
      <c r="C183" s="30" t="s">
        <v>62</v>
      </c>
      <c r="D183" s="31" t="s">
        <v>20</v>
      </c>
      <c r="E183" s="31">
        <v>25</v>
      </c>
      <c r="F183" s="31" t="s">
        <v>340</v>
      </c>
      <c r="G183" s="31" t="s">
        <v>31</v>
      </c>
      <c r="H183" s="31" t="s">
        <v>40</v>
      </c>
      <c r="I183" s="31">
        <v>45</v>
      </c>
      <c r="J183" s="32">
        <v>25677</v>
      </c>
      <c r="K183" s="31" t="s">
        <v>274</v>
      </c>
      <c r="L183" s="32">
        <v>770</v>
      </c>
      <c r="M183" s="32">
        <v>1335</v>
      </c>
      <c r="N183" s="35">
        <v>0.29166666666666669</v>
      </c>
      <c r="O183" s="31">
        <v>0.08</v>
      </c>
      <c r="P183" s="31">
        <v>0.63</v>
      </c>
      <c r="Q183" s="31" t="s">
        <v>274</v>
      </c>
      <c r="R183" s="32">
        <v>1125</v>
      </c>
      <c r="S183" s="32">
        <v>1018</v>
      </c>
      <c r="T183" s="35">
        <v>0.70833333333333337</v>
      </c>
      <c r="U183" s="31">
        <v>0.08</v>
      </c>
      <c r="V183" s="31">
        <v>0.52</v>
      </c>
      <c r="W183" s="31" t="s">
        <v>274</v>
      </c>
    </row>
    <row r="184" spans="1:23" x14ac:dyDescent="0.25">
      <c r="A184" s="30" t="s">
        <v>36</v>
      </c>
      <c r="B184" s="30" t="s">
        <v>59</v>
      </c>
      <c r="C184" s="30" t="s">
        <v>63</v>
      </c>
      <c r="D184" s="31" t="s">
        <v>20</v>
      </c>
      <c r="E184" s="31">
        <v>330</v>
      </c>
      <c r="F184" s="31" t="s">
        <v>341</v>
      </c>
      <c r="G184" s="31" t="s">
        <v>31</v>
      </c>
      <c r="H184" s="31" t="s">
        <v>40</v>
      </c>
      <c r="I184" s="31">
        <v>45</v>
      </c>
      <c r="J184" s="32">
        <v>31540</v>
      </c>
      <c r="K184" s="31" t="s">
        <v>274</v>
      </c>
      <c r="L184" s="32">
        <v>1000</v>
      </c>
      <c r="M184" s="32">
        <v>1000</v>
      </c>
      <c r="N184" s="35">
        <v>0.3125</v>
      </c>
      <c r="O184" s="31">
        <v>0.06</v>
      </c>
      <c r="P184" s="31">
        <v>0.5</v>
      </c>
      <c r="Q184" s="31" t="s">
        <v>274</v>
      </c>
      <c r="R184" s="32">
        <v>1532</v>
      </c>
      <c r="S184" s="32">
        <v>1187</v>
      </c>
      <c r="T184" s="35">
        <v>0.6875</v>
      </c>
      <c r="U184" s="31">
        <v>0.09</v>
      </c>
      <c r="V184" s="31">
        <v>0.56000000000000005</v>
      </c>
      <c r="W184" s="31" t="s">
        <v>274</v>
      </c>
    </row>
    <row r="185" spans="1:23" x14ac:dyDescent="0.25">
      <c r="A185" s="30" t="s">
        <v>36</v>
      </c>
      <c r="B185" s="30" t="s">
        <v>59</v>
      </c>
      <c r="C185" s="30" t="s">
        <v>64</v>
      </c>
      <c r="D185" s="31" t="s">
        <v>20</v>
      </c>
      <c r="E185" s="31">
        <v>331</v>
      </c>
      <c r="F185" s="31" t="s">
        <v>342</v>
      </c>
      <c r="G185" s="31" t="s">
        <v>25</v>
      </c>
      <c r="H185" s="31" t="s">
        <v>40</v>
      </c>
      <c r="I185" s="31">
        <v>45</v>
      </c>
      <c r="J185" s="32">
        <v>25939</v>
      </c>
      <c r="K185" s="31" t="s">
        <v>274</v>
      </c>
      <c r="L185" s="32">
        <v>899</v>
      </c>
      <c r="M185" s="32">
        <v>856</v>
      </c>
      <c r="N185" s="35">
        <v>0.29166666666666669</v>
      </c>
      <c r="O185" s="31">
        <v>7.0000000000000007E-2</v>
      </c>
      <c r="P185" s="31">
        <v>0.51</v>
      </c>
      <c r="Q185" s="31" t="s">
        <v>274</v>
      </c>
      <c r="R185" s="32">
        <v>1054</v>
      </c>
      <c r="S185" s="32">
        <v>1073</v>
      </c>
      <c r="T185" s="35">
        <v>0.625</v>
      </c>
      <c r="U185" s="31">
        <v>0.08</v>
      </c>
      <c r="V185" s="31">
        <v>0.5</v>
      </c>
      <c r="W185" s="31" t="s">
        <v>274</v>
      </c>
    </row>
    <row r="186" spans="1:23" x14ac:dyDescent="0.25">
      <c r="A186" s="30" t="s">
        <v>36</v>
      </c>
      <c r="B186" s="30" t="s">
        <v>59</v>
      </c>
      <c r="C186" s="30" t="s">
        <v>65</v>
      </c>
      <c r="D186" s="31" t="s">
        <v>20</v>
      </c>
      <c r="E186" s="31">
        <v>222</v>
      </c>
      <c r="F186" s="31" t="s">
        <v>343</v>
      </c>
      <c r="G186" s="31" t="s">
        <v>25</v>
      </c>
      <c r="H186" s="31" t="s">
        <v>40</v>
      </c>
      <c r="I186" s="31">
        <v>45</v>
      </c>
      <c r="J186" s="32">
        <v>22710</v>
      </c>
      <c r="K186" s="31" t="s">
        <v>274</v>
      </c>
      <c r="L186" s="32">
        <v>891</v>
      </c>
      <c r="M186" s="32">
        <v>864</v>
      </c>
      <c r="N186" s="35">
        <v>0.28125</v>
      </c>
      <c r="O186" s="31">
        <v>0.08</v>
      </c>
      <c r="P186" s="31">
        <v>0.51</v>
      </c>
      <c r="Q186" s="31" t="s">
        <v>274</v>
      </c>
      <c r="R186" s="32">
        <v>957</v>
      </c>
      <c r="S186" s="32">
        <v>941</v>
      </c>
      <c r="T186" s="35">
        <v>0.6875</v>
      </c>
      <c r="U186" s="31">
        <v>0.08</v>
      </c>
      <c r="V186" s="31">
        <v>0.5</v>
      </c>
      <c r="W186" s="31" t="s">
        <v>274</v>
      </c>
    </row>
    <row r="187" spans="1:23" x14ac:dyDescent="0.25">
      <c r="A187" s="30" t="s">
        <v>36</v>
      </c>
      <c r="B187" s="30" t="s">
        <v>59</v>
      </c>
      <c r="C187" s="30" t="s">
        <v>66</v>
      </c>
      <c r="D187" s="31" t="s">
        <v>20</v>
      </c>
      <c r="E187" s="31">
        <v>65</v>
      </c>
      <c r="F187" s="31" t="s">
        <v>344</v>
      </c>
      <c r="G187" s="31" t="s">
        <v>25</v>
      </c>
      <c r="H187" s="31" t="s">
        <v>40</v>
      </c>
      <c r="I187" s="31">
        <v>45</v>
      </c>
      <c r="J187" s="32">
        <v>24831</v>
      </c>
      <c r="K187" s="31" t="s">
        <v>274</v>
      </c>
      <c r="L187" s="32">
        <v>872</v>
      </c>
      <c r="M187" s="32">
        <v>1040</v>
      </c>
      <c r="N187" s="31" t="s">
        <v>350</v>
      </c>
      <c r="O187" s="31">
        <v>0.08</v>
      </c>
      <c r="P187" s="31">
        <v>0.54</v>
      </c>
      <c r="Q187" s="31" t="s">
        <v>274</v>
      </c>
      <c r="R187" s="32">
        <v>1117</v>
      </c>
      <c r="S187" s="32">
        <v>918</v>
      </c>
      <c r="T187" s="31" t="s">
        <v>353</v>
      </c>
      <c r="U187" s="31">
        <v>0.08</v>
      </c>
      <c r="V187" s="31">
        <v>0.55000000000000004</v>
      </c>
      <c r="W187" s="31" t="s">
        <v>274</v>
      </c>
    </row>
    <row r="188" spans="1:23" x14ac:dyDescent="0.25">
      <c r="A188" s="30" t="s">
        <v>36</v>
      </c>
      <c r="B188" s="30" t="s">
        <v>59</v>
      </c>
      <c r="C188" s="30" t="s">
        <v>264</v>
      </c>
      <c r="D188" s="31" t="s">
        <v>103</v>
      </c>
      <c r="E188" s="31">
        <v>223</v>
      </c>
      <c r="F188" s="31">
        <v>223</v>
      </c>
      <c r="G188" s="31" t="s">
        <v>25</v>
      </c>
      <c r="H188" s="31" t="s">
        <v>40</v>
      </c>
      <c r="I188" s="31">
        <v>45</v>
      </c>
      <c r="J188" s="32">
        <v>25932</v>
      </c>
      <c r="K188" s="31" t="s">
        <v>274</v>
      </c>
      <c r="L188" s="32">
        <v>1012</v>
      </c>
      <c r="M188" s="32">
        <v>1026</v>
      </c>
      <c r="N188" s="31" t="s">
        <v>351</v>
      </c>
      <c r="O188" s="31">
        <v>0.08</v>
      </c>
      <c r="P188" s="31">
        <v>0.5</v>
      </c>
      <c r="Q188" s="31" t="s">
        <v>274</v>
      </c>
      <c r="R188" s="32">
        <v>1014</v>
      </c>
      <c r="S188" s="32">
        <v>1061</v>
      </c>
      <c r="T188" s="31" t="s">
        <v>353</v>
      </c>
      <c r="U188" s="31">
        <v>0.08</v>
      </c>
      <c r="V188" s="31">
        <v>0.51</v>
      </c>
      <c r="W188" s="31" t="s">
        <v>274</v>
      </c>
    </row>
    <row r="189" spans="1:23" x14ac:dyDescent="0.25">
      <c r="A189" s="30" t="s">
        <v>36</v>
      </c>
      <c r="B189" s="30" t="s">
        <v>67</v>
      </c>
      <c r="C189" s="30" t="s">
        <v>69</v>
      </c>
      <c r="D189" s="31" t="s">
        <v>20</v>
      </c>
      <c r="E189" s="31">
        <v>7049</v>
      </c>
      <c r="F189" s="31" t="s">
        <v>345</v>
      </c>
      <c r="G189" s="31" t="s">
        <v>39</v>
      </c>
      <c r="H189" s="31" t="s">
        <v>40</v>
      </c>
      <c r="I189" s="31">
        <v>45</v>
      </c>
      <c r="J189" s="32">
        <v>19067</v>
      </c>
      <c r="K189" s="31" t="s">
        <v>17</v>
      </c>
      <c r="L189" s="32">
        <v>844</v>
      </c>
      <c r="M189" s="32">
        <v>594</v>
      </c>
      <c r="N189" s="35">
        <v>0.33333333333333331</v>
      </c>
      <c r="O189" s="31">
        <v>0.08</v>
      </c>
      <c r="P189" s="31">
        <v>0.59</v>
      </c>
      <c r="Q189" s="31" t="s">
        <v>274</v>
      </c>
      <c r="R189" s="32">
        <v>673</v>
      </c>
      <c r="S189" s="32">
        <v>1023</v>
      </c>
      <c r="T189" s="35">
        <v>0.6875</v>
      </c>
      <c r="U189" s="31">
        <v>0.09</v>
      </c>
      <c r="V189" s="31">
        <v>0.6</v>
      </c>
      <c r="W189" s="31" t="s">
        <v>17</v>
      </c>
    </row>
    <row r="190" spans="1:23" x14ac:dyDescent="0.25">
      <c r="A190" s="30" t="s">
        <v>36</v>
      </c>
      <c r="B190" s="30" t="s">
        <v>67</v>
      </c>
      <c r="C190" s="30" t="s">
        <v>68</v>
      </c>
      <c r="D190" s="31" t="s">
        <v>20</v>
      </c>
      <c r="E190" s="31">
        <v>501</v>
      </c>
      <c r="F190" s="31" t="s">
        <v>346</v>
      </c>
      <c r="G190" s="31" t="s">
        <v>39</v>
      </c>
      <c r="H190" s="31" t="s">
        <v>40</v>
      </c>
      <c r="I190" s="31">
        <v>35</v>
      </c>
      <c r="J190" s="32">
        <v>11774</v>
      </c>
      <c r="K190" s="31" t="s">
        <v>17</v>
      </c>
      <c r="L190" s="32">
        <v>535</v>
      </c>
      <c r="M190" s="32">
        <v>350</v>
      </c>
      <c r="N190" s="35">
        <v>0.29166666666666669</v>
      </c>
      <c r="O190" s="31">
        <v>0.08</v>
      </c>
      <c r="P190" s="31">
        <v>0.6</v>
      </c>
      <c r="Q190" s="31" t="s">
        <v>17</v>
      </c>
      <c r="R190" s="32">
        <v>546</v>
      </c>
      <c r="S190" s="32">
        <v>533</v>
      </c>
      <c r="T190" s="35">
        <v>0.69791666666666663</v>
      </c>
      <c r="U190" s="31">
        <v>0.09</v>
      </c>
      <c r="V190" s="31">
        <v>0.51</v>
      </c>
      <c r="W190" s="31" t="s">
        <v>17</v>
      </c>
    </row>
    <row r="191" spans="1:23" x14ac:dyDescent="0.25">
      <c r="A191" s="30" t="s">
        <v>36</v>
      </c>
      <c r="B191" s="30" t="s">
        <v>67</v>
      </c>
      <c r="C191" s="30" t="s">
        <v>70</v>
      </c>
      <c r="D191" s="31" t="s">
        <v>20</v>
      </c>
      <c r="E191" s="31">
        <v>22</v>
      </c>
      <c r="F191" s="31" t="s">
        <v>345</v>
      </c>
      <c r="G191" s="31" t="s">
        <v>39</v>
      </c>
      <c r="H191" s="31" t="s">
        <v>40</v>
      </c>
      <c r="I191" s="31">
        <v>45</v>
      </c>
      <c r="J191" s="32">
        <v>19067</v>
      </c>
      <c r="K191" s="31" t="s">
        <v>17</v>
      </c>
      <c r="L191" s="32">
        <v>844</v>
      </c>
      <c r="M191" s="32">
        <v>594</v>
      </c>
      <c r="N191" s="35">
        <v>0.29166666666666669</v>
      </c>
      <c r="O191" s="31">
        <v>0.08</v>
      </c>
      <c r="P191" s="31">
        <v>0.59</v>
      </c>
      <c r="Q191" s="31" t="s">
        <v>274</v>
      </c>
      <c r="R191" s="32">
        <v>673</v>
      </c>
      <c r="S191" s="32">
        <v>1023</v>
      </c>
      <c r="T191" s="35">
        <v>0.69791666666666663</v>
      </c>
      <c r="U191" s="31">
        <v>0.09</v>
      </c>
      <c r="V191" s="31">
        <v>0.6</v>
      </c>
      <c r="W191" s="31" t="s">
        <v>17</v>
      </c>
    </row>
    <row r="192" spans="1:23" x14ac:dyDescent="0.25">
      <c r="A192" s="30" t="s">
        <v>36</v>
      </c>
      <c r="B192" s="30" t="s">
        <v>67</v>
      </c>
      <c r="C192" s="30" t="s">
        <v>266</v>
      </c>
      <c r="D192" s="31" t="s">
        <v>103</v>
      </c>
      <c r="E192" s="31">
        <v>624</v>
      </c>
      <c r="F192" s="31">
        <v>624</v>
      </c>
      <c r="G192" s="31" t="s">
        <v>61</v>
      </c>
      <c r="H192" s="31" t="s">
        <v>40</v>
      </c>
      <c r="I192" s="31">
        <v>45</v>
      </c>
      <c r="J192" s="32">
        <v>18612</v>
      </c>
      <c r="K192" s="31" t="s">
        <v>274</v>
      </c>
      <c r="L192" s="32">
        <v>870</v>
      </c>
      <c r="M192" s="32">
        <v>479</v>
      </c>
      <c r="N192" s="31" t="s">
        <v>350</v>
      </c>
      <c r="O192" s="31">
        <v>7.0000000000000007E-2</v>
      </c>
      <c r="P192" s="31">
        <v>0.64</v>
      </c>
      <c r="Q192" s="31" t="s">
        <v>274</v>
      </c>
      <c r="R192" s="32">
        <v>638</v>
      </c>
      <c r="S192" s="32">
        <v>781</v>
      </c>
      <c r="T192" s="31" t="s">
        <v>352</v>
      </c>
      <c r="U192" s="31">
        <v>0.08</v>
      </c>
      <c r="V192" s="31">
        <v>0.55000000000000004</v>
      </c>
      <c r="W192" s="31" t="s">
        <v>274</v>
      </c>
    </row>
    <row r="193" spans="1:23" x14ac:dyDescent="0.25">
      <c r="A193" s="30" t="s">
        <v>71</v>
      </c>
      <c r="B193" s="30" t="s">
        <v>267</v>
      </c>
      <c r="C193" s="30" t="s">
        <v>268</v>
      </c>
      <c r="D193" s="31" t="s">
        <v>103</v>
      </c>
      <c r="E193" s="31">
        <v>700</v>
      </c>
      <c r="F193" s="31">
        <v>700</v>
      </c>
      <c r="G193" s="31" t="s">
        <v>39</v>
      </c>
      <c r="H193" s="31" t="s">
        <v>40</v>
      </c>
      <c r="I193" s="31">
        <v>25</v>
      </c>
      <c r="J193" s="32">
        <v>702</v>
      </c>
      <c r="K193" s="31" t="s">
        <v>274</v>
      </c>
      <c r="L193" s="32">
        <v>43</v>
      </c>
      <c r="M193" s="32">
        <v>17</v>
      </c>
      <c r="N193" s="31" t="s">
        <v>351</v>
      </c>
      <c r="O193" s="31">
        <v>0.09</v>
      </c>
      <c r="P193" s="31">
        <v>0.72</v>
      </c>
      <c r="Q193" s="31" t="s">
        <v>274</v>
      </c>
      <c r="R193" s="32">
        <v>25</v>
      </c>
      <c r="S193" s="32">
        <v>31</v>
      </c>
      <c r="T193" s="31" t="s">
        <v>353</v>
      </c>
      <c r="U193" s="31">
        <v>0.08</v>
      </c>
      <c r="V193" s="31">
        <v>0.55000000000000004</v>
      </c>
      <c r="W193" s="31" t="s">
        <v>274</v>
      </c>
    </row>
    <row r="194" spans="1:23" x14ac:dyDescent="0.25">
      <c r="A194" s="30" t="s">
        <v>71</v>
      </c>
      <c r="B194" s="30" t="s">
        <v>99</v>
      </c>
      <c r="C194" s="30" t="s">
        <v>100</v>
      </c>
      <c r="D194" s="31" t="s">
        <v>20</v>
      </c>
      <c r="E194" s="31">
        <v>8152</v>
      </c>
      <c r="F194" s="31" t="s">
        <v>347</v>
      </c>
      <c r="G194" s="31" t="s">
        <v>39</v>
      </c>
      <c r="H194" s="31" t="s">
        <v>40</v>
      </c>
      <c r="I194" s="31">
        <v>35</v>
      </c>
      <c r="J194" s="32">
        <v>4140</v>
      </c>
      <c r="K194" s="31" t="s">
        <v>274</v>
      </c>
      <c r="L194" s="32">
        <v>280</v>
      </c>
      <c r="M194" s="32">
        <v>161</v>
      </c>
      <c r="N194" s="35">
        <v>0.30208333333333331</v>
      </c>
      <c r="O194" s="31">
        <v>0.11</v>
      </c>
      <c r="P194" s="31">
        <v>0.63</v>
      </c>
      <c r="Q194" s="31" t="s">
        <v>274</v>
      </c>
      <c r="R194" s="32">
        <v>203</v>
      </c>
      <c r="S194" s="32">
        <v>174</v>
      </c>
      <c r="T194" s="35">
        <v>0.69791666666666663</v>
      </c>
      <c r="U194" s="31">
        <v>0.09</v>
      </c>
      <c r="V194" s="31">
        <v>0.54</v>
      </c>
      <c r="W194" s="31" t="s">
        <v>274</v>
      </c>
    </row>
    <row r="195" spans="1:23" x14ac:dyDescent="0.25">
      <c r="A195" s="30" t="s">
        <v>71</v>
      </c>
      <c r="B195" s="30" t="s">
        <v>99</v>
      </c>
      <c r="C195" s="30" t="s">
        <v>269</v>
      </c>
      <c r="D195" s="31" t="s">
        <v>103</v>
      </c>
      <c r="E195" s="31">
        <v>800</v>
      </c>
      <c r="F195" s="31">
        <v>800</v>
      </c>
      <c r="G195" s="31" t="s">
        <v>39</v>
      </c>
      <c r="H195" s="31" t="s">
        <v>40</v>
      </c>
      <c r="I195" s="31">
        <v>35</v>
      </c>
      <c r="J195" s="32">
        <v>2374</v>
      </c>
      <c r="K195" s="31" t="s">
        <v>274</v>
      </c>
      <c r="L195" s="32">
        <v>65</v>
      </c>
      <c r="M195" s="32">
        <v>140</v>
      </c>
      <c r="N195" s="31" t="s">
        <v>350</v>
      </c>
      <c r="O195" s="31">
        <v>0.09</v>
      </c>
      <c r="P195" s="31">
        <v>0.68</v>
      </c>
      <c r="Q195" s="31" t="s">
        <v>274</v>
      </c>
      <c r="R195" s="32">
        <v>129</v>
      </c>
      <c r="S195" s="32">
        <v>79</v>
      </c>
      <c r="T195" s="31" t="s">
        <v>353</v>
      </c>
      <c r="U195" s="31">
        <v>0.09</v>
      </c>
      <c r="V195" s="31">
        <v>0.62</v>
      </c>
      <c r="W195" s="31" t="s">
        <v>274</v>
      </c>
    </row>
    <row r="196" spans="1:23" x14ac:dyDescent="0.25">
      <c r="A196" s="36" t="s">
        <v>348</v>
      </c>
      <c r="B196" s="37"/>
      <c r="C196" s="37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</row>
    <row r="197" spans="1:23" x14ac:dyDescent="0.25">
      <c r="A197" s="36" t="s">
        <v>366</v>
      </c>
      <c r="B197" s="37"/>
      <c r="C197" s="37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</row>
    <row r="198" spans="1:23" x14ac:dyDescent="0.25">
      <c r="A198" s="18"/>
      <c r="B198" s="18"/>
      <c r="C198" s="18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</row>
  </sheetData>
  <sheetProtection algorithmName="SHA-512" hashValue="gjyZ5kWARcdjWqKf4m3E/TtTY65lxV3NGCrM5EBnQ5wchJezeC+koi8+e4w0ozhulELEBuxrKaUfJQCYmsBQ8A==" saltValue="XirL+G5cepGZu8kGj93UZg==" spinCount="100000" sheet="1" objects="1" scenarios="1"/>
  <mergeCells count="12">
    <mergeCell ref="L1:Q1"/>
    <mergeCell ref="R1:W1"/>
    <mergeCell ref="F1:F2"/>
    <mergeCell ref="G1:G2"/>
    <mergeCell ref="H1:H2"/>
    <mergeCell ref="I1:I2"/>
    <mergeCell ref="J1:K1"/>
    <mergeCell ref="A1:A2"/>
    <mergeCell ref="B1:B2"/>
    <mergeCell ref="C1:C2"/>
    <mergeCell ref="D1:D2"/>
    <mergeCell ref="E1:E2"/>
  </mergeCells>
  <pageMargins left="0.75" right="0.75" top="1" bottom="1" header="0.5" footer="0.5"/>
  <pageSetup scale="38" fitToHeight="0" orientation="landscape" horizontalDpi="1200" verticalDpi="1200" r:id="rId1"/>
  <headerFooter>
    <oddHeader>&amp;C&amp;"Arial,Bold"&amp;12City of Apopka
2025 CMS Tables
Existing (2025) LOS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M198"/>
  <sheetViews>
    <sheetView workbookViewId="0">
      <selection sqref="A1:A2"/>
    </sheetView>
  </sheetViews>
  <sheetFormatPr defaultColWidth="8.6640625" defaultRowHeight="14.4" x14ac:dyDescent="0.3"/>
  <cols>
    <col min="1" max="1" width="11.5546875" style="24" customWidth="1"/>
    <col min="2" max="2" width="64.33203125" style="24" customWidth="1"/>
    <col min="3" max="3" width="56.109375" style="24" customWidth="1"/>
    <col min="4" max="4" width="11.6640625" style="11" customWidth="1"/>
    <col min="5" max="6" width="11.5546875" style="11" customWidth="1"/>
    <col min="7" max="16384" width="8.6640625" style="11"/>
  </cols>
  <sheetData>
    <row r="1" spans="1:39" x14ac:dyDescent="0.3">
      <c r="A1" s="104" t="s">
        <v>0</v>
      </c>
      <c r="B1" s="104" t="s">
        <v>1</v>
      </c>
      <c r="C1" s="104" t="s">
        <v>2</v>
      </c>
      <c r="D1" s="106" t="s">
        <v>3</v>
      </c>
      <c r="E1" s="106" t="s">
        <v>4</v>
      </c>
      <c r="F1" s="106" t="s">
        <v>5</v>
      </c>
      <c r="G1" s="108" t="s">
        <v>285</v>
      </c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10"/>
    </row>
    <row r="2" spans="1:39" ht="16.2" x14ac:dyDescent="0.3">
      <c r="A2" s="105"/>
      <c r="B2" s="105"/>
      <c r="C2" s="105"/>
      <c r="D2" s="107"/>
      <c r="E2" s="107"/>
      <c r="F2" s="107"/>
      <c r="G2" s="29">
        <v>2025</v>
      </c>
      <c r="H2" s="29">
        <v>2024</v>
      </c>
      <c r="I2" s="29">
        <v>2023</v>
      </c>
      <c r="J2" s="29">
        <v>2022</v>
      </c>
      <c r="K2" s="29" t="s">
        <v>367</v>
      </c>
      <c r="L2" s="29">
        <v>2020</v>
      </c>
      <c r="M2" s="29">
        <v>2019</v>
      </c>
      <c r="N2" s="29">
        <v>2018</v>
      </c>
      <c r="O2" s="29">
        <v>2017</v>
      </c>
      <c r="P2" s="29">
        <v>2016</v>
      </c>
      <c r="Q2" s="29">
        <v>2015</v>
      </c>
      <c r="R2" s="29">
        <v>2014</v>
      </c>
      <c r="S2" s="29">
        <v>2013</v>
      </c>
      <c r="T2" s="29">
        <v>2012</v>
      </c>
      <c r="U2" s="29">
        <v>2011</v>
      </c>
      <c r="V2" s="29">
        <v>2010</v>
      </c>
      <c r="W2" s="29">
        <v>2009</v>
      </c>
      <c r="X2" s="29">
        <v>2008</v>
      </c>
      <c r="Y2" s="29">
        <v>2007</v>
      </c>
      <c r="Z2" s="29">
        <v>2006</v>
      </c>
      <c r="AA2" s="29">
        <v>2005</v>
      </c>
      <c r="AB2" s="29">
        <v>2004</v>
      </c>
      <c r="AC2" s="29">
        <v>2003</v>
      </c>
      <c r="AD2" s="29">
        <v>2002</v>
      </c>
      <c r="AE2" s="29">
        <v>2001</v>
      </c>
      <c r="AF2" s="29">
        <v>2000</v>
      </c>
      <c r="AG2" s="29">
        <v>1999</v>
      </c>
      <c r="AH2" s="29">
        <v>1998</v>
      </c>
      <c r="AI2" s="29">
        <v>1997</v>
      </c>
      <c r="AJ2" s="29">
        <v>1995</v>
      </c>
      <c r="AK2" s="29">
        <v>1994</v>
      </c>
      <c r="AL2" s="29">
        <v>1993</v>
      </c>
      <c r="AM2" s="29" t="s">
        <v>286</v>
      </c>
    </row>
    <row r="3" spans="1:39" x14ac:dyDescent="0.3">
      <c r="A3" s="30" t="s">
        <v>71</v>
      </c>
      <c r="B3" s="30" t="s">
        <v>101</v>
      </c>
      <c r="C3" s="30" t="s">
        <v>102</v>
      </c>
      <c r="D3" s="31" t="s">
        <v>103</v>
      </c>
      <c r="E3" s="31">
        <v>411</v>
      </c>
      <c r="F3" s="31">
        <v>411</v>
      </c>
      <c r="G3" s="32">
        <v>467</v>
      </c>
      <c r="H3" s="32">
        <v>469</v>
      </c>
      <c r="I3" s="32">
        <v>475</v>
      </c>
      <c r="J3" s="32">
        <v>471</v>
      </c>
      <c r="K3" s="32">
        <v>485</v>
      </c>
      <c r="L3" s="32">
        <v>500</v>
      </c>
      <c r="M3" s="32">
        <v>498</v>
      </c>
      <c r="N3" s="32">
        <v>502</v>
      </c>
      <c r="O3" s="32">
        <v>562</v>
      </c>
      <c r="P3" s="32">
        <v>447</v>
      </c>
      <c r="Q3" s="32">
        <v>482</v>
      </c>
      <c r="R3" s="32">
        <v>467</v>
      </c>
      <c r="S3" s="32">
        <v>259</v>
      </c>
      <c r="T3" s="32">
        <v>532</v>
      </c>
      <c r="U3" s="32">
        <v>410</v>
      </c>
      <c r="V3" s="32">
        <v>215</v>
      </c>
      <c r="W3" s="39" t="s">
        <v>355</v>
      </c>
      <c r="X3" s="39" t="s">
        <v>355</v>
      </c>
      <c r="Y3" s="39" t="s">
        <v>355</v>
      </c>
      <c r="Z3" s="39" t="s">
        <v>355</v>
      </c>
      <c r="AA3" s="39" t="s">
        <v>355</v>
      </c>
      <c r="AB3" s="39" t="s">
        <v>355</v>
      </c>
      <c r="AC3" s="39" t="s">
        <v>355</v>
      </c>
      <c r="AD3" s="39" t="s">
        <v>355</v>
      </c>
      <c r="AE3" s="39" t="s">
        <v>355</v>
      </c>
      <c r="AF3" s="39" t="s">
        <v>355</v>
      </c>
      <c r="AG3" s="39" t="s">
        <v>355</v>
      </c>
      <c r="AH3" s="39" t="s">
        <v>355</v>
      </c>
      <c r="AI3" s="39" t="s">
        <v>355</v>
      </c>
      <c r="AJ3" s="39" t="s">
        <v>355</v>
      </c>
      <c r="AK3" s="39" t="s">
        <v>355</v>
      </c>
      <c r="AL3" s="39" t="s">
        <v>355</v>
      </c>
      <c r="AM3" s="39" t="s">
        <v>355</v>
      </c>
    </row>
    <row r="4" spans="1:39" x14ac:dyDescent="0.3">
      <c r="A4" s="30" t="s">
        <v>71</v>
      </c>
      <c r="B4" s="30" t="s">
        <v>104</v>
      </c>
      <c r="C4" s="30" t="s">
        <v>105</v>
      </c>
      <c r="D4" s="31" t="s">
        <v>103</v>
      </c>
      <c r="E4" s="31">
        <v>840</v>
      </c>
      <c r="F4" s="31">
        <v>840</v>
      </c>
      <c r="G4" s="32">
        <v>3017</v>
      </c>
      <c r="H4" s="32">
        <v>2871</v>
      </c>
      <c r="I4" s="32">
        <v>2771</v>
      </c>
      <c r="J4" s="32">
        <v>2697</v>
      </c>
      <c r="K4" s="32">
        <v>2488</v>
      </c>
      <c r="L4" s="32">
        <v>2278</v>
      </c>
      <c r="M4" s="32">
        <v>2570</v>
      </c>
      <c r="N4" s="32">
        <v>2553</v>
      </c>
      <c r="O4" s="32">
        <v>2428</v>
      </c>
      <c r="P4" s="32">
        <v>3285</v>
      </c>
      <c r="Q4" s="32">
        <v>2307</v>
      </c>
      <c r="R4" s="32">
        <v>2417</v>
      </c>
      <c r="S4" s="32">
        <v>1599</v>
      </c>
      <c r="T4" s="32">
        <v>1820</v>
      </c>
      <c r="U4" s="32">
        <v>2432</v>
      </c>
      <c r="V4" s="39" t="s">
        <v>355</v>
      </c>
      <c r="W4" s="39" t="s">
        <v>355</v>
      </c>
      <c r="X4" s="39" t="s">
        <v>355</v>
      </c>
      <c r="Y4" s="39" t="s">
        <v>355</v>
      </c>
      <c r="Z4" s="39" t="s">
        <v>355</v>
      </c>
      <c r="AA4" s="39" t="s">
        <v>355</v>
      </c>
      <c r="AB4" s="39" t="s">
        <v>355</v>
      </c>
      <c r="AC4" s="39" t="s">
        <v>355</v>
      </c>
      <c r="AD4" s="39" t="s">
        <v>355</v>
      </c>
      <c r="AE4" s="39" t="s">
        <v>355</v>
      </c>
      <c r="AF4" s="39" t="s">
        <v>355</v>
      </c>
      <c r="AG4" s="39" t="s">
        <v>355</v>
      </c>
      <c r="AH4" s="39" t="s">
        <v>355</v>
      </c>
      <c r="AI4" s="39" t="s">
        <v>355</v>
      </c>
      <c r="AJ4" s="39" t="s">
        <v>355</v>
      </c>
      <c r="AK4" s="39" t="s">
        <v>355</v>
      </c>
      <c r="AL4" s="39" t="s">
        <v>355</v>
      </c>
      <c r="AM4" s="39" t="s">
        <v>355</v>
      </c>
    </row>
    <row r="5" spans="1:39" x14ac:dyDescent="0.3">
      <c r="A5" s="30" t="s">
        <v>71</v>
      </c>
      <c r="B5" s="30" t="s">
        <v>104</v>
      </c>
      <c r="C5" s="30" t="s">
        <v>106</v>
      </c>
      <c r="D5" s="31" t="s">
        <v>103</v>
      </c>
      <c r="E5" s="31">
        <v>841</v>
      </c>
      <c r="F5" s="31">
        <v>841</v>
      </c>
      <c r="G5" s="32">
        <v>3788</v>
      </c>
      <c r="H5" s="32">
        <v>3692</v>
      </c>
      <c r="I5" s="32">
        <v>3642</v>
      </c>
      <c r="J5" s="32">
        <v>3639</v>
      </c>
      <c r="K5" s="32">
        <v>3450</v>
      </c>
      <c r="L5" s="32">
        <v>3260</v>
      </c>
      <c r="M5" s="32">
        <v>3677</v>
      </c>
      <c r="N5" s="32">
        <v>3724</v>
      </c>
      <c r="O5" s="32">
        <v>3414</v>
      </c>
      <c r="P5" s="32">
        <v>3384</v>
      </c>
      <c r="Q5" s="32">
        <v>2862</v>
      </c>
      <c r="R5" s="32">
        <v>2430</v>
      </c>
      <c r="S5" s="32">
        <v>2057</v>
      </c>
      <c r="T5" s="32">
        <v>2480</v>
      </c>
      <c r="U5" s="32">
        <v>2491</v>
      </c>
      <c r="V5" s="39" t="s">
        <v>355</v>
      </c>
      <c r="W5" s="39" t="s">
        <v>355</v>
      </c>
      <c r="X5" s="39" t="s">
        <v>355</v>
      </c>
      <c r="Y5" s="39" t="s">
        <v>355</v>
      </c>
      <c r="Z5" s="39" t="s">
        <v>355</v>
      </c>
      <c r="AA5" s="39" t="s">
        <v>355</v>
      </c>
      <c r="AB5" s="39" t="s">
        <v>355</v>
      </c>
      <c r="AC5" s="39" t="s">
        <v>355</v>
      </c>
      <c r="AD5" s="39" t="s">
        <v>355</v>
      </c>
      <c r="AE5" s="39" t="s">
        <v>355</v>
      </c>
      <c r="AF5" s="39" t="s">
        <v>355</v>
      </c>
      <c r="AG5" s="39" t="s">
        <v>355</v>
      </c>
      <c r="AH5" s="39" t="s">
        <v>355</v>
      </c>
      <c r="AI5" s="39" t="s">
        <v>355</v>
      </c>
      <c r="AJ5" s="39" t="s">
        <v>355</v>
      </c>
      <c r="AK5" s="39" t="s">
        <v>355</v>
      </c>
      <c r="AL5" s="39" t="s">
        <v>355</v>
      </c>
      <c r="AM5" s="39" t="s">
        <v>355</v>
      </c>
    </row>
    <row r="6" spans="1:39" x14ac:dyDescent="0.3">
      <c r="A6" s="30" t="s">
        <v>71</v>
      </c>
      <c r="B6" s="30" t="s">
        <v>107</v>
      </c>
      <c r="C6" s="30" t="s">
        <v>32</v>
      </c>
      <c r="D6" s="31" t="s">
        <v>103</v>
      </c>
      <c r="E6" s="31">
        <v>401</v>
      </c>
      <c r="F6" s="31">
        <v>401</v>
      </c>
      <c r="G6" s="32">
        <v>897</v>
      </c>
      <c r="H6" s="32">
        <v>947</v>
      </c>
      <c r="I6" s="32">
        <v>994</v>
      </c>
      <c r="J6" s="32">
        <v>1025</v>
      </c>
      <c r="K6" s="32">
        <v>1100</v>
      </c>
      <c r="L6" s="32">
        <v>1174</v>
      </c>
      <c r="M6" s="32">
        <v>1147</v>
      </c>
      <c r="N6" s="32">
        <v>1098</v>
      </c>
      <c r="O6" s="32">
        <v>1061</v>
      </c>
      <c r="P6" s="32">
        <v>1040</v>
      </c>
      <c r="Q6" s="32">
        <v>960</v>
      </c>
      <c r="R6" s="32">
        <v>959</v>
      </c>
      <c r="S6" s="32">
        <v>1267</v>
      </c>
      <c r="T6" s="32">
        <v>1282</v>
      </c>
      <c r="U6" s="32">
        <v>1160</v>
      </c>
      <c r="V6" s="32">
        <v>997</v>
      </c>
      <c r="W6" s="39" t="s">
        <v>355</v>
      </c>
      <c r="X6" s="39" t="s">
        <v>355</v>
      </c>
      <c r="Y6" s="39" t="s">
        <v>355</v>
      </c>
      <c r="Z6" s="39" t="s">
        <v>355</v>
      </c>
      <c r="AA6" s="39" t="s">
        <v>355</v>
      </c>
      <c r="AB6" s="39" t="s">
        <v>355</v>
      </c>
      <c r="AC6" s="39" t="s">
        <v>355</v>
      </c>
      <c r="AD6" s="39" t="s">
        <v>355</v>
      </c>
      <c r="AE6" s="39" t="s">
        <v>355</v>
      </c>
      <c r="AF6" s="39" t="s">
        <v>355</v>
      </c>
      <c r="AG6" s="39" t="s">
        <v>355</v>
      </c>
      <c r="AH6" s="39" t="s">
        <v>355</v>
      </c>
      <c r="AI6" s="39" t="s">
        <v>355</v>
      </c>
      <c r="AJ6" s="39" t="s">
        <v>355</v>
      </c>
      <c r="AK6" s="39" t="s">
        <v>355</v>
      </c>
      <c r="AL6" s="39" t="s">
        <v>355</v>
      </c>
      <c r="AM6" s="39" t="s">
        <v>355</v>
      </c>
    </row>
    <row r="7" spans="1:39" x14ac:dyDescent="0.3">
      <c r="A7" s="30" t="s">
        <v>71</v>
      </c>
      <c r="B7" s="30" t="s">
        <v>108</v>
      </c>
      <c r="C7" s="30" t="s">
        <v>33</v>
      </c>
      <c r="D7" s="31" t="s">
        <v>103</v>
      </c>
      <c r="E7" s="31">
        <v>403</v>
      </c>
      <c r="F7" s="31">
        <v>403</v>
      </c>
      <c r="G7" s="32">
        <v>1778</v>
      </c>
      <c r="H7" s="32">
        <v>2708</v>
      </c>
      <c r="I7" s="32">
        <v>2836</v>
      </c>
      <c r="J7" s="32">
        <v>3921</v>
      </c>
      <c r="K7" s="32">
        <v>3818</v>
      </c>
      <c r="L7" s="32">
        <v>3714</v>
      </c>
      <c r="M7" s="32">
        <v>1978</v>
      </c>
      <c r="N7" s="32">
        <v>1014</v>
      </c>
      <c r="O7" s="32">
        <v>594</v>
      </c>
      <c r="P7" s="32">
        <v>759</v>
      </c>
      <c r="Q7" s="32">
        <v>704</v>
      </c>
      <c r="R7" s="32">
        <v>598</v>
      </c>
      <c r="S7" s="32">
        <v>714</v>
      </c>
      <c r="T7" s="32">
        <v>718</v>
      </c>
      <c r="U7" s="32">
        <v>515</v>
      </c>
      <c r="V7" s="32">
        <v>1908</v>
      </c>
      <c r="W7" s="39" t="s">
        <v>355</v>
      </c>
      <c r="X7" s="39" t="s">
        <v>355</v>
      </c>
      <c r="Y7" s="39" t="s">
        <v>355</v>
      </c>
      <c r="Z7" s="39" t="s">
        <v>355</v>
      </c>
      <c r="AA7" s="39" t="s">
        <v>355</v>
      </c>
      <c r="AB7" s="39" t="s">
        <v>355</v>
      </c>
      <c r="AC7" s="39" t="s">
        <v>355</v>
      </c>
      <c r="AD7" s="39" t="s">
        <v>355</v>
      </c>
      <c r="AE7" s="39" t="s">
        <v>355</v>
      </c>
      <c r="AF7" s="39" t="s">
        <v>355</v>
      </c>
      <c r="AG7" s="39" t="s">
        <v>355</v>
      </c>
      <c r="AH7" s="39" t="s">
        <v>355</v>
      </c>
      <c r="AI7" s="39" t="s">
        <v>355</v>
      </c>
      <c r="AJ7" s="39" t="s">
        <v>355</v>
      </c>
      <c r="AK7" s="39" t="s">
        <v>355</v>
      </c>
      <c r="AL7" s="39" t="s">
        <v>355</v>
      </c>
      <c r="AM7" s="39" t="s">
        <v>355</v>
      </c>
    </row>
    <row r="8" spans="1:39" x14ac:dyDescent="0.3">
      <c r="A8" s="30" t="s">
        <v>71</v>
      </c>
      <c r="B8" s="30" t="s">
        <v>109</v>
      </c>
      <c r="C8" s="30" t="s">
        <v>110</v>
      </c>
      <c r="D8" s="31" t="s">
        <v>103</v>
      </c>
      <c r="E8" s="31">
        <v>650</v>
      </c>
      <c r="F8" s="31">
        <v>650</v>
      </c>
      <c r="G8" s="32">
        <v>2283</v>
      </c>
      <c r="H8" s="32">
        <v>3126</v>
      </c>
      <c r="I8" s="32">
        <v>3084</v>
      </c>
      <c r="J8" s="32">
        <v>4585</v>
      </c>
      <c r="K8" s="32">
        <v>3556</v>
      </c>
      <c r="L8" s="32">
        <v>2528</v>
      </c>
      <c r="M8" s="32">
        <v>2137</v>
      </c>
      <c r="N8" s="32">
        <v>2535</v>
      </c>
      <c r="O8" s="32">
        <v>2209</v>
      </c>
      <c r="P8" s="32">
        <v>2752</v>
      </c>
      <c r="Q8" s="32">
        <v>1963</v>
      </c>
      <c r="R8" s="32">
        <v>2029</v>
      </c>
      <c r="S8" s="32">
        <v>1895</v>
      </c>
      <c r="T8" s="32">
        <v>2045</v>
      </c>
      <c r="U8" s="32">
        <v>1824</v>
      </c>
      <c r="V8" s="32">
        <v>2223</v>
      </c>
      <c r="W8" s="32">
        <v>2824</v>
      </c>
      <c r="X8" s="32">
        <v>3284</v>
      </c>
      <c r="Y8" s="32">
        <v>3628</v>
      </c>
      <c r="Z8" s="32">
        <v>3633</v>
      </c>
      <c r="AA8" s="32">
        <v>2996</v>
      </c>
      <c r="AB8" s="32">
        <v>3135</v>
      </c>
      <c r="AC8" s="32">
        <v>3114</v>
      </c>
      <c r="AD8" s="32">
        <v>2172</v>
      </c>
      <c r="AE8" s="32">
        <v>2803</v>
      </c>
      <c r="AF8" s="32">
        <v>2101</v>
      </c>
      <c r="AG8" s="32">
        <v>2450</v>
      </c>
      <c r="AH8" s="32">
        <v>2748</v>
      </c>
      <c r="AI8" s="32">
        <v>2126</v>
      </c>
      <c r="AJ8" s="32">
        <v>2565</v>
      </c>
      <c r="AK8" s="32">
        <v>2707</v>
      </c>
      <c r="AL8" s="32">
        <v>2623</v>
      </c>
      <c r="AM8" s="32">
        <v>1549</v>
      </c>
    </row>
    <row r="9" spans="1:39" x14ac:dyDescent="0.3">
      <c r="A9" s="30" t="s">
        <v>71</v>
      </c>
      <c r="B9" s="30" t="s">
        <v>109</v>
      </c>
      <c r="C9" s="30" t="s">
        <v>111</v>
      </c>
      <c r="D9" s="31" t="s">
        <v>103</v>
      </c>
      <c r="E9" s="31">
        <v>410</v>
      </c>
      <c r="F9" s="31">
        <v>410</v>
      </c>
      <c r="G9" s="32">
        <v>1435</v>
      </c>
      <c r="H9" s="32">
        <v>1848</v>
      </c>
      <c r="I9" s="32">
        <v>1699</v>
      </c>
      <c r="J9" s="32">
        <v>2560</v>
      </c>
      <c r="K9" s="32">
        <v>1674</v>
      </c>
      <c r="L9" s="32">
        <v>787</v>
      </c>
      <c r="M9" s="32" t="s">
        <v>359</v>
      </c>
      <c r="N9" s="32">
        <v>693</v>
      </c>
      <c r="O9" s="32">
        <v>345</v>
      </c>
      <c r="P9" s="32">
        <v>544</v>
      </c>
      <c r="Q9" s="32">
        <v>559</v>
      </c>
      <c r="R9" s="32">
        <v>599</v>
      </c>
      <c r="S9" s="32">
        <v>609</v>
      </c>
      <c r="T9" s="32">
        <v>618</v>
      </c>
      <c r="U9" s="32">
        <v>606</v>
      </c>
      <c r="V9" s="32">
        <v>681</v>
      </c>
      <c r="W9" s="39" t="s">
        <v>355</v>
      </c>
      <c r="X9" s="39" t="s">
        <v>355</v>
      </c>
      <c r="Y9" s="39" t="s">
        <v>355</v>
      </c>
      <c r="Z9" s="39" t="s">
        <v>355</v>
      </c>
      <c r="AA9" s="39" t="s">
        <v>355</v>
      </c>
      <c r="AB9" s="39" t="s">
        <v>355</v>
      </c>
      <c r="AC9" s="39" t="s">
        <v>355</v>
      </c>
      <c r="AD9" s="39" t="s">
        <v>355</v>
      </c>
      <c r="AE9" s="39" t="s">
        <v>355</v>
      </c>
      <c r="AF9" s="39" t="s">
        <v>355</v>
      </c>
      <c r="AG9" s="39" t="s">
        <v>355</v>
      </c>
      <c r="AH9" s="39" t="s">
        <v>355</v>
      </c>
      <c r="AI9" s="39" t="s">
        <v>355</v>
      </c>
      <c r="AJ9" s="39" t="s">
        <v>355</v>
      </c>
      <c r="AK9" s="39" t="s">
        <v>355</v>
      </c>
      <c r="AL9" s="39" t="s">
        <v>355</v>
      </c>
      <c r="AM9" s="39" t="s">
        <v>355</v>
      </c>
    </row>
    <row r="10" spans="1:39" x14ac:dyDescent="0.3">
      <c r="A10" s="30" t="s">
        <v>71</v>
      </c>
      <c r="B10" s="30" t="s">
        <v>112</v>
      </c>
      <c r="C10" s="30" t="s">
        <v>33</v>
      </c>
      <c r="D10" s="31" t="s">
        <v>103</v>
      </c>
      <c r="E10" s="31">
        <v>404</v>
      </c>
      <c r="F10" s="31">
        <v>404</v>
      </c>
      <c r="G10" s="32">
        <v>3069</v>
      </c>
      <c r="H10" s="32">
        <v>4231</v>
      </c>
      <c r="I10" s="32">
        <v>4097</v>
      </c>
      <c r="J10" s="32">
        <v>6389</v>
      </c>
      <c r="K10" s="32">
        <v>4559</v>
      </c>
      <c r="L10" s="32">
        <v>2730</v>
      </c>
      <c r="M10" s="32">
        <v>2664</v>
      </c>
      <c r="N10" s="32">
        <v>2508</v>
      </c>
      <c r="O10" s="32">
        <v>2534</v>
      </c>
      <c r="P10" s="32">
        <v>2787</v>
      </c>
      <c r="Q10" s="32">
        <v>2170</v>
      </c>
      <c r="R10" s="32">
        <v>2601</v>
      </c>
      <c r="S10" s="32">
        <v>2622</v>
      </c>
      <c r="T10" s="32">
        <v>2497</v>
      </c>
      <c r="U10" s="32">
        <v>2374</v>
      </c>
      <c r="V10" s="32">
        <v>2548</v>
      </c>
      <c r="W10" s="39" t="s">
        <v>355</v>
      </c>
      <c r="X10" s="39" t="s">
        <v>355</v>
      </c>
      <c r="Y10" s="39" t="s">
        <v>355</v>
      </c>
      <c r="Z10" s="39" t="s">
        <v>355</v>
      </c>
      <c r="AA10" s="39" t="s">
        <v>355</v>
      </c>
      <c r="AB10" s="39" t="s">
        <v>355</v>
      </c>
      <c r="AC10" s="39" t="s">
        <v>355</v>
      </c>
      <c r="AD10" s="39" t="s">
        <v>355</v>
      </c>
      <c r="AE10" s="39" t="s">
        <v>355</v>
      </c>
      <c r="AF10" s="39" t="s">
        <v>355</v>
      </c>
      <c r="AG10" s="39" t="s">
        <v>355</v>
      </c>
      <c r="AH10" s="39" t="s">
        <v>355</v>
      </c>
      <c r="AI10" s="39" t="s">
        <v>355</v>
      </c>
      <c r="AJ10" s="39" t="s">
        <v>355</v>
      </c>
      <c r="AK10" s="39" t="s">
        <v>355</v>
      </c>
      <c r="AL10" s="39" t="s">
        <v>355</v>
      </c>
      <c r="AM10" s="39" t="s">
        <v>355</v>
      </c>
    </row>
    <row r="11" spans="1:39" x14ac:dyDescent="0.3">
      <c r="A11" s="30" t="s">
        <v>71</v>
      </c>
      <c r="B11" s="30" t="s">
        <v>113</v>
      </c>
      <c r="C11" s="30" t="s">
        <v>32</v>
      </c>
      <c r="D11" s="31" t="s">
        <v>103</v>
      </c>
      <c r="E11" s="31">
        <v>333</v>
      </c>
      <c r="F11" s="31">
        <v>333</v>
      </c>
      <c r="G11" s="32">
        <v>3797</v>
      </c>
      <c r="H11" s="32">
        <v>4081</v>
      </c>
      <c r="I11" s="32">
        <v>4264</v>
      </c>
      <c r="J11" s="32">
        <v>4461</v>
      </c>
      <c r="K11" s="32">
        <v>4773</v>
      </c>
      <c r="L11" s="32">
        <v>5086</v>
      </c>
      <c r="M11" s="32">
        <v>4661</v>
      </c>
      <c r="N11" s="32">
        <v>4049</v>
      </c>
      <c r="O11" s="32">
        <v>3954</v>
      </c>
      <c r="P11" s="32">
        <v>3998</v>
      </c>
      <c r="Q11" s="32">
        <v>3343</v>
      </c>
      <c r="R11" s="32">
        <v>3116</v>
      </c>
      <c r="S11" s="32">
        <v>3059</v>
      </c>
      <c r="T11" s="32">
        <v>2908</v>
      </c>
      <c r="U11" s="32">
        <v>2572</v>
      </c>
      <c r="V11" s="32">
        <v>2784</v>
      </c>
      <c r="W11" s="32">
        <v>2729</v>
      </c>
      <c r="X11" s="32">
        <v>3049</v>
      </c>
      <c r="Y11" s="32"/>
      <c r="Z11" s="32"/>
      <c r="AA11" s="32">
        <v>3529</v>
      </c>
      <c r="AB11" s="32">
        <v>3298</v>
      </c>
      <c r="AC11" s="32">
        <v>4198</v>
      </c>
      <c r="AD11" s="32"/>
      <c r="AE11" s="32"/>
      <c r="AF11" s="32"/>
      <c r="AG11" s="32"/>
      <c r="AH11" s="32">
        <v>3723</v>
      </c>
      <c r="AI11" s="32">
        <v>3366</v>
      </c>
      <c r="AJ11" s="39" t="s">
        <v>355</v>
      </c>
      <c r="AK11" s="39" t="s">
        <v>355</v>
      </c>
      <c r="AL11" s="39" t="s">
        <v>355</v>
      </c>
      <c r="AM11" s="39" t="s">
        <v>355</v>
      </c>
    </row>
    <row r="12" spans="1:39" x14ac:dyDescent="0.3">
      <c r="A12" s="30" t="s">
        <v>71</v>
      </c>
      <c r="B12" s="30" t="s">
        <v>114</v>
      </c>
      <c r="C12" s="30" t="s">
        <v>115</v>
      </c>
      <c r="D12" s="31" t="s">
        <v>103</v>
      </c>
      <c r="E12" s="31">
        <v>409</v>
      </c>
      <c r="F12" s="31">
        <v>409</v>
      </c>
      <c r="G12" s="32">
        <v>297</v>
      </c>
      <c r="H12" s="32">
        <v>336</v>
      </c>
      <c r="I12" s="32">
        <v>353</v>
      </c>
      <c r="J12" s="32">
        <v>366</v>
      </c>
      <c r="K12" s="32">
        <v>422</v>
      </c>
      <c r="L12" s="32">
        <v>479</v>
      </c>
      <c r="M12" s="32">
        <v>336</v>
      </c>
      <c r="N12" s="32">
        <v>670</v>
      </c>
      <c r="O12" s="32">
        <v>786</v>
      </c>
      <c r="P12" s="32">
        <v>1003</v>
      </c>
      <c r="Q12" s="32">
        <v>362</v>
      </c>
      <c r="R12" s="32">
        <v>367</v>
      </c>
      <c r="S12" s="32">
        <v>444</v>
      </c>
      <c r="T12" s="32">
        <v>380</v>
      </c>
      <c r="U12" s="32">
        <v>329</v>
      </c>
      <c r="V12" s="32">
        <v>261</v>
      </c>
      <c r="W12" s="39" t="s">
        <v>355</v>
      </c>
      <c r="X12" s="39" t="s">
        <v>355</v>
      </c>
      <c r="Y12" s="39" t="s">
        <v>355</v>
      </c>
      <c r="Z12" s="39" t="s">
        <v>355</v>
      </c>
      <c r="AA12" s="39" t="s">
        <v>355</v>
      </c>
      <c r="AB12" s="39" t="s">
        <v>355</v>
      </c>
      <c r="AC12" s="39" t="s">
        <v>355</v>
      </c>
      <c r="AD12" s="39" t="s">
        <v>355</v>
      </c>
      <c r="AE12" s="39" t="s">
        <v>355</v>
      </c>
      <c r="AF12" s="39" t="s">
        <v>355</v>
      </c>
      <c r="AG12" s="39" t="s">
        <v>355</v>
      </c>
      <c r="AH12" s="39" t="s">
        <v>355</v>
      </c>
      <c r="AI12" s="39" t="s">
        <v>355</v>
      </c>
      <c r="AJ12" s="39" t="s">
        <v>355</v>
      </c>
      <c r="AK12" s="39" t="s">
        <v>355</v>
      </c>
      <c r="AL12" s="39" t="s">
        <v>355</v>
      </c>
      <c r="AM12" s="39" t="s">
        <v>355</v>
      </c>
    </row>
    <row r="13" spans="1:39" ht="15" customHeight="1" x14ac:dyDescent="0.3">
      <c r="A13" s="30" t="s">
        <v>71</v>
      </c>
      <c r="B13" s="30" t="s">
        <v>116</v>
      </c>
      <c r="C13" s="30" t="s">
        <v>117</v>
      </c>
      <c r="D13" s="31" t="s">
        <v>103</v>
      </c>
      <c r="E13" s="31">
        <v>971</v>
      </c>
      <c r="F13" s="31">
        <v>971</v>
      </c>
      <c r="G13" s="32">
        <v>1224</v>
      </c>
      <c r="H13" s="32">
        <v>1328</v>
      </c>
      <c r="I13" s="32">
        <v>1297</v>
      </c>
      <c r="J13" s="32">
        <v>1513</v>
      </c>
      <c r="K13" s="32">
        <v>1315</v>
      </c>
      <c r="L13" s="32">
        <v>1116</v>
      </c>
      <c r="M13" s="32">
        <v>1070</v>
      </c>
      <c r="N13" s="32">
        <v>903</v>
      </c>
      <c r="O13" s="32">
        <v>771</v>
      </c>
      <c r="P13" s="32">
        <v>900</v>
      </c>
      <c r="Q13" s="32">
        <v>689</v>
      </c>
      <c r="R13" s="32">
        <v>555</v>
      </c>
      <c r="S13" s="32">
        <v>550</v>
      </c>
      <c r="T13" s="32">
        <v>271</v>
      </c>
      <c r="U13" s="32">
        <v>272</v>
      </c>
      <c r="V13" s="32">
        <v>227</v>
      </c>
      <c r="W13" s="32">
        <v>265</v>
      </c>
      <c r="X13" s="39" t="s">
        <v>355</v>
      </c>
      <c r="Y13" s="39" t="s">
        <v>355</v>
      </c>
      <c r="Z13" s="39" t="s">
        <v>355</v>
      </c>
      <c r="AA13" s="39" t="s">
        <v>355</v>
      </c>
      <c r="AB13" s="39" t="s">
        <v>355</v>
      </c>
      <c r="AC13" s="39" t="s">
        <v>355</v>
      </c>
      <c r="AD13" s="39" t="s">
        <v>355</v>
      </c>
      <c r="AE13" s="39" t="s">
        <v>355</v>
      </c>
      <c r="AF13" s="39" t="s">
        <v>355</v>
      </c>
      <c r="AG13" s="39" t="s">
        <v>355</v>
      </c>
      <c r="AH13" s="39" t="s">
        <v>355</v>
      </c>
      <c r="AI13" s="39" t="s">
        <v>355</v>
      </c>
      <c r="AJ13" s="39" t="s">
        <v>355</v>
      </c>
      <c r="AK13" s="39" t="s">
        <v>355</v>
      </c>
      <c r="AL13" s="39" t="s">
        <v>355</v>
      </c>
      <c r="AM13" s="39" t="s">
        <v>355</v>
      </c>
    </row>
    <row r="14" spans="1:39" x14ac:dyDescent="0.3">
      <c r="A14" s="30" t="s">
        <v>71</v>
      </c>
      <c r="B14" s="30" t="s">
        <v>72</v>
      </c>
      <c r="C14" s="30" t="s">
        <v>75</v>
      </c>
      <c r="D14" s="31" t="s">
        <v>20</v>
      </c>
      <c r="E14" s="31">
        <v>554</v>
      </c>
      <c r="F14" s="31" t="s">
        <v>294</v>
      </c>
      <c r="G14" s="32">
        <v>6099</v>
      </c>
      <c r="H14" s="32">
        <v>5661</v>
      </c>
      <c r="I14" s="32">
        <v>5482</v>
      </c>
      <c r="J14" s="32">
        <v>5371</v>
      </c>
      <c r="K14" s="32">
        <v>5035</v>
      </c>
      <c r="L14" s="32">
        <v>4698</v>
      </c>
      <c r="M14" s="32">
        <v>4935</v>
      </c>
      <c r="N14" s="32">
        <v>4423</v>
      </c>
      <c r="O14" s="32">
        <v>4268</v>
      </c>
      <c r="P14" s="32">
        <v>3967</v>
      </c>
      <c r="Q14" s="32">
        <v>4009</v>
      </c>
      <c r="R14" s="32">
        <v>3590</v>
      </c>
      <c r="S14" s="32">
        <v>3178</v>
      </c>
      <c r="T14" s="32">
        <v>4416</v>
      </c>
      <c r="U14" s="32">
        <v>3611</v>
      </c>
      <c r="V14" s="32">
        <v>4191</v>
      </c>
      <c r="W14" s="32">
        <v>4399</v>
      </c>
      <c r="X14" s="32">
        <v>3929</v>
      </c>
      <c r="Y14" s="32">
        <v>4317</v>
      </c>
      <c r="Z14" s="32">
        <v>3861</v>
      </c>
      <c r="AA14" s="32">
        <v>3430</v>
      </c>
      <c r="AB14" s="32">
        <v>3683</v>
      </c>
      <c r="AC14" s="32">
        <v>3862</v>
      </c>
      <c r="AD14" s="32">
        <v>3948</v>
      </c>
      <c r="AE14" s="32">
        <v>3507</v>
      </c>
      <c r="AF14" s="32">
        <v>3806</v>
      </c>
      <c r="AG14" s="32">
        <v>6668</v>
      </c>
      <c r="AH14" s="32">
        <v>5469</v>
      </c>
      <c r="AI14" s="32">
        <v>4534</v>
      </c>
      <c r="AJ14" s="39" t="s">
        <v>355</v>
      </c>
      <c r="AK14" s="39" t="s">
        <v>355</v>
      </c>
      <c r="AL14" s="39" t="s">
        <v>355</v>
      </c>
      <c r="AM14" s="39" t="s">
        <v>355</v>
      </c>
    </row>
    <row r="15" spans="1:39" x14ac:dyDescent="0.3">
      <c r="A15" s="30" t="s">
        <v>71</v>
      </c>
      <c r="B15" s="30" t="s">
        <v>72</v>
      </c>
      <c r="C15" s="30" t="s">
        <v>74</v>
      </c>
      <c r="D15" s="31" t="s">
        <v>20</v>
      </c>
      <c r="E15" s="31">
        <v>553</v>
      </c>
      <c r="F15" s="31" t="s">
        <v>293</v>
      </c>
      <c r="G15" s="32">
        <v>8813</v>
      </c>
      <c r="H15" s="32">
        <v>6768.5</v>
      </c>
      <c r="I15" s="32">
        <v>6579</v>
      </c>
      <c r="J15" s="32">
        <v>7452</v>
      </c>
      <c r="K15" s="32">
        <v>7061</v>
      </c>
      <c r="L15" s="32">
        <v>6669</v>
      </c>
      <c r="M15" s="32">
        <v>5495</v>
      </c>
      <c r="N15" s="32">
        <v>6069</v>
      </c>
      <c r="O15" s="32">
        <v>5638</v>
      </c>
      <c r="P15" s="32">
        <v>5319</v>
      </c>
      <c r="Q15" s="32">
        <v>4774</v>
      </c>
      <c r="R15" s="32">
        <v>4419</v>
      </c>
      <c r="S15" s="32">
        <v>3846</v>
      </c>
      <c r="T15" s="32">
        <v>4987</v>
      </c>
      <c r="U15" s="32">
        <v>5113</v>
      </c>
      <c r="V15" s="32">
        <v>5210</v>
      </c>
      <c r="W15" s="32">
        <v>5120</v>
      </c>
      <c r="X15" s="32">
        <v>4961</v>
      </c>
      <c r="Y15" s="32">
        <v>4884</v>
      </c>
      <c r="Z15" s="32">
        <v>4837</v>
      </c>
      <c r="AA15" s="32">
        <v>4018</v>
      </c>
      <c r="AB15" s="32">
        <v>4255</v>
      </c>
      <c r="AC15" s="32">
        <v>3797</v>
      </c>
      <c r="AD15" s="32">
        <v>3743</v>
      </c>
      <c r="AE15" s="32">
        <v>4036</v>
      </c>
      <c r="AF15" s="32">
        <v>4159</v>
      </c>
      <c r="AG15" s="32">
        <v>6459</v>
      </c>
      <c r="AH15" s="32">
        <v>6801</v>
      </c>
      <c r="AI15" s="32">
        <v>5889</v>
      </c>
      <c r="AJ15" s="32">
        <v>4966</v>
      </c>
      <c r="AK15" s="32">
        <v>5963</v>
      </c>
      <c r="AL15" s="32">
        <v>5812</v>
      </c>
      <c r="AM15" s="32">
        <v>4018</v>
      </c>
    </row>
    <row r="16" spans="1:39" x14ac:dyDescent="0.3">
      <c r="A16" s="30" t="s">
        <v>71</v>
      </c>
      <c r="B16" s="30" t="s">
        <v>72</v>
      </c>
      <c r="C16" s="30" t="s">
        <v>73</v>
      </c>
      <c r="D16" s="31" t="s">
        <v>20</v>
      </c>
      <c r="E16" s="31">
        <v>28</v>
      </c>
      <c r="F16" s="31" t="s">
        <v>295</v>
      </c>
      <c r="G16" s="32">
        <v>7282</v>
      </c>
      <c r="H16" s="32">
        <v>5535</v>
      </c>
      <c r="I16" s="32">
        <v>5553</v>
      </c>
      <c r="J16" s="32">
        <v>5391</v>
      </c>
      <c r="K16" s="32">
        <v>5000</v>
      </c>
      <c r="L16" s="32">
        <v>4609</v>
      </c>
      <c r="M16" s="32">
        <v>4249</v>
      </c>
      <c r="N16" s="32">
        <v>3857</v>
      </c>
      <c r="O16" s="32">
        <v>4171</v>
      </c>
      <c r="P16" s="32">
        <v>3844</v>
      </c>
      <c r="Q16" s="32">
        <v>3580</v>
      </c>
      <c r="R16" s="32">
        <v>3324</v>
      </c>
      <c r="S16" s="32">
        <v>3090</v>
      </c>
      <c r="T16" s="32">
        <v>4141</v>
      </c>
      <c r="U16" s="32">
        <v>4099</v>
      </c>
      <c r="V16" s="32">
        <v>440</v>
      </c>
      <c r="W16" s="32">
        <v>3848</v>
      </c>
      <c r="X16" s="32">
        <v>3713</v>
      </c>
      <c r="Y16" s="32">
        <v>4305</v>
      </c>
      <c r="Z16" s="32">
        <v>4144</v>
      </c>
      <c r="AA16" s="32">
        <v>4234</v>
      </c>
      <c r="AB16" s="32">
        <v>4058</v>
      </c>
      <c r="AC16" s="32">
        <v>3863</v>
      </c>
      <c r="AD16" s="32">
        <v>4885</v>
      </c>
      <c r="AE16" s="32">
        <v>4181</v>
      </c>
      <c r="AF16" s="39" t="s">
        <v>355</v>
      </c>
      <c r="AG16" s="39" t="s">
        <v>355</v>
      </c>
      <c r="AH16" s="39" t="s">
        <v>355</v>
      </c>
      <c r="AI16" s="39" t="s">
        <v>355</v>
      </c>
      <c r="AJ16" s="39" t="s">
        <v>355</v>
      </c>
      <c r="AK16" s="39" t="s">
        <v>355</v>
      </c>
      <c r="AL16" s="39" t="s">
        <v>355</v>
      </c>
      <c r="AM16" s="39" t="s">
        <v>355</v>
      </c>
    </row>
    <row r="17" spans="1:39" x14ac:dyDescent="0.3">
      <c r="A17" s="30" t="s">
        <v>71</v>
      </c>
      <c r="B17" s="30" t="s">
        <v>72</v>
      </c>
      <c r="C17" s="30" t="s">
        <v>118</v>
      </c>
      <c r="D17" s="31" t="s">
        <v>103</v>
      </c>
      <c r="E17" s="31">
        <v>673</v>
      </c>
      <c r="F17" s="31">
        <v>673</v>
      </c>
      <c r="G17" s="32">
        <v>9014</v>
      </c>
      <c r="H17" s="32">
        <v>7958</v>
      </c>
      <c r="I17" s="32">
        <v>7352</v>
      </c>
      <c r="J17" s="32">
        <v>6015</v>
      </c>
      <c r="K17" s="32">
        <v>5831</v>
      </c>
      <c r="L17" s="32">
        <v>5647</v>
      </c>
      <c r="M17" s="32">
        <v>5407</v>
      </c>
      <c r="N17" s="32">
        <v>5029</v>
      </c>
      <c r="O17" s="32">
        <v>4585</v>
      </c>
      <c r="P17" s="32">
        <v>4253</v>
      </c>
      <c r="Q17" s="32">
        <v>3899</v>
      </c>
      <c r="R17" s="32">
        <v>3767</v>
      </c>
      <c r="S17" s="32">
        <v>3090</v>
      </c>
      <c r="T17" s="32">
        <v>4141</v>
      </c>
      <c r="U17" s="32">
        <v>4099</v>
      </c>
      <c r="V17" s="32">
        <v>440</v>
      </c>
      <c r="W17" s="32">
        <v>3848</v>
      </c>
      <c r="X17" s="32">
        <v>3713</v>
      </c>
      <c r="Y17" s="32">
        <v>4305</v>
      </c>
      <c r="Z17" s="32">
        <v>4144</v>
      </c>
      <c r="AA17" s="32">
        <v>4234</v>
      </c>
      <c r="AB17" s="32">
        <v>4058</v>
      </c>
      <c r="AC17" s="32">
        <v>3863</v>
      </c>
      <c r="AD17" s="32">
        <v>4885</v>
      </c>
      <c r="AE17" s="32">
        <v>4181</v>
      </c>
      <c r="AF17" s="39" t="s">
        <v>355</v>
      </c>
      <c r="AG17" s="39" t="s">
        <v>355</v>
      </c>
      <c r="AH17" s="39" t="s">
        <v>355</v>
      </c>
      <c r="AI17" s="39" t="s">
        <v>355</v>
      </c>
      <c r="AJ17" s="39" t="s">
        <v>355</v>
      </c>
      <c r="AK17" s="39" t="s">
        <v>355</v>
      </c>
      <c r="AL17" s="39" t="s">
        <v>355</v>
      </c>
      <c r="AM17" s="39" t="s">
        <v>355</v>
      </c>
    </row>
    <row r="18" spans="1:39" x14ac:dyDescent="0.3">
      <c r="A18" s="30" t="s">
        <v>71</v>
      </c>
      <c r="B18" s="30" t="s">
        <v>119</v>
      </c>
      <c r="C18" s="30" t="s">
        <v>120</v>
      </c>
      <c r="D18" s="31" t="s">
        <v>103</v>
      </c>
      <c r="E18" s="31">
        <v>556</v>
      </c>
      <c r="F18" s="31">
        <v>556</v>
      </c>
      <c r="G18" s="32">
        <v>2992</v>
      </c>
      <c r="H18" s="32">
        <v>2567</v>
      </c>
      <c r="I18" s="32">
        <v>2297</v>
      </c>
      <c r="J18" s="32">
        <v>1790</v>
      </c>
      <c r="K18" s="32">
        <v>1643</v>
      </c>
      <c r="L18" s="32">
        <v>1495</v>
      </c>
      <c r="M18" s="32">
        <v>1401</v>
      </c>
      <c r="N18" s="32">
        <v>1347</v>
      </c>
      <c r="O18" s="32">
        <v>1286</v>
      </c>
      <c r="P18" s="32">
        <v>1115</v>
      </c>
      <c r="Q18" s="32">
        <v>1062</v>
      </c>
      <c r="R18" s="32">
        <v>933</v>
      </c>
      <c r="S18" s="32">
        <v>869</v>
      </c>
      <c r="T18" s="32">
        <v>986</v>
      </c>
      <c r="U18" s="32">
        <v>1401</v>
      </c>
      <c r="V18" s="32">
        <v>1205</v>
      </c>
      <c r="W18" s="32">
        <v>1023</v>
      </c>
      <c r="X18" s="32">
        <v>870</v>
      </c>
      <c r="Y18" s="32">
        <v>1033</v>
      </c>
      <c r="Z18" s="32">
        <v>1137</v>
      </c>
      <c r="AA18" s="32">
        <v>687</v>
      </c>
      <c r="AB18" s="32">
        <v>709</v>
      </c>
      <c r="AC18" s="32">
        <v>559</v>
      </c>
      <c r="AD18" s="32">
        <v>483</v>
      </c>
      <c r="AE18" s="32">
        <v>684</v>
      </c>
      <c r="AF18" s="32">
        <v>629</v>
      </c>
      <c r="AG18" s="32">
        <v>567</v>
      </c>
      <c r="AH18" s="32">
        <v>531</v>
      </c>
      <c r="AI18" s="32">
        <v>486</v>
      </c>
      <c r="AJ18" s="39" t="s">
        <v>355</v>
      </c>
      <c r="AK18" s="39" t="s">
        <v>355</v>
      </c>
      <c r="AL18" s="39" t="s">
        <v>355</v>
      </c>
      <c r="AM18" s="39" t="s">
        <v>355</v>
      </c>
    </row>
    <row r="19" spans="1:39" x14ac:dyDescent="0.3">
      <c r="A19" s="30" t="s">
        <v>71</v>
      </c>
      <c r="B19" s="30" t="s">
        <v>121</v>
      </c>
      <c r="C19" s="30" t="s">
        <v>122</v>
      </c>
      <c r="D19" s="31" t="s">
        <v>103</v>
      </c>
      <c r="E19" s="31">
        <v>557</v>
      </c>
      <c r="F19" s="31">
        <v>557</v>
      </c>
      <c r="G19" s="32">
        <v>8963</v>
      </c>
      <c r="H19" s="32">
        <v>8276</v>
      </c>
      <c r="I19" s="32">
        <v>7849</v>
      </c>
      <c r="J19" s="32">
        <v>7474</v>
      </c>
      <c r="K19" s="32">
        <v>6579</v>
      </c>
      <c r="L19" s="32">
        <v>5685</v>
      </c>
      <c r="M19" s="32">
        <v>7134</v>
      </c>
      <c r="N19" s="32">
        <v>6823</v>
      </c>
      <c r="O19" s="32">
        <v>4579</v>
      </c>
      <c r="P19" s="32">
        <v>4329</v>
      </c>
      <c r="Q19" s="32">
        <v>3458</v>
      </c>
      <c r="R19" s="32">
        <v>3351</v>
      </c>
      <c r="S19" s="32">
        <v>3021</v>
      </c>
      <c r="T19" s="32">
        <v>3053</v>
      </c>
      <c r="U19" s="32">
        <v>3980</v>
      </c>
      <c r="V19" s="32">
        <v>2944</v>
      </c>
      <c r="W19" s="32">
        <v>3792</v>
      </c>
      <c r="X19" s="32">
        <v>2626</v>
      </c>
      <c r="Y19" s="32">
        <v>2667</v>
      </c>
      <c r="Z19" s="32">
        <v>4612</v>
      </c>
      <c r="AA19" s="32">
        <v>4271</v>
      </c>
      <c r="AB19" s="32">
        <v>2727</v>
      </c>
      <c r="AC19" s="32">
        <v>3521</v>
      </c>
      <c r="AD19" s="32">
        <v>3868</v>
      </c>
      <c r="AE19" s="32">
        <v>2451</v>
      </c>
      <c r="AF19" s="32">
        <v>2479</v>
      </c>
      <c r="AG19" s="32">
        <v>2403</v>
      </c>
      <c r="AH19" s="32">
        <v>3994</v>
      </c>
      <c r="AI19" s="32">
        <v>3178</v>
      </c>
      <c r="AJ19" s="32">
        <v>3096</v>
      </c>
      <c r="AK19" s="32">
        <v>3251</v>
      </c>
      <c r="AL19" s="32">
        <v>3164</v>
      </c>
      <c r="AM19" s="32">
        <v>372</v>
      </c>
    </row>
    <row r="20" spans="1:39" x14ac:dyDescent="0.3">
      <c r="A20" s="30" t="s">
        <v>36</v>
      </c>
      <c r="B20" s="30" t="s">
        <v>37</v>
      </c>
      <c r="C20" s="30" t="s">
        <v>42</v>
      </c>
      <c r="D20" s="31" t="s">
        <v>20</v>
      </c>
      <c r="E20" s="31">
        <v>33.1</v>
      </c>
      <c r="F20" s="31" t="s">
        <v>296</v>
      </c>
      <c r="G20" s="32">
        <v>7749</v>
      </c>
      <c r="H20" s="32">
        <v>7398</v>
      </c>
      <c r="I20" s="32">
        <v>7268</v>
      </c>
      <c r="J20" s="32">
        <v>7194</v>
      </c>
      <c r="K20" s="32">
        <v>6825</v>
      </c>
      <c r="L20" s="32">
        <v>6455</v>
      </c>
      <c r="M20" s="32">
        <v>7923</v>
      </c>
      <c r="N20" s="32">
        <v>7943</v>
      </c>
      <c r="O20" s="32">
        <v>7443</v>
      </c>
      <c r="P20" s="32">
        <v>7515</v>
      </c>
      <c r="Q20" s="32">
        <v>7218</v>
      </c>
      <c r="R20" s="32">
        <v>6811</v>
      </c>
      <c r="S20" s="32">
        <v>6722</v>
      </c>
      <c r="T20" s="32">
        <v>6510</v>
      </c>
      <c r="U20" s="32">
        <v>6093</v>
      </c>
      <c r="V20" s="32">
        <v>6249</v>
      </c>
      <c r="W20" s="32">
        <v>6387</v>
      </c>
      <c r="X20" s="32">
        <v>7866</v>
      </c>
      <c r="Y20" s="32">
        <v>7653</v>
      </c>
      <c r="Z20" s="32">
        <v>8506</v>
      </c>
      <c r="AA20" s="32">
        <v>8056</v>
      </c>
      <c r="AB20" s="32">
        <v>17041</v>
      </c>
      <c r="AC20" s="32">
        <v>12175</v>
      </c>
      <c r="AD20" s="32" t="s">
        <v>357</v>
      </c>
      <c r="AE20" s="32">
        <v>8012</v>
      </c>
      <c r="AF20" s="32">
        <v>8671</v>
      </c>
      <c r="AG20" s="32">
        <v>7549</v>
      </c>
      <c r="AH20" s="39" t="s">
        <v>355</v>
      </c>
      <c r="AI20" s="39" t="s">
        <v>355</v>
      </c>
      <c r="AJ20" s="39" t="s">
        <v>355</v>
      </c>
      <c r="AK20" s="39" t="s">
        <v>355</v>
      </c>
      <c r="AL20" s="39" t="s">
        <v>355</v>
      </c>
      <c r="AM20" s="39" t="s">
        <v>355</v>
      </c>
    </row>
    <row r="21" spans="1:39" x14ac:dyDescent="0.3">
      <c r="A21" s="30" t="s">
        <v>36</v>
      </c>
      <c r="B21" s="30" t="s">
        <v>37</v>
      </c>
      <c r="C21" s="30" t="s">
        <v>38</v>
      </c>
      <c r="D21" s="31" t="s">
        <v>20</v>
      </c>
      <c r="E21" s="31">
        <v>651</v>
      </c>
      <c r="F21" s="31" t="s">
        <v>297</v>
      </c>
      <c r="G21" s="32">
        <v>4985</v>
      </c>
      <c r="H21" s="32">
        <v>4898</v>
      </c>
      <c r="I21" s="32">
        <v>4924</v>
      </c>
      <c r="J21" s="32">
        <v>4781</v>
      </c>
      <c r="K21" s="32">
        <v>4520</v>
      </c>
      <c r="L21" s="32">
        <v>4259</v>
      </c>
      <c r="M21" s="32">
        <v>4725</v>
      </c>
      <c r="N21" s="32">
        <v>4710</v>
      </c>
      <c r="O21" s="32">
        <v>4566</v>
      </c>
      <c r="P21" s="32">
        <v>4629</v>
      </c>
      <c r="Q21" s="32">
        <v>4013</v>
      </c>
      <c r="R21" s="32">
        <v>3910</v>
      </c>
      <c r="S21" s="32">
        <v>4217</v>
      </c>
      <c r="T21" s="32">
        <v>4170</v>
      </c>
      <c r="U21" s="32">
        <v>3920</v>
      </c>
      <c r="V21" s="32">
        <v>4137</v>
      </c>
      <c r="W21" s="32">
        <v>4610</v>
      </c>
      <c r="X21" s="32">
        <v>5429</v>
      </c>
      <c r="Y21" s="32">
        <v>5715</v>
      </c>
      <c r="Z21" s="32">
        <v>6310</v>
      </c>
      <c r="AA21" s="32">
        <v>5730</v>
      </c>
      <c r="AB21" s="32">
        <v>5892</v>
      </c>
      <c r="AC21" s="32">
        <v>6053</v>
      </c>
      <c r="AD21" s="32">
        <v>4287</v>
      </c>
      <c r="AE21" s="32">
        <v>7141</v>
      </c>
      <c r="AF21" s="32">
        <v>5417</v>
      </c>
      <c r="AG21" s="32">
        <v>5920</v>
      </c>
      <c r="AH21" s="32">
        <v>5707</v>
      </c>
      <c r="AI21" s="32">
        <v>5411</v>
      </c>
      <c r="AJ21" s="32">
        <v>5432</v>
      </c>
      <c r="AK21" s="32">
        <v>5114</v>
      </c>
      <c r="AL21" s="32">
        <v>4776</v>
      </c>
      <c r="AM21" s="32">
        <v>3669</v>
      </c>
    </row>
    <row r="22" spans="1:39" x14ac:dyDescent="0.3">
      <c r="A22" s="30" t="s">
        <v>36</v>
      </c>
      <c r="B22" s="30" t="s">
        <v>37</v>
      </c>
      <c r="C22" s="30" t="s">
        <v>129</v>
      </c>
      <c r="D22" s="31" t="s">
        <v>103</v>
      </c>
      <c r="E22" s="31">
        <v>671</v>
      </c>
      <c r="F22" s="31">
        <v>671</v>
      </c>
      <c r="G22" s="32">
        <v>6157</v>
      </c>
      <c r="H22" s="32">
        <v>5953</v>
      </c>
      <c r="I22" s="32">
        <v>5856</v>
      </c>
      <c r="J22" s="32">
        <v>5888</v>
      </c>
      <c r="K22" s="32">
        <v>5437</v>
      </c>
      <c r="L22" s="32">
        <v>4986</v>
      </c>
      <c r="M22" s="32">
        <v>6034</v>
      </c>
      <c r="N22" s="32">
        <v>5792</v>
      </c>
      <c r="O22" s="32">
        <v>5196</v>
      </c>
      <c r="P22" s="32">
        <v>5541</v>
      </c>
      <c r="Q22" s="32">
        <v>4748</v>
      </c>
      <c r="R22" s="32">
        <v>5230</v>
      </c>
      <c r="S22" s="39" t="s">
        <v>355</v>
      </c>
      <c r="T22" s="39" t="s">
        <v>355</v>
      </c>
      <c r="U22" s="39" t="s">
        <v>355</v>
      </c>
      <c r="V22" s="39" t="s">
        <v>355</v>
      </c>
      <c r="W22" s="39" t="s">
        <v>355</v>
      </c>
      <c r="X22" s="39" t="s">
        <v>355</v>
      </c>
      <c r="Y22" s="39" t="s">
        <v>355</v>
      </c>
      <c r="Z22" s="39" t="s">
        <v>355</v>
      </c>
      <c r="AA22" s="39" t="s">
        <v>355</v>
      </c>
      <c r="AB22" s="39" t="s">
        <v>355</v>
      </c>
      <c r="AC22" s="39" t="s">
        <v>355</v>
      </c>
      <c r="AD22" s="39" t="s">
        <v>355</v>
      </c>
      <c r="AE22" s="39" t="s">
        <v>355</v>
      </c>
      <c r="AF22" s="39" t="s">
        <v>355</v>
      </c>
      <c r="AG22" s="39" t="s">
        <v>355</v>
      </c>
      <c r="AH22" s="39" t="s">
        <v>355</v>
      </c>
      <c r="AI22" s="39" t="s">
        <v>355</v>
      </c>
      <c r="AJ22" s="39" t="s">
        <v>355</v>
      </c>
      <c r="AK22" s="39" t="s">
        <v>355</v>
      </c>
      <c r="AL22" s="39" t="s">
        <v>355</v>
      </c>
      <c r="AM22" s="39" t="s">
        <v>355</v>
      </c>
    </row>
    <row r="23" spans="1:39" x14ac:dyDescent="0.3">
      <c r="A23" s="30" t="s">
        <v>36</v>
      </c>
      <c r="B23" s="30" t="s">
        <v>37</v>
      </c>
      <c r="C23" s="30" t="s">
        <v>127</v>
      </c>
      <c r="D23" s="31" t="s">
        <v>103</v>
      </c>
      <c r="E23" s="31">
        <v>658</v>
      </c>
      <c r="F23" s="31">
        <v>658</v>
      </c>
      <c r="G23" s="32">
        <v>12357</v>
      </c>
      <c r="H23" s="32">
        <v>12178</v>
      </c>
      <c r="I23" s="32">
        <v>12042</v>
      </c>
      <c r="J23" s="32">
        <v>12259</v>
      </c>
      <c r="K23" s="32">
        <v>11530</v>
      </c>
      <c r="L23" s="32">
        <v>10801</v>
      </c>
      <c r="M23" s="32">
        <v>12180</v>
      </c>
      <c r="N23" s="32">
        <v>11748</v>
      </c>
      <c r="O23" s="32">
        <v>11735</v>
      </c>
      <c r="P23" s="32">
        <v>11564</v>
      </c>
      <c r="Q23" s="32">
        <v>11091</v>
      </c>
      <c r="R23" s="32">
        <v>9693</v>
      </c>
      <c r="S23" s="32">
        <v>11284</v>
      </c>
      <c r="T23" s="32">
        <v>10347</v>
      </c>
      <c r="U23" s="32">
        <v>9948</v>
      </c>
      <c r="V23" s="32">
        <v>10173</v>
      </c>
      <c r="W23" s="32">
        <v>10953</v>
      </c>
      <c r="X23" s="32">
        <v>12331</v>
      </c>
      <c r="Y23" s="32">
        <v>12100</v>
      </c>
      <c r="Z23" s="32">
        <v>12215</v>
      </c>
      <c r="AA23" s="32">
        <v>13590</v>
      </c>
      <c r="AB23" s="32">
        <v>12657</v>
      </c>
      <c r="AC23" s="32">
        <v>12128</v>
      </c>
      <c r="AD23" s="32">
        <v>10157</v>
      </c>
      <c r="AE23" s="32">
        <v>15451</v>
      </c>
      <c r="AF23" s="32">
        <v>15457</v>
      </c>
      <c r="AG23" s="32">
        <v>13560</v>
      </c>
      <c r="AH23" s="32">
        <v>12223</v>
      </c>
      <c r="AI23" s="32">
        <v>9834</v>
      </c>
      <c r="AJ23" s="32">
        <v>8469</v>
      </c>
      <c r="AK23" s="32">
        <v>7335</v>
      </c>
      <c r="AL23" s="39" t="s">
        <v>355</v>
      </c>
      <c r="AM23" s="39" t="s">
        <v>355</v>
      </c>
    </row>
    <row r="24" spans="1:39" x14ac:dyDescent="0.3">
      <c r="A24" s="30" t="s">
        <v>36</v>
      </c>
      <c r="B24" s="30" t="s">
        <v>37</v>
      </c>
      <c r="C24" s="30" t="s">
        <v>41</v>
      </c>
      <c r="D24" s="31" t="s">
        <v>20</v>
      </c>
      <c r="E24" s="31">
        <v>653</v>
      </c>
      <c r="F24" s="31" t="s">
        <v>298</v>
      </c>
      <c r="G24" s="32">
        <v>9464</v>
      </c>
      <c r="H24" s="32">
        <v>8819</v>
      </c>
      <c r="I24" s="32">
        <v>9359</v>
      </c>
      <c r="J24" s="32">
        <v>8955</v>
      </c>
      <c r="K24" s="32">
        <v>8672</v>
      </c>
      <c r="L24" s="32">
        <v>8389</v>
      </c>
      <c r="M24" s="32">
        <v>9386</v>
      </c>
      <c r="N24" s="32">
        <v>9166</v>
      </c>
      <c r="O24" s="32">
        <v>9050</v>
      </c>
      <c r="P24" s="32">
        <v>8873</v>
      </c>
      <c r="Q24" s="32">
        <v>8325</v>
      </c>
      <c r="R24" s="32">
        <v>7577</v>
      </c>
      <c r="S24" s="32">
        <v>8092</v>
      </c>
      <c r="T24" s="32">
        <v>7583</v>
      </c>
      <c r="U24" s="32">
        <v>7090</v>
      </c>
      <c r="V24" s="32">
        <v>7557</v>
      </c>
      <c r="W24" s="32">
        <v>8157</v>
      </c>
      <c r="X24" s="32">
        <v>9391</v>
      </c>
      <c r="Y24" s="32">
        <v>10407</v>
      </c>
      <c r="Z24" s="32">
        <v>10829</v>
      </c>
      <c r="AA24" s="32">
        <v>10471</v>
      </c>
      <c r="AB24" s="32">
        <v>9510</v>
      </c>
      <c r="AC24" s="32">
        <v>10010</v>
      </c>
      <c r="AD24" s="32">
        <v>10898</v>
      </c>
      <c r="AE24" s="32">
        <v>11667</v>
      </c>
      <c r="AF24" s="32">
        <v>10452</v>
      </c>
      <c r="AG24" s="32">
        <v>10337</v>
      </c>
      <c r="AH24" s="32">
        <v>10308</v>
      </c>
      <c r="AI24" s="32">
        <v>7992</v>
      </c>
      <c r="AJ24" s="32">
        <v>8425</v>
      </c>
      <c r="AK24" s="32">
        <v>5215</v>
      </c>
      <c r="AL24" s="32">
        <v>7374</v>
      </c>
      <c r="AM24" s="32">
        <v>4032</v>
      </c>
    </row>
    <row r="25" spans="1:39" x14ac:dyDescent="0.3">
      <c r="A25" s="30" t="s">
        <v>36</v>
      </c>
      <c r="B25" s="30" t="s">
        <v>37</v>
      </c>
      <c r="C25" s="30" t="s">
        <v>128</v>
      </c>
      <c r="D25" s="31" t="s">
        <v>103</v>
      </c>
      <c r="E25" s="31">
        <v>670</v>
      </c>
      <c r="F25" s="31">
        <v>670</v>
      </c>
      <c r="G25" s="32">
        <v>2343</v>
      </c>
      <c r="H25" s="32">
        <v>2366</v>
      </c>
      <c r="I25" s="32">
        <v>2462</v>
      </c>
      <c r="J25" s="32">
        <v>2496</v>
      </c>
      <c r="K25" s="32">
        <v>2576</v>
      </c>
      <c r="L25" s="32">
        <v>2657</v>
      </c>
      <c r="M25" s="32">
        <v>3010</v>
      </c>
      <c r="N25" s="32">
        <v>2700</v>
      </c>
      <c r="O25" s="32">
        <v>3419</v>
      </c>
      <c r="P25" s="32">
        <v>4651</v>
      </c>
      <c r="Q25" s="32">
        <v>2353</v>
      </c>
      <c r="R25" s="32">
        <v>2478</v>
      </c>
      <c r="S25" s="32">
        <v>3251</v>
      </c>
      <c r="T25" s="32">
        <v>3844</v>
      </c>
      <c r="U25" s="32">
        <v>3814</v>
      </c>
      <c r="V25" s="32">
        <v>2081</v>
      </c>
      <c r="W25" s="32">
        <v>4250</v>
      </c>
      <c r="X25" s="32">
        <v>4900</v>
      </c>
      <c r="Y25" s="32">
        <v>11111</v>
      </c>
      <c r="Z25" s="32">
        <v>5757</v>
      </c>
      <c r="AA25" s="32">
        <v>2474</v>
      </c>
      <c r="AB25" s="32">
        <v>2146</v>
      </c>
      <c r="AC25" s="32">
        <v>2580</v>
      </c>
      <c r="AD25" s="32">
        <v>2293</v>
      </c>
      <c r="AE25" s="32" t="s">
        <v>358</v>
      </c>
      <c r="AF25" s="32">
        <v>2457</v>
      </c>
      <c r="AG25" s="32">
        <v>2678</v>
      </c>
      <c r="AH25" s="32">
        <v>2789</v>
      </c>
      <c r="AI25" s="32">
        <v>2779</v>
      </c>
      <c r="AJ25" s="32">
        <v>2763</v>
      </c>
      <c r="AK25" s="32">
        <v>3986</v>
      </c>
      <c r="AL25" s="32">
        <v>2436</v>
      </c>
      <c r="AM25" s="32">
        <v>3491</v>
      </c>
    </row>
    <row r="26" spans="1:39" x14ac:dyDescent="0.3">
      <c r="A26" s="30" t="s">
        <v>36</v>
      </c>
      <c r="B26" s="30" t="s">
        <v>43</v>
      </c>
      <c r="C26" s="30" t="s">
        <v>50</v>
      </c>
      <c r="D26" s="31" t="s">
        <v>20</v>
      </c>
      <c r="E26" s="31">
        <v>565</v>
      </c>
      <c r="F26" s="31" t="s">
        <v>299</v>
      </c>
      <c r="G26" s="32">
        <v>17509</v>
      </c>
      <c r="H26" s="32">
        <v>17128</v>
      </c>
      <c r="I26" s="32">
        <v>16247</v>
      </c>
      <c r="J26" s="32">
        <v>15366</v>
      </c>
      <c r="K26" s="32">
        <v>14423</v>
      </c>
      <c r="L26" s="32">
        <v>13481</v>
      </c>
      <c r="M26" s="32">
        <v>14974</v>
      </c>
      <c r="N26" s="32">
        <v>14508</v>
      </c>
      <c r="O26" s="32">
        <v>14831</v>
      </c>
      <c r="P26" s="32">
        <v>13945</v>
      </c>
      <c r="Q26" s="32">
        <v>13302</v>
      </c>
      <c r="R26" s="32">
        <v>12897</v>
      </c>
      <c r="S26" s="32">
        <v>12077</v>
      </c>
      <c r="T26" s="32">
        <v>11850</v>
      </c>
      <c r="U26" s="32">
        <v>11419</v>
      </c>
      <c r="V26" s="32">
        <v>10559</v>
      </c>
      <c r="W26" s="32">
        <v>10768</v>
      </c>
      <c r="X26" s="32">
        <v>10444</v>
      </c>
      <c r="Y26" s="32">
        <v>11326</v>
      </c>
      <c r="Z26" s="32">
        <v>12022</v>
      </c>
      <c r="AA26" s="32">
        <v>11334</v>
      </c>
      <c r="AB26" s="32">
        <v>7760</v>
      </c>
      <c r="AC26" s="32">
        <v>12454</v>
      </c>
      <c r="AD26" s="32">
        <v>11890</v>
      </c>
      <c r="AE26" s="32">
        <v>12197</v>
      </c>
      <c r="AF26" s="32">
        <v>12338</v>
      </c>
      <c r="AG26" s="32">
        <v>13762</v>
      </c>
      <c r="AH26" s="32">
        <v>13193</v>
      </c>
      <c r="AI26" s="32">
        <v>11754</v>
      </c>
      <c r="AJ26" s="39" t="s">
        <v>355</v>
      </c>
      <c r="AK26" s="39" t="s">
        <v>355</v>
      </c>
      <c r="AL26" s="39" t="s">
        <v>355</v>
      </c>
      <c r="AM26" s="39" t="s">
        <v>355</v>
      </c>
    </row>
    <row r="27" spans="1:39" x14ac:dyDescent="0.3">
      <c r="A27" s="30" t="s">
        <v>36</v>
      </c>
      <c r="B27" s="30" t="s">
        <v>43</v>
      </c>
      <c r="C27" s="30" t="s">
        <v>48</v>
      </c>
      <c r="D27" s="31" t="s">
        <v>20</v>
      </c>
      <c r="E27" s="31">
        <v>328.1</v>
      </c>
      <c r="F27" s="31" t="s">
        <v>300</v>
      </c>
      <c r="G27" s="32">
        <v>10985</v>
      </c>
      <c r="H27" s="32">
        <v>11280</v>
      </c>
      <c r="I27" s="32">
        <v>11410</v>
      </c>
      <c r="J27" s="32">
        <v>11186</v>
      </c>
      <c r="K27" s="32">
        <v>10988</v>
      </c>
      <c r="L27" s="32">
        <v>10791</v>
      </c>
      <c r="M27" s="32">
        <v>11507</v>
      </c>
      <c r="N27" s="32">
        <v>11360</v>
      </c>
      <c r="O27" s="32">
        <v>12219</v>
      </c>
      <c r="P27" s="32">
        <v>10674</v>
      </c>
      <c r="Q27" s="32">
        <v>10442</v>
      </c>
      <c r="R27" s="32">
        <v>9551</v>
      </c>
      <c r="S27" s="32">
        <v>8776</v>
      </c>
      <c r="T27" s="32">
        <v>9028</v>
      </c>
      <c r="U27" s="32">
        <v>8444</v>
      </c>
      <c r="V27" s="32">
        <v>8350</v>
      </c>
      <c r="W27" s="32">
        <v>9754</v>
      </c>
      <c r="X27" s="32">
        <v>8582</v>
      </c>
      <c r="Y27" s="32">
        <v>10264</v>
      </c>
      <c r="Z27" s="32">
        <v>10704</v>
      </c>
      <c r="AA27" s="32">
        <v>9801</v>
      </c>
      <c r="AB27" s="32">
        <v>9657</v>
      </c>
      <c r="AC27" s="32">
        <v>12799</v>
      </c>
      <c r="AD27" s="32">
        <v>10329</v>
      </c>
      <c r="AE27" s="32">
        <v>10204</v>
      </c>
      <c r="AF27" s="32">
        <v>8329</v>
      </c>
      <c r="AG27" s="32">
        <v>10040</v>
      </c>
      <c r="AH27" s="32">
        <v>11151</v>
      </c>
      <c r="AI27" s="32">
        <v>11323</v>
      </c>
      <c r="AJ27" s="32">
        <v>9534</v>
      </c>
      <c r="AK27" s="32">
        <v>11829</v>
      </c>
      <c r="AL27" s="32">
        <v>10355</v>
      </c>
      <c r="AM27" s="32">
        <v>8416</v>
      </c>
    </row>
    <row r="28" spans="1:39" x14ac:dyDescent="0.3">
      <c r="A28" s="30" t="s">
        <v>36</v>
      </c>
      <c r="B28" s="30" t="s">
        <v>43</v>
      </c>
      <c r="C28" s="30" t="s">
        <v>47</v>
      </c>
      <c r="D28" s="31" t="s">
        <v>20</v>
      </c>
      <c r="E28" s="31">
        <v>426</v>
      </c>
      <c r="F28" s="31" t="s">
        <v>301</v>
      </c>
      <c r="G28" s="32">
        <v>22457</v>
      </c>
      <c r="H28" s="32">
        <v>21149</v>
      </c>
      <c r="I28" s="32">
        <v>22946</v>
      </c>
      <c r="J28" s="32">
        <v>22719</v>
      </c>
      <c r="K28" s="32">
        <v>22690</v>
      </c>
      <c r="L28" s="32">
        <v>22661</v>
      </c>
      <c r="M28" s="32">
        <v>22830</v>
      </c>
      <c r="N28" s="32">
        <v>22536</v>
      </c>
      <c r="O28" s="32">
        <v>23636</v>
      </c>
      <c r="P28" s="32">
        <v>23842</v>
      </c>
      <c r="Q28" s="32">
        <v>21855</v>
      </c>
      <c r="R28" s="32">
        <v>22406</v>
      </c>
      <c r="S28" s="32">
        <v>21130</v>
      </c>
      <c r="T28" s="32">
        <v>18979</v>
      </c>
      <c r="U28" s="32">
        <v>22458</v>
      </c>
      <c r="V28" s="32">
        <v>23278</v>
      </c>
      <c r="W28" s="32">
        <v>22742</v>
      </c>
      <c r="X28" s="32">
        <v>22388</v>
      </c>
      <c r="Y28" s="32">
        <v>24347</v>
      </c>
      <c r="Z28" s="32">
        <v>24888</v>
      </c>
      <c r="AA28" s="32">
        <v>25616</v>
      </c>
      <c r="AB28" s="32">
        <v>24421</v>
      </c>
      <c r="AC28" s="32">
        <v>24778</v>
      </c>
      <c r="AD28" s="32">
        <v>21384</v>
      </c>
      <c r="AE28" s="32">
        <v>23062</v>
      </c>
      <c r="AF28" s="32">
        <v>19600</v>
      </c>
      <c r="AG28" s="32">
        <v>20080</v>
      </c>
      <c r="AH28" s="32">
        <v>19972</v>
      </c>
      <c r="AI28" s="32">
        <v>20417</v>
      </c>
      <c r="AJ28" s="32">
        <v>20313</v>
      </c>
      <c r="AK28" s="32">
        <v>20660</v>
      </c>
      <c r="AL28" s="32">
        <v>15482</v>
      </c>
      <c r="AM28" s="32">
        <v>14500</v>
      </c>
    </row>
    <row r="29" spans="1:39" x14ac:dyDescent="0.3">
      <c r="A29" s="30" t="s">
        <v>36</v>
      </c>
      <c r="B29" s="30" t="s">
        <v>43</v>
      </c>
      <c r="C29" s="30" t="s">
        <v>46</v>
      </c>
      <c r="D29" s="31" t="s">
        <v>20</v>
      </c>
      <c r="E29" s="31">
        <v>21</v>
      </c>
      <c r="F29" s="31" t="s">
        <v>302</v>
      </c>
      <c r="G29" s="32">
        <v>25667</v>
      </c>
      <c r="H29" s="32">
        <v>26426</v>
      </c>
      <c r="I29" s="32">
        <v>24859</v>
      </c>
      <c r="J29" s="32">
        <v>24135</v>
      </c>
      <c r="K29" s="32">
        <v>23950</v>
      </c>
      <c r="L29" s="32">
        <v>23766</v>
      </c>
      <c r="M29" s="32">
        <v>24272</v>
      </c>
      <c r="N29" s="32">
        <v>23827</v>
      </c>
      <c r="O29" s="32">
        <v>24393</v>
      </c>
      <c r="P29" s="32">
        <v>21222</v>
      </c>
      <c r="Q29" s="32">
        <v>22029</v>
      </c>
      <c r="R29" s="32">
        <v>21530</v>
      </c>
      <c r="S29" s="32">
        <v>21075</v>
      </c>
      <c r="T29" s="32">
        <v>22035</v>
      </c>
      <c r="U29" s="32">
        <v>23240</v>
      </c>
      <c r="V29" s="32">
        <v>23361</v>
      </c>
      <c r="W29" s="32">
        <v>21435</v>
      </c>
      <c r="X29" s="32">
        <v>22211</v>
      </c>
      <c r="Y29" s="32">
        <v>22299</v>
      </c>
      <c r="Z29" s="32">
        <v>23771</v>
      </c>
      <c r="AA29" s="32">
        <v>21724</v>
      </c>
      <c r="AB29" s="32">
        <v>21844</v>
      </c>
      <c r="AC29" s="32">
        <v>19290</v>
      </c>
      <c r="AD29" s="32">
        <v>16176</v>
      </c>
      <c r="AE29" s="32">
        <v>16999</v>
      </c>
      <c r="AF29" s="32">
        <v>16499</v>
      </c>
      <c r="AG29" s="32">
        <v>16816</v>
      </c>
      <c r="AH29" s="32">
        <v>16079</v>
      </c>
      <c r="AI29" s="32">
        <v>14598</v>
      </c>
      <c r="AJ29" s="32">
        <v>14416</v>
      </c>
      <c r="AK29" s="32">
        <v>12839</v>
      </c>
      <c r="AL29" s="32">
        <v>11565</v>
      </c>
      <c r="AM29" s="32">
        <v>15131</v>
      </c>
    </row>
    <row r="30" spans="1:39" x14ac:dyDescent="0.3">
      <c r="A30" s="30" t="s">
        <v>36</v>
      </c>
      <c r="B30" s="30" t="s">
        <v>43</v>
      </c>
      <c r="C30" s="30" t="s">
        <v>45</v>
      </c>
      <c r="D30" s="31" t="s">
        <v>20</v>
      </c>
      <c r="E30" s="31">
        <v>19</v>
      </c>
      <c r="F30" s="31" t="s">
        <v>303</v>
      </c>
      <c r="G30" s="32">
        <v>24048</v>
      </c>
      <c r="H30" s="32">
        <v>24053</v>
      </c>
      <c r="I30" s="32">
        <v>23417</v>
      </c>
      <c r="J30" s="32">
        <v>23080</v>
      </c>
      <c r="K30" s="32">
        <v>25429</v>
      </c>
      <c r="L30" s="32">
        <v>27779</v>
      </c>
      <c r="M30" s="32">
        <v>24304</v>
      </c>
      <c r="N30" s="32">
        <v>20180</v>
      </c>
      <c r="O30" s="32">
        <v>24207</v>
      </c>
      <c r="P30" s="32">
        <v>22072</v>
      </c>
      <c r="Q30" s="32">
        <v>19585</v>
      </c>
      <c r="R30" s="32">
        <v>20930</v>
      </c>
      <c r="S30" s="32">
        <v>18786</v>
      </c>
      <c r="T30" s="32">
        <v>19287</v>
      </c>
      <c r="U30" s="32">
        <v>22625</v>
      </c>
      <c r="V30" s="32">
        <v>22064</v>
      </c>
      <c r="W30" s="32">
        <v>18894</v>
      </c>
      <c r="X30" s="32">
        <v>21817</v>
      </c>
      <c r="Y30" s="32">
        <v>22682</v>
      </c>
      <c r="Z30" s="32">
        <v>24614</v>
      </c>
      <c r="AA30" s="32">
        <v>20868</v>
      </c>
      <c r="AB30" s="32">
        <v>20611</v>
      </c>
      <c r="AC30" s="32">
        <v>23624</v>
      </c>
      <c r="AD30" s="32" t="s">
        <v>359</v>
      </c>
      <c r="AE30" s="32">
        <v>17417</v>
      </c>
      <c r="AF30" s="32">
        <v>18701</v>
      </c>
      <c r="AG30" s="32">
        <v>16681</v>
      </c>
      <c r="AH30" s="32">
        <v>15961</v>
      </c>
      <c r="AI30" s="32">
        <v>15090</v>
      </c>
      <c r="AJ30" s="32">
        <v>12208</v>
      </c>
      <c r="AK30" s="32">
        <v>13236</v>
      </c>
      <c r="AL30" s="32">
        <v>13965</v>
      </c>
      <c r="AM30" s="32">
        <v>13385</v>
      </c>
    </row>
    <row r="31" spans="1:39" x14ac:dyDescent="0.3">
      <c r="A31" s="30" t="s">
        <v>36</v>
      </c>
      <c r="B31" s="30" t="s">
        <v>43</v>
      </c>
      <c r="C31" s="30" t="s">
        <v>130</v>
      </c>
      <c r="D31" s="31" t="s">
        <v>103</v>
      </c>
      <c r="E31" s="31">
        <v>7004</v>
      </c>
      <c r="F31" s="31">
        <v>7004</v>
      </c>
      <c r="G31" s="32">
        <v>15230</v>
      </c>
      <c r="H31" s="32">
        <v>21455</v>
      </c>
      <c r="I31" s="32">
        <v>21234</v>
      </c>
      <c r="J31" s="32">
        <v>33275</v>
      </c>
      <c r="K31" s="32">
        <v>24330</v>
      </c>
      <c r="L31" s="32">
        <v>15386</v>
      </c>
      <c r="M31" s="32">
        <v>16178</v>
      </c>
      <c r="N31" s="32">
        <v>15659</v>
      </c>
      <c r="O31" s="32">
        <v>16393</v>
      </c>
      <c r="P31" s="32">
        <v>15286</v>
      </c>
      <c r="Q31" s="32">
        <v>14159</v>
      </c>
      <c r="R31" s="32">
        <v>13962</v>
      </c>
      <c r="S31" s="32">
        <v>11792</v>
      </c>
      <c r="T31" s="32">
        <v>13290</v>
      </c>
      <c r="U31" s="32">
        <v>11119</v>
      </c>
      <c r="V31" s="32">
        <v>11804</v>
      </c>
      <c r="W31" s="32">
        <v>11905</v>
      </c>
      <c r="X31" s="32">
        <v>12188</v>
      </c>
      <c r="Y31" s="32">
        <v>13239</v>
      </c>
      <c r="Z31" s="32">
        <v>11719</v>
      </c>
      <c r="AA31" s="32">
        <v>12490</v>
      </c>
      <c r="AB31" s="32">
        <v>11525</v>
      </c>
      <c r="AC31" s="32">
        <v>15841</v>
      </c>
      <c r="AD31" s="32" t="s">
        <v>357</v>
      </c>
      <c r="AE31" s="32">
        <v>12045</v>
      </c>
      <c r="AF31" s="32">
        <v>12616</v>
      </c>
      <c r="AG31" s="32">
        <v>13756</v>
      </c>
      <c r="AH31" s="32">
        <v>14847</v>
      </c>
      <c r="AI31" s="32">
        <v>12700</v>
      </c>
      <c r="AJ31" s="39" t="s">
        <v>355</v>
      </c>
      <c r="AK31" s="39" t="s">
        <v>355</v>
      </c>
      <c r="AL31" s="39" t="s">
        <v>355</v>
      </c>
      <c r="AM31" s="39" t="s">
        <v>355</v>
      </c>
    </row>
    <row r="32" spans="1:39" x14ac:dyDescent="0.3">
      <c r="A32" s="30" t="s">
        <v>36</v>
      </c>
      <c r="B32" s="30" t="s">
        <v>43</v>
      </c>
      <c r="C32" s="30" t="s">
        <v>131</v>
      </c>
      <c r="D32" s="31" t="s">
        <v>103</v>
      </c>
      <c r="E32" s="31">
        <v>516</v>
      </c>
      <c r="F32" s="31">
        <v>516</v>
      </c>
      <c r="G32" s="32">
        <v>22569</v>
      </c>
      <c r="H32" s="32">
        <v>23228</v>
      </c>
      <c r="I32" s="32">
        <v>23164</v>
      </c>
      <c r="J32" s="32">
        <v>25324</v>
      </c>
      <c r="K32" s="32">
        <v>23009</v>
      </c>
      <c r="L32" s="32">
        <v>20693</v>
      </c>
      <c r="M32" s="32">
        <v>23717</v>
      </c>
      <c r="N32" s="32">
        <v>22652</v>
      </c>
      <c r="O32" s="32">
        <v>22978</v>
      </c>
      <c r="P32" s="32">
        <v>21998</v>
      </c>
      <c r="Q32" s="32">
        <v>21560</v>
      </c>
      <c r="R32" s="32">
        <v>20280</v>
      </c>
      <c r="S32" s="32">
        <v>19095</v>
      </c>
      <c r="T32" s="32">
        <v>19958</v>
      </c>
      <c r="U32" s="32">
        <v>19995</v>
      </c>
      <c r="V32" s="32">
        <v>20702</v>
      </c>
      <c r="W32" s="32">
        <v>20907</v>
      </c>
      <c r="X32" s="32">
        <v>21121</v>
      </c>
      <c r="Y32" s="32">
        <v>21808</v>
      </c>
      <c r="Z32" s="32">
        <v>22662</v>
      </c>
      <c r="AA32" s="32">
        <v>23837</v>
      </c>
      <c r="AB32" s="32">
        <v>21898</v>
      </c>
      <c r="AC32" s="32">
        <v>22251</v>
      </c>
      <c r="AD32" s="32">
        <v>20412</v>
      </c>
      <c r="AE32" s="32">
        <v>18017</v>
      </c>
      <c r="AF32" s="32">
        <v>19253</v>
      </c>
      <c r="AG32" s="32">
        <v>19645</v>
      </c>
      <c r="AH32" s="32">
        <v>17648</v>
      </c>
      <c r="AI32" s="32">
        <v>17109</v>
      </c>
      <c r="AJ32" s="39" t="s">
        <v>355</v>
      </c>
      <c r="AK32" s="39" t="s">
        <v>355</v>
      </c>
      <c r="AL32" s="39" t="s">
        <v>355</v>
      </c>
      <c r="AM32" s="39" t="s">
        <v>355</v>
      </c>
    </row>
    <row r="33" spans="1:39" x14ac:dyDescent="0.3">
      <c r="A33" s="30" t="s">
        <v>36</v>
      </c>
      <c r="B33" s="30" t="s">
        <v>43</v>
      </c>
      <c r="C33" s="30" t="s">
        <v>132</v>
      </c>
      <c r="D33" s="31" t="s">
        <v>103</v>
      </c>
      <c r="E33" s="31">
        <v>563</v>
      </c>
      <c r="F33" s="31">
        <v>563</v>
      </c>
      <c r="G33" s="32">
        <v>11434</v>
      </c>
      <c r="H33" s="32">
        <v>12123</v>
      </c>
      <c r="I33" s="32">
        <v>12626</v>
      </c>
      <c r="J33" s="32">
        <v>13503</v>
      </c>
      <c r="K33" s="32">
        <v>13725</v>
      </c>
      <c r="L33" s="32">
        <v>13948</v>
      </c>
      <c r="M33" s="32">
        <v>14548</v>
      </c>
      <c r="N33" s="32">
        <v>13181</v>
      </c>
      <c r="O33" s="32">
        <v>15026</v>
      </c>
      <c r="P33" s="32">
        <v>15274</v>
      </c>
      <c r="Q33" s="32">
        <v>13011</v>
      </c>
      <c r="R33" s="32">
        <v>12567</v>
      </c>
      <c r="S33" s="32">
        <v>12258</v>
      </c>
      <c r="T33" s="32">
        <v>11017</v>
      </c>
      <c r="U33" s="32">
        <v>12347</v>
      </c>
      <c r="V33" s="32">
        <v>11113</v>
      </c>
      <c r="W33" s="32">
        <v>11698</v>
      </c>
      <c r="X33" s="32">
        <v>12203</v>
      </c>
      <c r="Y33" s="32">
        <v>12951</v>
      </c>
      <c r="Z33" s="32">
        <v>12305</v>
      </c>
      <c r="AA33" s="32">
        <v>12212</v>
      </c>
      <c r="AB33" s="32">
        <v>13252</v>
      </c>
      <c r="AC33" s="32">
        <v>13283</v>
      </c>
      <c r="AD33" s="32">
        <v>12023</v>
      </c>
      <c r="AE33" s="32">
        <v>12552</v>
      </c>
      <c r="AF33" s="32">
        <v>11798</v>
      </c>
      <c r="AG33" s="32">
        <v>13555</v>
      </c>
      <c r="AH33" s="32">
        <v>13721</v>
      </c>
      <c r="AI33" s="32">
        <v>12991</v>
      </c>
      <c r="AJ33" s="32">
        <v>10743</v>
      </c>
      <c r="AK33" s="32">
        <v>15538</v>
      </c>
      <c r="AL33" s="32">
        <v>13202</v>
      </c>
      <c r="AM33" s="32">
        <v>13082</v>
      </c>
    </row>
    <row r="34" spans="1:39" x14ac:dyDescent="0.3">
      <c r="A34" s="30" t="s">
        <v>36</v>
      </c>
      <c r="B34" s="30" t="s">
        <v>43</v>
      </c>
      <c r="C34" s="30" t="s">
        <v>133</v>
      </c>
      <c r="D34" s="31" t="s">
        <v>103</v>
      </c>
      <c r="E34" s="31">
        <v>580</v>
      </c>
      <c r="F34" s="31">
        <v>580</v>
      </c>
      <c r="G34" s="32">
        <v>25032</v>
      </c>
      <c r="H34" s="32">
        <v>22581</v>
      </c>
      <c r="I34" s="32">
        <v>22288</v>
      </c>
      <c r="J34" s="32">
        <v>18213</v>
      </c>
      <c r="K34" s="32">
        <v>20357</v>
      </c>
      <c r="L34" s="32">
        <v>22501</v>
      </c>
      <c r="M34" s="32">
        <v>23003</v>
      </c>
      <c r="N34" s="32">
        <v>25626</v>
      </c>
      <c r="O34" s="32">
        <v>24652</v>
      </c>
      <c r="P34" s="32">
        <v>25252</v>
      </c>
      <c r="Q34" s="32">
        <v>24740</v>
      </c>
      <c r="R34" s="32">
        <v>23326</v>
      </c>
      <c r="S34" s="32">
        <v>22652</v>
      </c>
      <c r="T34" s="32">
        <v>22280</v>
      </c>
      <c r="U34" s="32">
        <v>23429</v>
      </c>
      <c r="V34" s="32">
        <v>24442</v>
      </c>
      <c r="W34" s="32">
        <v>23869</v>
      </c>
      <c r="X34" s="32">
        <v>24129</v>
      </c>
      <c r="Y34" s="32">
        <v>27217</v>
      </c>
      <c r="Z34" s="32">
        <v>26484</v>
      </c>
      <c r="AA34" s="32">
        <v>27259</v>
      </c>
      <c r="AB34" s="32">
        <v>26362</v>
      </c>
      <c r="AC34" s="32">
        <v>27035</v>
      </c>
      <c r="AD34" s="32">
        <v>24142</v>
      </c>
      <c r="AE34" s="32" t="s">
        <v>358</v>
      </c>
      <c r="AF34" s="32">
        <v>24635</v>
      </c>
      <c r="AG34" s="32">
        <v>23000</v>
      </c>
      <c r="AH34" s="32">
        <v>22902</v>
      </c>
      <c r="AI34" s="32">
        <v>24996</v>
      </c>
      <c r="AJ34" s="32">
        <v>20776</v>
      </c>
      <c r="AK34" s="32">
        <v>18844</v>
      </c>
      <c r="AL34" s="32">
        <v>16345</v>
      </c>
      <c r="AM34" s="32">
        <v>16746</v>
      </c>
    </row>
    <row r="35" spans="1:39" x14ac:dyDescent="0.3">
      <c r="A35" s="30" t="s">
        <v>36</v>
      </c>
      <c r="B35" s="30" t="s">
        <v>43</v>
      </c>
      <c r="C35" s="30" t="s">
        <v>49</v>
      </c>
      <c r="D35" s="31" t="s">
        <v>20</v>
      </c>
      <c r="E35" s="31">
        <v>564</v>
      </c>
      <c r="F35" s="31" t="s">
        <v>304</v>
      </c>
      <c r="G35" s="32">
        <v>10441</v>
      </c>
      <c r="H35" s="32">
        <v>10738</v>
      </c>
      <c r="I35" s="32">
        <v>10272</v>
      </c>
      <c r="J35" s="32">
        <v>10170</v>
      </c>
      <c r="K35" s="32">
        <v>9795</v>
      </c>
      <c r="L35" s="32">
        <v>9420</v>
      </c>
      <c r="M35" s="32">
        <v>10208</v>
      </c>
      <c r="N35" s="32">
        <v>10196</v>
      </c>
      <c r="O35" s="32">
        <v>10976</v>
      </c>
      <c r="P35" s="32">
        <v>10546</v>
      </c>
      <c r="Q35" s="32">
        <v>9869</v>
      </c>
      <c r="R35" s="32">
        <v>9118</v>
      </c>
      <c r="S35" s="32">
        <v>8949</v>
      </c>
      <c r="T35" s="32">
        <v>9044</v>
      </c>
      <c r="U35" s="32">
        <v>8067</v>
      </c>
      <c r="V35" s="32">
        <v>7916</v>
      </c>
      <c r="W35" s="32">
        <v>8207</v>
      </c>
      <c r="X35" s="32">
        <v>7891</v>
      </c>
      <c r="Y35" s="32">
        <v>9381</v>
      </c>
      <c r="Z35" s="32">
        <v>8287</v>
      </c>
      <c r="AA35" s="32">
        <v>8119</v>
      </c>
      <c r="AB35" s="32">
        <v>8552</v>
      </c>
      <c r="AC35" s="32">
        <v>8589</v>
      </c>
      <c r="AD35" s="32">
        <v>8159</v>
      </c>
      <c r="AE35" s="32">
        <v>9293</v>
      </c>
      <c r="AF35" s="32">
        <v>8439</v>
      </c>
      <c r="AG35" s="32">
        <v>9601</v>
      </c>
      <c r="AH35" s="32">
        <v>11557</v>
      </c>
      <c r="AI35" s="32">
        <v>9310</v>
      </c>
      <c r="AJ35" s="32">
        <v>7903</v>
      </c>
      <c r="AK35" s="32">
        <v>9194</v>
      </c>
      <c r="AL35" s="32">
        <v>9027</v>
      </c>
      <c r="AM35" s="32">
        <v>6953</v>
      </c>
    </row>
    <row r="36" spans="1:39" x14ac:dyDescent="0.3">
      <c r="A36" s="30" t="s">
        <v>36</v>
      </c>
      <c r="B36" s="30" t="s">
        <v>43</v>
      </c>
      <c r="C36" s="30" t="s">
        <v>44</v>
      </c>
      <c r="D36" s="31" t="s">
        <v>20</v>
      </c>
      <c r="E36" s="31">
        <v>18.100000000000001</v>
      </c>
      <c r="F36" s="31" t="s">
        <v>305</v>
      </c>
      <c r="G36" s="32">
        <v>16860</v>
      </c>
      <c r="H36" s="32">
        <v>20071</v>
      </c>
      <c r="I36" s="32">
        <v>20037</v>
      </c>
      <c r="J36" s="32">
        <v>17241</v>
      </c>
      <c r="K36" s="32">
        <v>17409</v>
      </c>
      <c r="L36" s="32">
        <v>17577</v>
      </c>
      <c r="M36" s="32">
        <v>17338</v>
      </c>
      <c r="N36" s="32">
        <v>17102</v>
      </c>
      <c r="O36" s="32">
        <v>18129</v>
      </c>
      <c r="P36" s="32">
        <v>18122</v>
      </c>
      <c r="Q36" s="32">
        <v>16751</v>
      </c>
      <c r="R36" s="32">
        <v>16123</v>
      </c>
      <c r="S36" s="32">
        <v>15434</v>
      </c>
      <c r="T36" s="32">
        <v>15315</v>
      </c>
      <c r="U36" s="32">
        <v>16453</v>
      </c>
      <c r="V36" s="32">
        <v>15730</v>
      </c>
      <c r="W36" s="32">
        <v>15664</v>
      </c>
      <c r="X36" s="32">
        <v>11313</v>
      </c>
      <c r="Y36" s="32" t="s">
        <v>356</v>
      </c>
      <c r="Z36" s="32">
        <v>19573</v>
      </c>
      <c r="AA36" s="32">
        <v>12590</v>
      </c>
      <c r="AB36" s="32">
        <v>12461</v>
      </c>
      <c r="AC36" s="32">
        <v>10723</v>
      </c>
      <c r="AD36" s="32">
        <v>17651</v>
      </c>
      <c r="AE36" s="32">
        <v>15110</v>
      </c>
      <c r="AF36" s="32">
        <v>14637</v>
      </c>
      <c r="AG36" s="32">
        <v>16085</v>
      </c>
      <c r="AH36" s="32">
        <v>14715</v>
      </c>
      <c r="AI36" s="32">
        <v>12242</v>
      </c>
      <c r="AJ36" s="39" t="s">
        <v>355</v>
      </c>
      <c r="AK36" s="39" t="s">
        <v>355</v>
      </c>
      <c r="AL36" s="39" t="s">
        <v>355</v>
      </c>
      <c r="AM36" s="39" t="s">
        <v>355</v>
      </c>
    </row>
    <row r="37" spans="1:39" ht="15" customHeight="1" x14ac:dyDescent="0.3">
      <c r="A37" s="30" t="s">
        <v>36</v>
      </c>
      <c r="B37" s="30" t="s">
        <v>51</v>
      </c>
      <c r="C37" s="30" t="s">
        <v>364</v>
      </c>
      <c r="D37" s="31" t="s">
        <v>20</v>
      </c>
      <c r="E37" s="31">
        <v>27</v>
      </c>
      <c r="F37" s="31" t="s">
        <v>306</v>
      </c>
      <c r="G37" s="32">
        <v>14653</v>
      </c>
      <c r="H37" s="32">
        <v>12995</v>
      </c>
      <c r="I37" s="32">
        <v>14873</v>
      </c>
      <c r="J37" s="32">
        <v>14581</v>
      </c>
      <c r="K37" s="32">
        <v>13983</v>
      </c>
      <c r="L37" s="32">
        <v>13385</v>
      </c>
      <c r="M37" s="32">
        <v>11436</v>
      </c>
      <c r="N37" s="32">
        <v>9644</v>
      </c>
      <c r="O37" s="32">
        <v>9158</v>
      </c>
      <c r="P37" s="32">
        <v>8741</v>
      </c>
      <c r="Q37" s="32">
        <v>7931</v>
      </c>
      <c r="R37" s="32">
        <v>6554</v>
      </c>
      <c r="S37" s="32">
        <v>5857</v>
      </c>
      <c r="T37" s="32">
        <v>5630</v>
      </c>
      <c r="U37" s="32">
        <v>5202</v>
      </c>
      <c r="V37" s="32">
        <v>5596</v>
      </c>
      <c r="W37" s="32">
        <v>5297</v>
      </c>
      <c r="X37" s="32">
        <v>4999</v>
      </c>
      <c r="Y37" s="32">
        <v>6198</v>
      </c>
      <c r="Z37" s="32">
        <v>5561</v>
      </c>
      <c r="AA37" s="32">
        <v>5339</v>
      </c>
      <c r="AB37" s="32">
        <v>5357</v>
      </c>
      <c r="AC37" s="32">
        <v>6771</v>
      </c>
      <c r="AD37" s="32">
        <v>5159</v>
      </c>
      <c r="AE37" s="32">
        <v>5166</v>
      </c>
      <c r="AF37" s="32">
        <v>5032</v>
      </c>
      <c r="AG37" s="32">
        <v>7419</v>
      </c>
      <c r="AH37" s="32">
        <v>6030</v>
      </c>
      <c r="AI37" s="32">
        <v>5934</v>
      </c>
      <c r="AJ37" s="32">
        <v>4398</v>
      </c>
      <c r="AK37" s="32">
        <v>6150</v>
      </c>
      <c r="AL37" s="32">
        <v>6137</v>
      </c>
      <c r="AM37" s="32">
        <v>6629</v>
      </c>
    </row>
    <row r="38" spans="1:39" ht="15" customHeight="1" x14ac:dyDescent="0.3">
      <c r="A38" s="30" t="s">
        <v>36</v>
      </c>
      <c r="B38" s="30" t="s">
        <v>51</v>
      </c>
      <c r="C38" s="30" t="s">
        <v>365</v>
      </c>
      <c r="D38" s="31" t="s">
        <v>20</v>
      </c>
      <c r="E38" s="31">
        <v>7083</v>
      </c>
      <c r="F38" s="31" t="s">
        <v>307</v>
      </c>
      <c r="G38" s="32">
        <v>8980</v>
      </c>
      <c r="H38" s="32">
        <v>8043</v>
      </c>
      <c r="I38" s="32">
        <v>8193</v>
      </c>
      <c r="J38" s="32">
        <v>8032</v>
      </c>
      <c r="K38" s="32">
        <v>7775</v>
      </c>
      <c r="L38" s="32">
        <v>7518</v>
      </c>
      <c r="M38" s="32">
        <v>7293</v>
      </c>
      <c r="N38" s="32">
        <v>6899</v>
      </c>
      <c r="O38" s="32">
        <v>6037</v>
      </c>
      <c r="P38" s="32">
        <v>5166</v>
      </c>
      <c r="Q38" s="32">
        <v>4630</v>
      </c>
      <c r="R38" s="32">
        <v>4273</v>
      </c>
      <c r="S38" s="32">
        <v>3869</v>
      </c>
      <c r="T38" s="32">
        <v>3425</v>
      </c>
      <c r="U38" s="32">
        <v>3397</v>
      </c>
      <c r="V38" s="32">
        <v>3574</v>
      </c>
      <c r="W38" s="32">
        <v>3539</v>
      </c>
      <c r="X38" s="32">
        <v>3983</v>
      </c>
      <c r="Y38" s="32">
        <v>4348</v>
      </c>
      <c r="Z38" s="32">
        <v>4325</v>
      </c>
      <c r="AA38" s="32">
        <v>4170</v>
      </c>
      <c r="AB38" s="32">
        <v>4012</v>
      </c>
      <c r="AC38" s="32">
        <v>4388</v>
      </c>
      <c r="AD38" s="32">
        <v>3785</v>
      </c>
      <c r="AE38" s="32">
        <v>3879</v>
      </c>
      <c r="AF38" s="32">
        <v>3935</v>
      </c>
      <c r="AG38" s="32">
        <v>5290</v>
      </c>
      <c r="AH38" s="32">
        <v>6020</v>
      </c>
      <c r="AI38" s="32">
        <v>4775</v>
      </c>
      <c r="AJ38" s="32">
        <v>4635</v>
      </c>
      <c r="AK38" s="32">
        <v>5484</v>
      </c>
      <c r="AL38" s="32">
        <v>5276</v>
      </c>
      <c r="AM38" s="32">
        <v>5056</v>
      </c>
    </row>
    <row r="39" spans="1:39" ht="15" customHeight="1" x14ac:dyDescent="0.3">
      <c r="A39" s="30" t="s">
        <v>36</v>
      </c>
      <c r="B39" s="30" t="s">
        <v>51</v>
      </c>
      <c r="C39" s="30" t="s">
        <v>363</v>
      </c>
      <c r="D39" s="31" t="s">
        <v>20</v>
      </c>
      <c r="E39" s="31">
        <v>559</v>
      </c>
      <c r="F39" s="31" t="s">
        <v>308</v>
      </c>
      <c r="G39" s="32">
        <v>14716</v>
      </c>
      <c r="H39" s="32">
        <v>13257.5</v>
      </c>
      <c r="I39" s="32">
        <v>14044.5</v>
      </c>
      <c r="J39" s="32">
        <v>12831</v>
      </c>
      <c r="K39" s="32">
        <v>11875</v>
      </c>
      <c r="L39" s="32">
        <v>10919</v>
      </c>
      <c r="M39" s="32">
        <v>10768</v>
      </c>
      <c r="N39" s="32">
        <v>6562</v>
      </c>
      <c r="O39" s="32">
        <v>6187</v>
      </c>
      <c r="P39" s="32">
        <v>6027</v>
      </c>
      <c r="Q39" s="32">
        <v>7136</v>
      </c>
      <c r="R39" s="32">
        <v>5188</v>
      </c>
      <c r="S39" s="32">
        <v>6106</v>
      </c>
      <c r="T39" s="32">
        <v>5131</v>
      </c>
      <c r="U39" s="32">
        <v>12413</v>
      </c>
      <c r="V39" s="32">
        <v>5795</v>
      </c>
      <c r="W39" s="32">
        <v>11361</v>
      </c>
      <c r="X39" s="32">
        <v>5071</v>
      </c>
      <c r="Y39" s="32">
        <v>6083</v>
      </c>
      <c r="Z39" s="32">
        <v>5400</v>
      </c>
      <c r="AA39" s="32">
        <v>4336</v>
      </c>
      <c r="AB39" s="32">
        <v>4247</v>
      </c>
      <c r="AC39" s="32">
        <v>4815</v>
      </c>
      <c r="AD39" s="32">
        <v>4094</v>
      </c>
      <c r="AE39" s="32">
        <v>4524</v>
      </c>
      <c r="AF39" s="32">
        <v>4195</v>
      </c>
      <c r="AG39" s="32">
        <v>5400</v>
      </c>
      <c r="AH39" s="32">
        <v>5690</v>
      </c>
      <c r="AI39" s="32">
        <v>4952</v>
      </c>
      <c r="AJ39" s="32">
        <v>4525</v>
      </c>
      <c r="AK39" s="32">
        <v>4869</v>
      </c>
      <c r="AL39" s="32">
        <v>4810</v>
      </c>
      <c r="AM39" s="32">
        <v>5513</v>
      </c>
    </row>
    <row r="40" spans="1:39" ht="15" customHeight="1" x14ac:dyDescent="0.3">
      <c r="A40" s="30" t="s">
        <v>36</v>
      </c>
      <c r="B40" s="30" t="s">
        <v>51</v>
      </c>
      <c r="C40" s="30" t="s">
        <v>362</v>
      </c>
      <c r="D40" s="31" t="s">
        <v>103</v>
      </c>
      <c r="E40" s="31">
        <v>29</v>
      </c>
      <c r="F40" s="31">
        <v>29</v>
      </c>
      <c r="G40" s="32">
        <v>15179</v>
      </c>
      <c r="H40" s="32">
        <v>14503</v>
      </c>
      <c r="I40" s="32">
        <v>14014</v>
      </c>
      <c r="J40" s="32">
        <v>12799</v>
      </c>
      <c r="K40" s="32">
        <v>13119</v>
      </c>
      <c r="L40" s="32">
        <v>13440</v>
      </c>
      <c r="M40" s="32">
        <v>11626</v>
      </c>
      <c r="N40" s="32">
        <v>9236</v>
      </c>
      <c r="O40" s="32">
        <v>6734</v>
      </c>
      <c r="P40" s="32">
        <v>6547</v>
      </c>
      <c r="Q40" s="32">
        <v>5635</v>
      </c>
      <c r="R40" s="32">
        <v>6714</v>
      </c>
      <c r="S40" s="32">
        <v>7640</v>
      </c>
      <c r="T40" s="32">
        <v>8027</v>
      </c>
      <c r="U40" s="32">
        <v>12952</v>
      </c>
      <c r="V40" s="32">
        <v>6373</v>
      </c>
      <c r="W40" s="32">
        <v>6049</v>
      </c>
      <c r="X40" s="32">
        <v>4862</v>
      </c>
      <c r="Y40" s="32">
        <v>5324</v>
      </c>
      <c r="Z40" s="32">
        <v>5722</v>
      </c>
      <c r="AA40" s="32">
        <v>5672</v>
      </c>
      <c r="AB40" s="39" t="s">
        <v>355</v>
      </c>
      <c r="AC40" s="39" t="s">
        <v>355</v>
      </c>
      <c r="AD40" s="39" t="s">
        <v>355</v>
      </c>
      <c r="AE40" s="39" t="s">
        <v>355</v>
      </c>
      <c r="AF40" s="39" t="s">
        <v>355</v>
      </c>
      <c r="AG40" s="39" t="s">
        <v>355</v>
      </c>
      <c r="AH40" s="39" t="s">
        <v>355</v>
      </c>
      <c r="AI40" s="39" t="s">
        <v>355</v>
      </c>
      <c r="AJ40" s="39" t="s">
        <v>355</v>
      </c>
      <c r="AK40" s="39" t="s">
        <v>355</v>
      </c>
      <c r="AL40" s="39" t="s">
        <v>355</v>
      </c>
      <c r="AM40" s="39" t="s">
        <v>355</v>
      </c>
    </row>
    <row r="41" spans="1:39" ht="15" customHeight="1" x14ac:dyDescent="0.3">
      <c r="A41" s="30" t="s">
        <v>36</v>
      </c>
      <c r="B41" s="30" t="s">
        <v>51</v>
      </c>
      <c r="C41" s="30" t="s">
        <v>361</v>
      </c>
      <c r="D41" s="31" t="s">
        <v>103</v>
      </c>
      <c r="E41" s="31">
        <v>702</v>
      </c>
      <c r="F41" s="31">
        <v>702</v>
      </c>
      <c r="G41" s="32">
        <v>16693</v>
      </c>
      <c r="H41" s="32">
        <v>16455</v>
      </c>
      <c r="I41" s="32">
        <v>16154</v>
      </c>
      <c r="J41" s="32">
        <v>15460</v>
      </c>
      <c r="K41" s="32">
        <v>15843</v>
      </c>
      <c r="L41" s="32">
        <v>16225</v>
      </c>
      <c r="M41" s="32">
        <v>14135</v>
      </c>
      <c r="N41" s="32">
        <v>11914</v>
      </c>
      <c r="O41" s="32">
        <v>11902</v>
      </c>
      <c r="P41" s="32">
        <v>11072</v>
      </c>
      <c r="Q41" s="32">
        <v>7964</v>
      </c>
      <c r="R41" s="32">
        <v>8188</v>
      </c>
      <c r="S41" s="32">
        <v>7640</v>
      </c>
      <c r="T41" s="32">
        <v>8027</v>
      </c>
      <c r="U41" s="32">
        <v>12952</v>
      </c>
      <c r="V41" s="32">
        <v>6373</v>
      </c>
      <c r="W41" s="32">
        <v>6049</v>
      </c>
      <c r="X41" s="32">
        <v>4862</v>
      </c>
      <c r="Y41" s="32">
        <v>5324</v>
      </c>
      <c r="Z41" s="32">
        <v>5722</v>
      </c>
      <c r="AA41" s="32">
        <v>5672</v>
      </c>
      <c r="AB41" s="39" t="s">
        <v>355</v>
      </c>
      <c r="AC41" s="39" t="s">
        <v>355</v>
      </c>
      <c r="AD41" s="39" t="s">
        <v>355</v>
      </c>
      <c r="AE41" s="39" t="s">
        <v>355</v>
      </c>
      <c r="AF41" s="39" t="s">
        <v>355</v>
      </c>
      <c r="AG41" s="39" t="s">
        <v>355</v>
      </c>
      <c r="AH41" s="39" t="s">
        <v>355</v>
      </c>
      <c r="AI41" s="39" t="s">
        <v>355</v>
      </c>
      <c r="AJ41" s="39" t="s">
        <v>355</v>
      </c>
      <c r="AK41" s="39" t="s">
        <v>355</v>
      </c>
      <c r="AL41" s="39" t="s">
        <v>355</v>
      </c>
      <c r="AM41" s="39" t="s">
        <v>355</v>
      </c>
    </row>
    <row r="42" spans="1:39" x14ac:dyDescent="0.3">
      <c r="A42" s="30" t="s">
        <v>71</v>
      </c>
      <c r="B42" s="30" t="s">
        <v>123</v>
      </c>
      <c r="C42" s="30" t="s">
        <v>124</v>
      </c>
      <c r="D42" s="31" t="s">
        <v>103</v>
      </c>
      <c r="E42" s="31">
        <v>520</v>
      </c>
      <c r="F42" s="31">
        <v>520</v>
      </c>
      <c r="G42" s="32">
        <v>2166</v>
      </c>
      <c r="H42" s="32">
        <v>1992</v>
      </c>
      <c r="I42" s="32">
        <v>1980</v>
      </c>
      <c r="J42" s="32">
        <v>1746</v>
      </c>
      <c r="K42" s="32">
        <v>1825</v>
      </c>
      <c r="L42" s="32">
        <v>1904</v>
      </c>
      <c r="M42" s="32">
        <v>2170</v>
      </c>
      <c r="N42" s="32">
        <v>2197</v>
      </c>
      <c r="O42" s="32">
        <v>2154</v>
      </c>
      <c r="P42" s="32">
        <v>2165</v>
      </c>
      <c r="Q42" s="32">
        <v>2149</v>
      </c>
      <c r="R42" s="32">
        <v>1991</v>
      </c>
      <c r="S42" s="32">
        <v>1689</v>
      </c>
      <c r="T42" s="32">
        <v>2099</v>
      </c>
      <c r="U42" s="32">
        <v>2034</v>
      </c>
      <c r="V42" s="32">
        <v>2064</v>
      </c>
      <c r="W42" s="32">
        <v>3081</v>
      </c>
      <c r="X42" s="32">
        <v>2285</v>
      </c>
      <c r="Y42" s="32">
        <v>3442</v>
      </c>
      <c r="Z42" s="32" t="s">
        <v>358</v>
      </c>
      <c r="AA42" s="32">
        <v>2120</v>
      </c>
      <c r="AB42" s="32">
        <v>2394</v>
      </c>
      <c r="AC42" s="32">
        <v>2129</v>
      </c>
      <c r="AD42" s="32">
        <v>2073</v>
      </c>
      <c r="AE42" s="32">
        <v>2843</v>
      </c>
      <c r="AF42" s="32" t="s">
        <v>358</v>
      </c>
      <c r="AG42" s="32" t="s">
        <v>358</v>
      </c>
      <c r="AH42" s="32">
        <v>2252</v>
      </c>
      <c r="AI42" s="32">
        <v>3737</v>
      </c>
      <c r="AJ42" s="39" t="s">
        <v>355</v>
      </c>
      <c r="AK42" s="39" t="s">
        <v>355</v>
      </c>
      <c r="AL42" s="39" t="s">
        <v>355</v>
      </c>
      <c r="AM42" s="39" t="s">
        <v>355</v>
      </c>
    </row>
    <row r="43" spans="1:39" x14ac:dyDescent="0.3">
      <c r="A43" s="30" t="s">
        <v>71</v>
      </c>
      <c r="B43" s="30" t="s">
        <v>125</v>
      </c>
      <c r="C43" s="30" t="s">
        <v>126</v>
      </c>
      <c r="D43" s="31" t="s">
        <v>103</v>
      </c>
      <c r="E43" s="31">
        <v>655</v>
      </c>
      <c r="F43" s="31">
        <v>655</v>
      </c>
      <c r="G43" s="32">
        <v>1761</v>
      </c>
      <c r="H43" s="32">
        <v>1783</v>
      </c>
      <c r="I43" s="32">
        <v>1808</v>
      </c>
      <c r="J43" s="32">
        <v>1861</v>
      </c>
      <c r="K43" s="32">
        <v>1839</v>
      </c>
      <c r="L43" s="32">
        <v>1816</v>
      </c>
      <c r="M43" s="32">
        <v>1960</v>
      </c>
      <c r="N43" s="32">
        <v>2034</v>
      </c>
      <c r="O43" s="32">
        <v>2006</v>
      </c>
      <c r="P43" s="32">
        <v>2008</v>
      </c>
      <c r="Q43" s="32">
        <v>2279</v>
      </c>
      <c r="R43" s="32">
        <v>2309</v>
      </c>
      <c r="S43" s="32">
        <v>1758</v>
      </c>
      <c r="T43" s="32">
        <v>1819</v>
      </c>
      <c r="U43" s="32">
        <v>2007</v>
      </c>
      <c r="V43" s="32">
        <v>2081</v>
      </c>
      <c r="W43" s="32">
        <v>1878</v>
      </c>
      <c r="X43" s="32">
        <v>2003</v>
      </c>
      <c r="Y43" s="32">
        <v>3198</v>
      </c>
      <c r="Z43" s="32">
        <v>2514</v>
      </c>
      <c r="AA43" s="32">
        <v>1882</v>
      </c>
      <c r="AB43" s="32">
        <v>2247</v>
      </c>
      <c r="AC43" s="32">
        <v>1779</v>
      </c>
      <c r="AD43" s="32">
        <v>2537</v>
      </c>
      <c r="AE43" s="32">
        <v>2092</v>
      </c>
      <c r="AF43" s="32">
        <v>2066</v>
      </c>
      <c r="AG43" s="32">
        <v>2510</v>
      </c>
      <c r="AH43" s="32">
        <v>2272</v>
      </c>
      <c r="AI43" s="32">
        <v>2226</v>
      </c>
      <c r="AJ43" s="39" t="s">
        <v>355</v>
      </c>
      <c r="AK43" s="39" t="s">
        <v>355</v>
      </c>
      <c r="AL43" s="39" t="s">
        <v>355</v>
      </c>
      <c r="AM43" s="39" t="s">
        <v>355</v>
      </c>
    </row>
    <row r="44" spans="1:39" x14ac:dyDescent="0.3">
      <c r="A44" s="30" t="s">
        <v>71</v>
      </c>
      <c r="B44" s="30" t="s">
        <v>134</v>
      </c>
      <c r="C44" s="30" t="s">
        <v>135</v>
      </c>
      <c r="D44" s="31" t="s">
        <v>103</v>
      </c>
      <c r="E44" s="31">
        <v>414</v>
      </c>
      <c r="F44" s="31">
        <v>414</v>
      </c>
      <c r="G44" s="32">
        <v>2117</v>
      </c>
      <c r="H44" s="39" t="s">
        <v>355</v>
      </c>
      <c r="I44" s="39" t="s">
        <v>355</v>
      </c>
      <c r="J44" s="39" t="s">
        <v>355</v>
      </c>
      <c r="K44" s="39" t="s">
        <v>355</v>
      </c>
      <c r="L44" s="39" t="s">
        <v>355</v>
      </c>
      <c r="M44" s="39" t="s">
        <v>355</v>
      </c>
      <c r="N44" s="39" t="s">
        <v>355</v>
      </c>
      <c r="O44" s="39" t="s">
        <v>355</v>
      </c>
      <c r="P44" s="39" t="s">
        <v>355</v>
      </c>
      <c r="Q44" s="39" t="s">
        <v>355</v>
      </c>
      <c r="R44" s="39" t="s">
        <v>355</v>
      </c>
      <c r="S44" s="39" t="s">
        <v>355</v>
      </c>
      <c r="T44" s="39" t="s">
        <v>355</v>
      </c>
      <c r="U44" s="39" t="s">
        <v>355</v>
      </c>
      <c r="V44" s="39" t="s">
        <v>355</v>
      </c>
      <c r="W44" s="39" t="s">
        <v>355</v>
      </c>
      <c r="X44" s="39" t="s">
        <v>355</v>
      </c>
      <c r="Y44" s="39" t="s">
        <v>355</v>
      </c>
      <c r="Z44" s="39" t="s">
        <v>355</v>
      </c>
      <c r="AA44" s="39" t="s">
        <v>355</v>
      </c>
      <c r="AB44" s="39" t="s">
        <v>355</v>
      </c>
      <c r="AC44" s="39" t="s">
        <v>355</v>
      </c>
      <c r="AD44" s="39" t="s">
        <v>355</v>
      </c>
      <c r="AE44" s="39" t="s">
        <v>355</v>
      </c>
      <c r="AF44" s="39" t="s">
        <v>355</v>
      </c>
      <c r="AG44" s="39" t="s">
        <v>355</v>
      </c>
      <c r="AH44" s="39" t="s">
        <v>355</v>
      </c>
      <c r="AI44" s="39" t="s">
        <v>355</v>
      </c>
      <c r="AJ44" s="39" t="s">
        <v>355</v>
      </c>
      <c r="AK44" s="39" t="s">
        <v>355</v>
      </c>
      <c r="AL44" s="39" t="s">
        <v>355</v>
      </c>
      <c r="AM44" s="39" t="s">
        <v>355</v>
      </c>
    </row>
    <row r="45" spans="1:39" x14ac:dyDescent="0.3">
      <c r="A45" s="30" t="s">
        <v>71</v>
      </c>
      <c r="B45" s="30" t="s">
        <v>136</v>
      </c>
      <c r="C45" s="30" t="s">
        <v>115</v>
      </c>
      <c r="D45" s="31" t="s">
        <v>103</v>
      </c>
      <c r="E45" s="31">
        <v>408</v>
      </c>
      <c r="F45" s="31">
        <v>408</v>
      </c>
      <c r="G45" s="32">
        <v>5010</v>
      </c>
      <c r="H45" s="32">
        <v>4969</v>
      </c>
      <c r="I45" s="32">
        <v>4441</v>
      </c>
      <c r="J45" s="32">
        <v>5018</v>
      </c>
      <c r="K45" s="32">
        <v>3562</v>
      </c>
      <c r="L45" s="32">
        <v>2106</v>
      </c>
      <c r="M45" s="32">
        <v>2281</v>
      </c>
      <c r="N45" s="32">
        <v>2507</v>
      </c>
      <c r="O45" s="32">
        <v>2458</v>
      </c>
      <c r="P45" s="32">
        <v>2490</v>
      </c>
      <c r="Q45" s="32">
        <v>2201</v>
      </c>
      <c r="R45" s="32">
        <v>2255</v>
      </c>
      <c r="S45" s="32">
        <v>2321</v>
      </c>
      <c r="T45" s="32">
        <v>2350</v>
      </c>
      <c r="U45" s="32">
        <v>2182</v>
      </c>
      <c r="V45" s="32">
        <v>2111</v>
      </c>
      <c r="W45" s="39" t="s">
        <v>355</v>
      </c>
      <c r="X45" s="39" t="s">
        <v>355</v>
      </c>
      <c r="Y45" s="39" t="s">
        <v>355</v>
      </c>
      <c r="Z45" s="39" t="s">
        <v>355</v>
      </c>
      <c r="AA45" s="39" t="s">
        <v>355</v>
      </c>
      <c r="AB45" s="39" t="s">
        <v>355</v>
      </c>
      <c r="AC45" s="39" t="s">
        <v>355</v>
      </c>
      <c r="AD45" s="39" t="s">
        <v>355</v>
      </c>
      <c r="AE45" s="39" t="s">
        <v>355</v>
      </c>
      <c r="AF45" s="39" t="s">
        <v>355</v>
      </c>
      <c r="AG45" s="39" t="s">
        <v>355</v>
      </c>
      <c r="AH45" s="39" t="s">
        <v>355</v>
      </c>
      <c r="AI45" s="39" t="s">
        <v>355</v>
      </c>
      <c r="AJ45" s="39" t="s">
        <v>355</v>
      </c>
      <c r="AK45" s="39" t="s">
        <v>355</v>
      </c>
      <c r="AL45" s="39" t="s">
        <v>355</v>
      </c>
      <c r="AM45" s="39" t="s">
        <v>355</v>
      </c>
    </row>
    <row r="46" spans="1:39" x14ac:dyDescent="0.3">
      <c r="A46" s="30" t="s">
        <v>71</v>
      </c>
      <c r="B46" s="30" t="s">
        <v>137</v>
      </c>
      <c r="C46" s="30" t="s">
        <v>138</v>
      </c>
      <c r="D46" s="31" t="s">
        <v>103</v>
      </c>
      <c r="E46" s="31">
        <v>508</v>
      </c>
      <c r="F46" s="31">
        <v>508</v>
      </c>
      <c r="G46" s="32">
        <v>2351</v>
      </c>
      <c r="H46" s="32">
        <v>2395</v>
      </c>
      <c r="I46" s="32">
        <v>2432</v>
      </c>
      <c r="J46" s="32">
        <v>2487</v>
      </c>
      <c r="K46" s="32">
        <v>2507</v>
      </c>
      <c r="L46" s="32">
        <v>2526</v>
      </c>
      <c r="M46" s="32">
        <v>2577</v>
      </c>
      <c r="N46" s="32">
        <v>2442</v>
      </c>
      <c r="O46" s="32">
        <v>2290</v>
      </c>
      <c r="P46" s="32">
        <v>2409</v>
      </c>
      <c r="Q46" s="32">
        <v>2762</v>
      </c>
      <c r="R46" s="32">
        <v>2283</v>
      </c>
      <c r="S46" s="32">
        <v>2179</v>
      </c>
      <c r="T46" s="32">
        <v>2619</v>
      </c>
      <c r="U46" s="32">
        <v>2593</v>
      </c>
      <c r="V46" s="32">
        <v>2800</v>
      </c>
      <c r="W46" s="32">
        <v>2816</v>
      </c>
      <c r="X46" s="32">
        <v>2711</v>
      </c>
      <c r="Y46" s="32">
        <v>2568</v>
      </c>
      <c r="Z46" s="32">
        <v>2841</v>
      </c>
      <c r="AA46" s="32">
        <v>2587</v>
      </c>
      <c r="AB46" s="32">
        <v>2877</v>
      </c>
      <c r="AC46" s="32">
        <v>2527</v>
      </c>
      <c r="AD46" s="32">
        <v>2400</v>
      </c>
      <c r="AE46" s="32">
        <v>2428</v>
      </c>
      <c r="AF46" s="32">
        <v>2021</v>
      </c>
      <c r="AG46" s="32">
        <v>1803</v>
      </c>
      <c r="AH46" s="32">
        <v>2011</v>
      </c>
      <c r="AI46" s="32">
        <v>3083</v>
      </c>
      <c r="AJ46" s="32">
        <v>3516</v>
      </c>
      <c r="AK46" s="32">
        <v>3233</v>
      </c>
      <c r="AL46" s="32">
        <v>3268</v>
      </c>
      <c r="AM46" s="32">
        <v>3521</v>
      </c>
    </row>
    <row r="47" spans="1:39" x14ac:dyDescent="0.3">
      <c r="A47" s="30" t="s">
        <v>71</v>
      </c>
      <c r="B47" s="30" t="s">
        <v>137</v>
      </c>
      <c r="C47" s="30" t="s">
        <v>139</v>
      </c>
      <c r="D47" s="31" t="s">
        <v>103</v>
      </c>
      <c r="E47" s="31">
        <v>509</v>
      </c>
      <c r="F47" s="31">
        <v>509</v>
      </c>
      <c r="G47" s="32">
        <v>4014</v>
      </c>
      <c r="H47" s="32">
        <v>4019</v>
      </c>
      <c r="I47" s="32">
        <v>4048</v>
      </c>
      <c r="J47" s="32">
        <v>4029</v>
      </c>
      <c r="K47" s="32">
        <v>4093</v>
      </c>
      <c r="L47" s="32">
        <v>4157</v>
      </c>
      <c r="M47" s="32">
        <v>4177</v>
      </c>
      <c r="N47" s="32">
        <v>3969</v>
      </c>
      <c r="O47" s="32">
        <v>7760</v>
      </c>
      <c r="P47" s="32">
        <v>7508</v>
      </c>
      <c r="Q47" s="32">
        <v>7633</v>
      </c>
      <c r="R47" s="32">
        <v>7349</v>
      </c>
      <c r="S47" s="32">
        <v>7378</v>
      </c>
      <c r="T47" s="32">
        <v>7780</v>
      </c>
      <c r="U47" s="32">
        <v>4174</v>
      </c>
      <c r="V47" s="32">
        <v>7562</v>
      </c>
      <c r="W47" s="32">
        <v>7729</v>
      </c>
      <c r="X47" s="32">
        <v>7166</v>
      </c>
      <c r="Y47" s="32">
        <v>3873</v>
      </c>
      <c r="Z47" s="32">
        <v>3774</v>
      </c>
      <c r="AA47" s="32">
        <v>4669</v>
      </c>
      <c r="AB47" s="32">
        <v>3954</v>
      </c>
      <c r="AC47" s="32">
        <v>5367</v>
      </c>
      <c r="AD47" s="32">
        <v>3084</v>
      </c>
      <c r="AE47" s="32">
        <v>4509</v>
      </c>
      <c r="AF47" s="32">
        <v>3499</v>
      </c>
      <c r="AG47" s="32">
        <v>2957</v>
      </c>
      <c r="AH47" s="32">
        <v>3150</v>
      </c>
      <c r="AI47" s="32">
        <v>3023</v>
      </c>
      <c r="AJ47" s="39" t="s">
        <v>355</v>
      </c>
      <c r="AK47" s="39" t="s">
        <v>355</v>
      </c>
      <c r="AL47" s="39" t="s">
        <v>355</v>
      </c>
      <c r="AM47" s="39" t="s">
        <v>355</v>
      </c>
    </row>
    <row r="48" spans="1:39" x14ac:dyDescent="0.3">
      <c r="A48" s="30" t="s">
        <v>71</v>
      </c>
      <c r="B48" s="30" t="s">
        <v>137</v>
      </c>
      <c r="C48" s="30" t="s">
        <v>140</v>
      </c>
      <c r="D48" s="31" t="s">
        <v>103</v>
      </c>
      <c r="E48" s="31">
        <v>541</v>
      </c>
      <c r="F48" s="31">
        <v>541</v>
      </c>
      <c r="G48" s="32">
        <v>6954</v>
      </c>
      <c r="H48" s="32">
        <v>7934</v>
      </c>
      <c r="I48" s="32">
        <v>8222</v>
      </c>
      <c r="J48" s="32">
        <v>9886</v>
      </c>
      <c r="K48" s="32">
        <v>9148</v>
      </c>
      <c r="L48" s="32">
        <v>8409</v>
      </c>
      <c r="M48" s="32">
        <v>9012</v>
      </c>
      <c r="N48" s="32">
        <v>8027</v>
      </c>
      <c r="O48" s="32">
        <v>6849</v>
      </c>
      <c r="P48" s="32">
        <v>6464</v>
      </c>
      <c r="Q48" s="32">
        <v>8186</v>
      </c>
      <c r="R48" s="32">
        <v>6271</v>
      </c>
      <c r="S48" s="32">
        <v>6710</v>
      </c>
      <c r="T48" s="32">
        <v>9166</v>
      </c>
      <c r="U48" s="32">
        <v>8078</v>
      </c>
      <c r="V48" s="32">
        <v>7607</v>
      </c>
      <c r="W48" s="32">
        <v>7440</v>
      </c>
      <c r="X48" s="32">
        <v>6833</v>
      </c>
      <c r="Y48" s="32">
        <v>7575</v>
      </c>
      <c r="Z48" s="32">
        <v>7200</v>
      </c>
      <c r="AA48" s="32">
        <v>6405</v>
      </c>
      <c r="AB48" s="32">
        <v>6282</v>
      </c>
      <c r="AC48" s="32">
        <v>5217</v>
      </c>
      <c r="AD48" s="32">
        <v>3768</v>
      </c>
      <c r="AE48" s="39" t="s">
        <v>355</v>
      </c>
      <c r="AF48" s="39" t="s">
        <v>355</v>
      </c>
      <c r="AG48" s="39" t="s">
        <v>355</v>
      </c>
      <c r="AH48" s="39" t="s">
        <v>355</v>
      </c>
      <c r="AI48" s="39" t="s">
        <v>355</v>
      </c>
      <c r="AJ48" s="39" t="s">
        <v>355</v>
      </c>
      <c r="AK48" s="39" t="s">
        <v>355</v>
      </c>
      <c r="AL48" s="39" t="s">
        <v>355</v>
      </c>
      <c r="AM48" s="39" t="s">
        <v>355</v>
      </c>
    </row>
    <row r="49" spans="1:39" x14ac:dyDescent="0.3">
      <c r="A49" s="30" t="s">
        <v>71</v>
      </c>
      <c r="B49" s="30" t="s">
        <v>141</v>
      </c>
      <c r="C49" s="30" t="s">
        <v>142</v>
      </c>
      <c r="D49" s="31" t="s">
        <v>103</v>
      </c>
      <c r="E49" s="31">
        <v>931</v>
      </c>
      <c r="F49" s="31">
        <v>931</v>
      </c>
      <c r="G49" s="32">
        <v>2195</v>
      </c>
      <c r="H49" s="32">
        <v>2159</v>
      </c>
      <c r="I49" s="32">
        <v>1966</v>
      </c>
      <c r="J49" s="32">
        <v>2012</v>
      </c>
      <c r="K49" s="32">
        <v>1697</v>
      </c>
      <c r="L49" s="32">
        <v>1382</v>
      </c>
      <c r="M49" s="32">
        <v>1003</v>
      </c>
      <c r="N49" s="32">
        <v>679</v>
      </c>
      <c r="O49" s="32">
        <v>786</v>
      </c>
      <c r="P49" s="32">
        <v>755</v>
      </c>
      <c r="Q49" s="32">
        <v>532</v>
      </c>
      <c r="R49" s="32">
        <v>393</v>
      </c>
      <c r="S49" s="32">
        <v>390</v>
      </c>
      <c r="T49" s="32">
        <v>395</v>
      </c>
      <c r="U49" s="32">
        <v>410</v>
      </c>
      <c r="V49" s="32">
        <v>354</v>
      </c>
      <c r="W49" s="32">
        <v>415</v>
      </c>
      <c r="X49" s="32">
        <v>466</v>
      </c>
      <c r="Y49" s="32">
        <v>800</v>
      </c>
      <c r="Z49" s="39" t="s">
        <v>355</v>
      </c>
      <c r="AA49" s="39" t="s">
        <v>355</v>
      </c>
      <c r="AB49" s="39" t="s">
        <v>355</v>
      </c>
      <c r="AC49" s="39" t="s">
        <v>355</v>
      </c>
      <c r="AD49" s="39" t="s">
        <v>355</v>
      </c>
      <c r="AE49" s="39" t="s">
        <v>355</v>
      </c>
      <c r="AF49" s="39" t="s">
        <v>355</v>
      </c>
      <c r="AG49" s="39" t="s">
        <v>355</v>
      </c>
      <c r="AH49" s="39" t="s">
        <v>355</v>
      </c>
      <c r="AI49" s="39" t="s">
        <v>355</v>
      </c>
      <c r="AJ49" s="39" t="s">
        <v>355</v>
      </c>
      <c r="AK49" s="39" t="s">
        <v>355</v>
      </c>
      <c r="AL49" s="39" t="s">
        <v>355</v>
      </c>
      <c r="AM49" s="39" t="s">
        <v>355</v>
      </c>
    </row>
    <row r="50" spans="1:39" x14ac:dyDescent="0.3">
      <c r="A50" s="30" t="s">
        <v>71</v>
      </c>
      <c r="B50" s="30" t="s">
        <v>143</v>
      </c>
      <c r="C50" s="30" t="s">
        <v>144</v>
      </c>
      <c r="D50" s="31" t="s">
        <v>103</v>
      </c>
      <c r="E50" s="31">
        <v>909</v>
      </c>
      <c r="F50" s="31">
        <v>909</v>
      </c>
      <c r="G50" s="32">
        <v>1843</v>
      </c>
      <c r="H50" s="32">
        <v>1330</v>
      </c>
      <c r="I50" s="32">
        <v>1057</v>
      </c>
      <c r="J50" s="32">
        <v>423</v>
      </c>
      <c r="K50" s="32">
        <v>331</v>
      </c>
      <c r="L50" s="32">
        <v>239</v>
      </c>
      <c r="M50" s="32">
        <v>263</v>
      </c>
      <c r="N50" s="32">
        <v>328</v>
      </c>
      <c r="O50" s="32">
        <v>306</v>
      </c>
      <c r="P50" s="32">
        <v>989</v>
      </c>
      <c r="Q50" s="32">
        <v>716</v>
      </c>
      <c r="R50" s="32">
        <v>243</v>
      </c>
      <c r="S50" s="32">
        <v>230</v>
      </c>
      <c r="T50" s="32">
        <v>192</v>
      </c>
      <c r="U50" s="32">
        <v>160</v>
      </c>
      <c r="V50" s="32">
        <v>700</v>
      </c>
      <c r="W50" s="32">
        <v>5236</v>
      </c>
      <c r="X50" s="32">
        <v>1194</v>
      </c>
      <c r="Y50" s="32">
        <v>2199</v>
      </c>
      <c r="Z50" s="39" t="s">
        <v>355</v>
      </c>
      <c r="AA50" s="39" t="s">
        <v>355</v>
      </c>
      <c r="AB50" s="39" t="s">
        <v>355</v>
      </c>
      <c r="AC50" s="39" t="s">
        <v>355</v>
      </c>
      <c r="AD50" s="39" t="s">
        <v>355</v>
      </c>
      <c r="AE50" s="39" t="s">
        <v>355</v>
      </c>
      <c r="AF50" s="39" t="s">
        <v>355</v>
      </c>
      <c r="AG50" s="39" t="s">
        <v>355</v>
      </c>
      <c r="AH50" s="39" t="s">
        <v>355</v>
      </c>
      <c r="AI50" s="39" t="s">
        <v>355</v>
      </c>
      <c r="AJ50" s="39" t="s">
        <v>355</v>
      </c>
      <c r="AK50" s="39" t="s">
        <v>355</v>
      </c>
      <c r="AL50" s="39" t="s">
        <v>355</v>
      </c>
      <c r="AM50" s="39" t="s">
        <v>355</v>
      </c>
    </row>
    <row r="51" spans="1:39" x14ac:dyDescent="0.3">
      <c r="A51" s="30" t="s">
        <v>71</v>
      </c>
      <c r="B51" s="30" t="s">
        <v>143</v>
      </c>
      <c r="C51" s="30" t="s">
        <v>145</v>
      </c>
      <c r="D51" s="31" t="s">
        <v>103</v>
      </c>
      <c r="E51" s="31">
        <v>910</v>
      </c>
      <c r="F51" s="31">
        <v>910</v>
      </c>
      <c r="G51" s="32">
        <v>1108</v>
      </c>
      <c r="H51" s="32">
        <v>846</v>
      </c>
      <c r="I51" s="32">
        <v>698</v>
      </c>
      <c r="J51" s="32">
        <v>387</v>
      </c>
      <c r="K51" s="32">
        <v>313</v>
      </c>
      <c r="L51" s="32">
        <v>239</v>
      </c>
      <c r="M51" s="32">
        <v>263</v>
      </c>
      <c r="N51" s="32">
        <v>328</v>
      </c>
      <c r="O51" s="32">
        <v>306</v>
      </c>
      <c r="P51" s="32">
        <v>989</v>
      </c>
      <c r="Q51" s="32">
        <v>716</v>
      </c>
      <c r="R51" s="32">
        <v>243</v>
      </c>
      <c r="S51" s="32">
        <v>230</v>
      </c>
      <c r="T51" s="32">
        <v>192</v>
      </c>
      <c r="U51" s="32">
        <v>160</v>
      </c>
      <c r="V51" s="32">
        <v>700</v>
      </c>
      <c r="W51" s="32">
        <v>5236</v>
      </c>
      <c r="X51" s="32">
        <v>1194</v>
      </c>
      <c r="Y51" s="32">
        <v>2199</v>
      </c>
      <c r="Z51" s="39" t="s">
        <v>355</v>
      </c>
      <c r="AA51" s="39" t="s">
        <v>355</v>
      </c>
      <c r="AB51" s="39" t="s">
        <v>355</v>
      </c>
      <c r="AC51" s="39" t="s">
        <v>355</v>
      </c>
      <c r="AD51" s="39" t="s">
        <v>355</v>
      </c>
      <c r="AE51" s="39" t="s">
        <v>355</v>
      </c>
      <c r="AF51" s="39" t="s">
        <v>355</v>
      </c>
      <c r="AG51" s="39" t="s">
        <v>355</v>
      </c>
      <c r="AH51" s="39" t="s">
        <v>355</v>
      </c>
      <c r="AI51" s="39" t="s">
        <v>355</v>
      </c>
      <c r="AJ51" s="39" t="s">
        <v>355</v>
      </c>
      <c r="AK51" s="39" t="s">
        <v>355</v>
      </c>
      <c r="AL51" s="39" t="s">
        <v>355</v>
      </c>
      <c r="AM51" s="39" t="s">
        <v>355</v>
      </c>
    </row>
    <row r="52" spans="1:39" x14ac:dyDescent="0.3">
      <c r="A52" s="30" t="s">
        <v>71</v>
      </c>
      <c r="B52" s="30" t="s">
        <v>146</v>
      </c>
      <c r="C52" s="30" t="s">
        <v>147</v>
      </c>
      <c r="D52" s="31" t="s">
        <v>103</v>
      </c>
      <c r="E52" s="31">
        <v>820</v>
      </c>
      <c r="F52" s="31">
        <v>820</v>
      </c>
      <c r="G52" s="32">
        <v>3762</v>
      </c>
      <c r="H52" s="32">
        <v>3949</v>
      </c>
      <c r="I52" s="32">
        <v>4154</v>
      </c>
      <c r="J52" s="32">
        <v>4040</v>
      </c>
      <c r="K52" s="32">
        <v>4697</v>
      </c>
      <c r="L52" s="32">
        <v>5353</v>
      </c>
      <c r="M52" s="32">
        <v>4558</v>
      </c>
      <c r="N52" s="32">
        <v>3633</v>
      </c>
      <c r="O52" s="32">
        <v>4243</v>
      </c>
      <c r="P52" s="32">
        <v>4368</v>
      </c>
      <c r="Q52" s="32">
        <v>2395</v>
      </c>
      <c r="R52" s="32">
        <v>3589</v>
      </c>
      <c r="S52" s="32">
        <v>3150</v>
      </c>
      <c r="T52" s="32">
        <v>2503</v>
      </c>
      <c r="U52" s="32">
        <v>2813</v>
      </c>
      <c r="V52" s="39" t="s">
        <v>355</v>
      </c>
      <c r="W52" s="39" t="s">
        <v>355</v>
      </c>
      <c r="X52" s="39" t="s">
        <v>355</v>
      </c>
      <c r="Y52" s="39" t="s">
        <v>355</v>
      </c>
      <c r="Z52" s="39" t="s">
        <v>355</v>
      </c>
      <c r="AA52" s="39" t="s">
        <v>355</v>
      </c>
      <c r="AB52" s="39" t="s">
        <v>355</v>
      </c>
      <c r="AC52" s="39" t="s">
        <v>355</v>
      </c>
      <c r="AD52" s="39" t="s">
        <v>355</v>
      </c>
      <c r="AE52" s="39" t="s">
        <v>355</v>
      </c>
      <c r="AF52" s="39" t="s">
        <v>355</v>
      </c>
      <c r="AG52" s="39" t="s">
        <v>355</v>
      </c>
      <c r="AH52" s="39" t="s">
        <v>355</v>
      </c>
      <c r="AI52" s="39" t="s">
        <v>355</v>
      </c>
      <c r="AJ52" s="39" t="s">
        <v>355</v>
      </c>
      <c r="AK52" s="39" t="s">
        <v>355</v>
      </c>
      <c r="AL52" s="39" t="s">
        <v>355</v>
      </c>
      <c r="AM52" s="39" t="s">
        <v>355</v>
      </c>
    </row>
    <row r="53" spans="1:39" x14ac:dyDescent="0.3">
      <c r="A53" s="30" t="s">
        <v>71</v>
      </c>
      <c r="B53" s="30" t="s">
        <v>148</v>
      </c>
      <c r="C53" s="30" t="s">
        <v>149</v>
      </c>
      <c r="D53" s="31" t="s">
        <v>103</v>
      </c>
      <c r="E53" s="31">
        <v>920</v>
      </c>
      <c r="F53" s="31">
        <v>920</v>
      </c>
      <c r="G53" s="32">
        <v>1440</v>
      </c>
      <c r="H53" s="32">
        <v>1356</v>
      </c>
      <c r="I53" s="32">
        <v>1239</v>
      </c>
      <c r="J53" s="32">
        <v>1176</v>
      </c>
      <c r="K53" s="32">
        <v>1028</v>
      </c>
      <c r="L53" s="32">
        <v>880</v>
      </c>
      <c r="M53" s="32">
        <v>739</v>
      </c>
      <c r="N53" s="32">
        <v>788</v>
      </c>
      <c r="O53" s="32">
        <v>1336</v>
      </c>
      <c r="P53" s="32">
        <v>1325</v>
      </c>
      <c r="Q53" s="32">
        <v>677</v>
      </c>
      <c r="R53" s="32">
        <v>606</v>
      </c>
      <c r="S53" s="32">
        <v>546</v>
      </c>
      <c r="T53" s="32">
        <v>597</v>
      </c>
      <c r="U53" s="32">
        <v>501</v>
      </c>
      <c r="V53" s="32">
        <v>581</v>
      </c>
      <c r="W53" s="32">
        <v>595</v>
      </c>
      <c r="X53" s="32">
        <v>642</v>
      </c>
      <c r="Y53" s="32">
        <v>575</v>
      </c>
      <c r="Z53" s="39" t="s">
        <v>355</v>
      </c>
      <c r="AA53" s="39" t="s">
        <v>355</v>
      </c>
      <c r="AB53" s="39" t="s">
        <v>355</v>
      </c>
      <c r="AC53" s="39" t="s">
        <v>355</v>
      </c>
      <c r="AD53" s="39" t="s">
        <v>355</v>
      </c>
      <c r="AE53" s="39" t="s">
        <v>355</v>
      </c>
      <c r="AF53" s="39" t="s">
        <v>355</v>
      </c>
      <c r="AG53" s="39" t="s">
        <v>355</v>
      </c>
      <c r="AH53" s="39" t="s">
        <v>355</v>
      </c>
      <c r="AI53" s="39" t="s">
        <v>355</v>
      </c>
      <c r="AJ53" s="39" t="s">
        <v>355</v>
      </c>
      <c r="AK53" s="39" t="s">
        <v>355</v>
      </c>
      <c r="AL53" s="39" t="s">
        <v>355</v>
      </c>
      <c r="AM53" s="39" t="s">
        <v>355</v>
      </c>
    </row>
    <row r="54" spans="1:39" x14ac:dyDescent="0.3">
      <c r="A54" s="30" t="s">
        <v>71</v>
      </c>
      <c r="B54" s="30" t="s">
        <v>150</v>
      </c>
      <c r="C54" s="30" t="s">
        <v>120</v>
      </c>
      <c r="D54" s="31" t="s">
        <v>103</v>
      </c>
      <c r="E54" s="31">
        <v>972</v>
      </c>
      <c r="F54" s="31">
        <v>972</v>
      </c>
      <c r="G54" s="32">
        <v>5426</v>
      </c>
      <c r="H54" s="32">
        <v>4672</v>
      </c>
      <c r="I54" s="32">
        <v>4022</v>
      </c>
      <c r="J54" s="32">
        <v>3266</v>
      </c>
      <c r="K54" s="32">
        <v>2620</v>
      </c>
      <c r="L54" s="32">
        <v>1973</v>
      </c>
      <c r="M54" s="32">
        <v>1634</v>
      </c>
      <c r="N54" s="32">
        <v>1293</v>
      </c>
      <c r="O54" s="32">
        <v>896</v>
      </c>
      <c r="P54" s="32">
        <v>432</v>
      </c>
      <c r="Q54" s="32">
        <v>552</v>
      </c>
      <c r="R54" s="32">
        <v>524</v>
      </c>
      <c r="S54" s="32">
        <v>388</v>
      </c>
      <c r="T54" s="32">
        <v>279</v>
      </c>
      <c r="U54" s="32" t="s">
        <v>359</v>
      </c>
      <c r="V54" s="32" t="s">
        <v>359</v>
      </c>
      <c r="W54" s="32">
        <v>770</v>
      </c>
      <c r="X54" s="39" t="s">
        <v>355</v>
      </c>
      <c r="Y54" s="39" t="s">
        <v>355</v>
      </c>
      <c r="Z54" s="39" t="s">
        <v>355</v>
      </c>
      <c r="AA54" s="39" t="s">
        <v>355</v>
      </c>
      <c r="AB54" s="39" t="s">
        <v>355</v>
      </c>
      <c r="AC54" s="39" t="s">
        <v>355</v>
      </c>
      <c r="AD54" s="39" t="s">
        <v>355</v>
      </c>
      <c r="AE54" s="39" t="s">
        <v>355</v>
      </c>
      <c r="AF54" s="39" t="s">
        <v>355</v>
      </c>
      <c r="AG54" s="39" t="s">
        <v>355</v>
      </c>
      <c r="AH54" s="39" t="s">
        <v>355</v>
      </c>
      <c r="AI54" s="39" t="s">
        <v>355</v>
      </c>
      <c r="AJ54" s="39" t="s">
        <v>355</v>
      </c>
      <c r="AK54" s="39" t="s">
        <v>355</v>
      </c>
      <c r="AL54" s="39" t="s">
        <v>355</v>
      </c>
      <c r="AM54" s="39" t="s">
        <v>355</v>
      </c>
    </row>
    <row r="55" spans="1:39" x14ac:dyDescent="0.3">
      <c r="A55" s="30" t="s">
        <v>71</v>
      </c>
      <c r="B55" s="30" t="s">
        <v>151</v>
      </c>
      <c r="C55" s="30" t="s">
        <v>152</v>
      </c>
      <c r="D55" s="31" t="s">
        <v>103</v>
      </c>
      <c r="E55" s="31">
        <v>975</v>
      </c>
      <c r="F55" s="31">
        <v>975</v>
      </c>
      <c r="G55" s="32">
        <v>4050</v>
      </c>
      <c r="H55" s="39" t="s">
        <v>355</v>
      </c>
      <c r="I55" s="39" t="s">
        <v>355</v>
      </c>
      <c r="J55" s="39" t="s">
        <v>355</v>
      </c>
      <c r="K55" s="39" t="s">
        <v>355</v>
      </c>
      <c r="L55" s="39" t="s">
        <v>355</v>
      </c>
      <c r="M55" s="39" t="s">
        <v>355</v>
      </c>
      <c r="N55" s="39" t="s">
        <v>355</v>
      </c>
      <c r="O55" s="39" t="s">
        <v>355</v>
      </c>
      <c r="P55" s="39" t="s">
        <v>355</v>
      </c>
      <c r="Q55" s="39" t="s">
        <v>355</v>
      </c>
      <c r="R55" s="39" t="s">
        <v>355</v>
      </c>
      <c r="S55" s="39" t="s">
        <v>355</v>
      </c>
      <c r="T55" s="39" t="s">
        <v>355</v>
      </c>
      <c r="U55" s="39" t="s">
        <v>355</v>
      </c>
      <c r="V55" s="39" t="s">
        <v>355</v>
      </c>
      <c r="W55" s="39" t="s">
        <v>355</v>
      </c>
      <c r="X55" s="39" t="s">
        <v>355</v>
      </c>
      <c r="Y55" s="39" t="s">
        <v>355</v>
      </c>
      <c r="Z55" s="39" t="s">
        <v>355</v>
      </c>
      <c r="AA55" s="39" t="s">
        <v>355</v>
      </c>
      <c r="AB55" s="39" t="s">
        <v>355</v>
      </c>
      <c r="AC55" s="39" t="s">
        <v>355</v>
      </c>
      <c r="AD55" s="39" t="s">
        <v>355</v>
      </c>
      <c r="AE55" s="39" t="s">
        <v>355</v>
      </c>
      <c r="AF55" s="39" t="s">
        <v>355</v>
      </c>
      <c r="AG55" s="39" t="s">
        <v>355</v>
      </c>
      <c r="AH55" s="39" t="s">
        <v>355</v>
      </c>
      <c r="AI55" s="39" t="s">
        <v>355</v>
      </c>
      <c r="AJ55" s="39" t="s">
        <v>355</v>
      </c>
      <c r="AK55" s="39" t="s">
        <v>355</v>
      </c>
      <c r="AL55" s="39" t="s">
        <v>355</v>
      </c>
      <c r="AM55" s="39" t="s">
        <v>355</v>
      </c>
    </row>
    <row r="56" spans="1:39" x14ac:dyDescent="0.3">
      <c r="A56" s="30" t="s">
        <v>71</v>
      </c>
      <c r="B56" s="30" t="s">
        <v>153</v>
      </c>
      <c r="C56" s="30" t="s">
        <v>154</v>
      </c>
      <c r="D56" s="31" t="s">
        <v>103</v>
      </c>
      <c r="E56" s="31">
        <v>561</v>
      </c>
      <c r="F56" s="31">
        <v>561</v>
      </c>
      <c r="G56" s="32">
        <v>1129</v>
      </c>
      <c r="H56" s="32">
        <v>1163</v>
      </c>
      <c r="I56" s="32">
        <v>1251</v>
      </c>
      <c r="J56" s="32">
        <v>1219</v>
      </c>
      <c r="K56" s="32">
        <v>1406</v>
      </c>
      <c r="L56" s="32">
        <v>1593</v>
      </c>
      <c r="M56" s="32">
        <v>1613</v>
      </c>
      <c r="N56" s="32">
        <v>1667</v>
      </c>
      <c r="O56" s="32">
        <v>1584</v>
      </c>
      <c r="P56" s="32">
        <v>1474</v>
      </c>
      <c r="Q56" s="32">
        <v>1403</v>
      </c>
      <c r="R56" s="32">
        <v>1461</v>
      </c>
      <c r="S56" s="32">
        <v>1345</v>
      </c>
      <c r="T56" s="32">
        <v>1407</v>
      </c>
      <c r="U56" s="32">
        <v>1329</v>
      </c>
      <c r="V56" s="32">
        <v>1259</v>
      </c>
      <c r="W56" s="32">
        <v>1341</v>
      </c>
      <c r="X56" s="32">
        <v>1337</v>
      </c>
      <c r="Y56" s="32">
        <v>1526</v>
      </c>
      <c r="Z56" s="32">
        <v>1640</v>
      </c>
      <c r="AA56" s="32">
        <v>1655</v>
      </c>
      <c r="AB56" s="32">
        <v>1719</v>
      </c>
      <c r="AC56" s="32">
        <v>1683</v>
      </c>
      <c r="AD56" s="32">
        <v>1490</v>
      </c>
      <c r="AE56" s="32">
        <v>1640</v>
      </c>
      <c r="AF56" s="32">
        <v>2902</v>
      </c>
      <c r="AG56" s="32">
        <v>1716</v>
      </c>
      <c r="AH56" s="32">
        <v>2079</v>
      </c>
      <c r="AI56" s="32">
        <v>1955</v>
      </c>
      <c r="AJ56" s="32">
        <v>2186</v>
      </c>
      <c r="AK56" s="32">
        <v>2394</v>
      </c>
      <c r="AL56" s="32">
        <v>1878</v>
      </c>
      <c r="AM56" s="32">
        <v>1445</v>
      </c>
    </row>
    <row r="57" spans="1:39" x14ac:dyDescent="0.3">
      <c r="A57" s="30" t="s">
        <v>71</v>
      </c>
      <c r="B57" s="30" t="s">
        <v>153</v>
      </c>
      <c r="C57" s="30" t="s">
        <v>122</v>
      </c>
      <c r="D57" s="31" t="s">
        <v>103</v>
      </c>
      <c r="E57" s="31">
        <v>562</v>
      </c>
      <c r="F57" s="31">
        <v>562</v>
      </c>
      <c r="G57" s="32">
        <v>1084</v>
      </c>
      <c r="H57" s="32">
        <v>1113</v>
      </c>
      <c r="I57" s="32">
        <v>1232</v>
      </c>
      <c r="J57" s="32">
        <v>1235</v>
      </c>
      <c r="K57" s="32">
        <v>1393</v>
      </c>
      <c r="L57" s="32">
        <v>1552</v>
      </c>
      <c r="M57" s="32">
        <v>1845</v>
      </c>
      <c r="N57" s="32">
        <v>1906</v>
      </c>
      <c r="O57" s="32">
        <v>1856</v>
      </c>
      <c r="P57" s="32">
        <v>1457</v>
      </c>
      <c r="Q57" s="32">
        <v>1252</v>
      </c>
      <c r="R57" s="32">
        <v>1242</v>
      </c>
      <c r="S57" s="32">
        <v>1214</v>
      </c>
      <c r="T57" s="32">
        <v>1047</v>
      </c>
      <c r="U57" s="32">
        <v>1461</v>
      </c>
      <c r="V57" s="32">
        <v>1163</v>
      </c>
      <c r="W57" s="32">
        <v>1266</v>
      </c>
      <c r="X57" s="32">
        <v>1819</v>
      </c>
      <c r="Y57" s="32">
        <v>1557</v>
      </c>
      <c r="Z57" s="32">
        <v>1557</v>
      </c>
      <c r="AA57" s="32">
        <v>1917</v>
      </c>
      <c r="AB57" s="32">
        <v>1465</v>
      </c>
      <c r="AC57" s="32">
        <v>1890</v>
      </c>
      <c r="AD57" s="32">
        <v>1429</v>
      </c>
      <c r="AE57" s="32">
        <v>1578</v>
      </c>
      <c r="AF57" s="32">
        <v>1719</v>
      </c>
      <c r="AG57" s="32">
        <v>1468</v>
      </c>
      <c r="AH57" s="32">
        <v>1660</v>
      </c>
      <c r="AI57" s="32">
        <v>1683</v>
      </c>
      <c r="AJ57" s="32">
        <v>1841</v>
      </c>
      <c r="AK57" s="32">
        <v>1747</v>
      </c>
      <c r="AL57" s="32">
        <v>1609</v>
      </c>
      <c r="AM57" s="32">
        <v>1346</v>
      </c>
    </row>
    <row r="58" spans="1:39" x14ac:dyDescent="0.3">
      <c r="A58" s="30" t="s">
        <v>71</v>
      </c>
      <c r="B58" s="30" t="s">
        <v>155</v>
      </c>
      <c r="C58" s="30" t="s">
        <v>156</v>
      </c>
      <c r="D58" s="31" t="s">
        <v>103</v>
      </c>
      <c r="E58" s="31">
        <v>950</v>
      </c>
      <c r="F58" s="31">
        <v>950</v>
      </c>
      <c r="G58" s="32">
        <v>2821</v>
      </c>
      <c r="H58" s="32">
        <v>2689</v>
      </c>
      <c r="I58" s="32">
        <v>2401</v>
      </c>
      <c r="J58" s="32">
        <v>2425</v>
      </c>
      <c r="K58" s="32">
        <v>1903</v>
      </c>
      <c r="L58" s="32">
        <v>1380</v>
      </c>
      <c r="M58" s="32">
        <v>1169</v>
      </c>
      <c r="N58" s="32">
        <v>953</v>
      </c>
      <c r="O58" s="32">
        <v>1000</v>
      </c>
      <c r="P58" s="32">
        <v>665</v>
      </c>
      <c r="Q58" s="32">
        <v>691</v>
      </c>
      <c r="R58" s="32">
        <v>859</v>
      </c>
      <c r="S58" s="32">
        <v>525</v>
      </c>
      <c r="T58" s="32">
        <v>555</v>
      </c>
      <c r="U58" s="32">
        <v>509</v>
      </c>
      <c r="V58" s="32">
        <v>1013</v>
      </c>
      <c r="W58" s="32">
        <v>1107</v>
      </c>
      <c r="X58" s="32">
        <v>1226</v>
      </c>
      <c r="Y58" s="32">
        <v>1750</v>
      </c>
      <c r="Z58" s="39" t="s">
        <v>355</v>
      </c>
      <c r="AA58" s="39" t="s">
        <v>355</v>
      </c>
      <c r="AB58" s="39" t="s">
        <v>355</v>
      </c>
      <c r="AC58" s="39" t="s">
        <v>355</v>
      </c>
      <c r="AD58" s="39" t="s">
        <v>355</v>
      </c>
      <c r="AE58" s="39" t="s">
        <v>355</v>
      </c>
      <c r="AF58" s="39" t="s">
        <v>355</v>
      </c>
      <c r="AG58" s="39" t="s">
        <v>355</v>
      </c>
      <c r="AH58" s="39" t="s">
        <v>355</v>
      </c>
      <c r="AI58" s="39" t="s">
        <v>355</v>
      </c>
      <c r="AJ58" s="39" t="s">
        <v>355</v>
      </c>
      <c r="AK58" s="39" t="s">
        <v>355</v>
      </c>
      <c r="AL58" s="39" t="s">
        <v>355</v>
      </c>
      <c r="AM58" s="39" t="s">
        <v>355</v>
      </c>
    </row>
    <row r="59" spans="1:39" x14ac:dyDescent="0.3">
      <c r="A59" s="30" t="s">
        <v>71</v>
      </c>
      <c r="B59" s="30" t="s">
        <v>155</v>
      </c>
      <c r="C59" s="30" t="s">
        <v>157</v>
      </c>
      <c r="D59" s="31" t="s">
        <v>103</v>
      </c>
      <c r="E59" s="31">
        <v>951</v>
      </c>
      <c r="F59" s="31">
        <v>951</v>
      </c>
      <c r="G59" s="32">
        <v>991</v>
      </c>
      <c r="H59" s="32">
        <v>1022</v>
      </c>
      <c r="I59" s="32">
        <v>1009</v>
      </c>
      <c r="J59" s="32">
        <v>1100</v>
      </c>
      <c r="K59" s="32">
        <v>998</v>
      </c>
      <c r="L59" s="32">
        <v>895</v>
      </c>
      <c r="M59" s="39" t="s">
        <v>355</v>
      </c>
      <c r="N59" s="39" t="s">
        <v>355</v>
      </c>
      <c r="O59" s="39" t="s">
        <v>355</v>
      </c>
      <c r="P59" s="39" t="s">
        <v>355</v>
      </c>
      <c r="Q59" s="39" t="s">
        <v>355</v>
      </c>
      <c r="R59" s="39" t="s">
        <v>355</v>
      </c>
      <c r="S59" s="39" t="s">
        <v>355</v>
      </c>
      <c r="T59" s="39" t="s">
        <v>355</v>
      </c>
      <c r="U59" s="39" t="s">
        <v>355</v>
      </c>
      <c r="V59" s="39" t="s">
        <v>355</v>
      </c>
      <c r="W59" s="39" t="s">
        <v>355</v>
      </c>
      <c r="X59" s="39" t="s">
        <v>355</v>
      </c>
      <c r="Y59" s="39" t="s">
        <v>355</v>
      </c>
      <c r="Z59" s="39" t="s">
        <v>355</v>
      </c>
      <c r="AA59" s="39" t="s">
        <v>355</v>
      </c>
      <c r="AB59" s="39" t="s">
        <v>355</v>
      </c>
      <c r="AC59" s="39" t="s">
        <v>355</v>
      </c>
      <c r="AD59" s="39" t="s">
        <v>355</v>
      </c>
      <c r="AE59" s="39" t="s">
        <v>355</v>
      </c>
      <c r="AF59" s="39" t="s">
        <v>355</v>
      </c>
      <c r="AG59" s="39" t="s">
        <v>355</v>
      </c>
      <c r="AH59" s="39" t="s">
        <v>355</v>
      </c>
      <c r="AI59" s="39" t="s">
        <v>355</v>
      </c>
      <c r="AJ59" s="39" t="s">
        <v>355</v>
      </c>
      <c r="AK59" s="39" t="s">
        <v>355</v>
      </c>
      <c r="AL59" s="39" t="s">
        <v>355</v>
      </c>
      <c r="AM59" s="39" t="s">
        <v>355</v>
      </c>
    </row>
    <row r="60" spans="1:39" x14ac:dyDescent="0.3">
      <c r="A60" s="30" t="s">
        <v>71</v>
      </c>
      <c r="B60" s="30" t="s">
        <v>155</v>
      </c>
      <c r="C60" s="30" t="s">
        <v>158</v>
      </c>
      <c r="D60" s="31" t="s">
        <v>103</v>
      </c>
      <c r="E60" s="31">
        <v>952</v>
      </c>
      <c r="F60" s="31">
        <v>952</v>
      </c>
      <c r="G60" s="32">
        <v>215</v>
      </c>
      <c r="H60" s="32">
        <v>261</v>
      </c>
      <c r="I60" s="32">
        <v>301</v>
      </c>
      <c r="J60" s="32">
        <v>356</v>
      </c>
      <c r="K60" s="32">
        <v>384</v>
      </c>
      <c r="L60" s="32">
        <v>411</v>
      </c>
      <c r="M60" s="39" t="s">
        <v>355</v>
      </c>
      <c r="N60" s="39" t="s">
        <v>355</v>
      </c>
      <c r="O60" s="39" t="s">
        <v>355</v>
      </c>
      <c r="P60" s="39" t="s">
        <v>355</v>
      </c>
      <c r="Q60" s="39" t="s">
        <v>355</v>
      </c>
      <c r="R60" s="39" t="s">
        <v>355</v>
      </c>
      <c r="S60" s="39" t="s">
        <v>355</v>
      </c>
      <c r="T60" s="39" t="s">
        <v>355</v>
      </c>
      <c r="U60" s="39" t="s">
        <v>355</v>
      </c>
      <c r="V60" s="39" t="s">
        <v>355</v>
      </c>
      <c r="W60" s="39" t="s">
        <v>355</v>
      </c>
      <c r="X60" s="39" t="s">
        <v>355</v>
      </c>
      <c r="Y60" s="39" t="s">
        <v>355</v>
      </c>
      <c r="Z60" s="39" t="s">
        <v>355</v>
      </c>
      <c r="AA60" s="39" t="s">
        <v>355</v>
      </c>
      <c r="AB60" s="39" t="s">
        <v>355</v>
      </c>
      <c r="AC60" s="39" t="s">
        <v>355</v>
      </c>
      <c r="AD60" s="39" t="s">
        <v>355</v>
      </c>
      <c r="AE60" s="39" t="s">
        <v>355</v>
      </c>
      <c r="AF60" s="39" t="s">
        <v>355</v>
      </c>
      <c r="AG60" s="39" t="s">
        <v>355</v>
      </c>
      <c r="AH60" s="39" t="s">
        <v>355</v>
      </c>
      <c r="AI60" s="39" t="s">
        <v>355</v>
      </c>
      <c r="AJ60" s="39" t="s">
        <v>355</v>
      </c>
      <c r="AK60" s="39" t="s">
        <v>355</v>
      </c>
      <c r="AL60" s="39" t="s">
        <v>355</v>
      </c>
      <c r="AM60" s="39" t="s">
        <v>355</v>
      </c>
    </row>
    <row r="61" spans="1:39" x14ac:dyDescent="0.3">
      <c r="A61" s="30" t="s">
        <v>71</v>
      </c>
      <c r="B61" s="30" t="s">
        <v>159</v>
      </c>
      <c r="C61" s="30" t="s">
        <v>160</v>
      </c>
      <c r="D61" s="31" t="s">
        <v>103</v>
      </c>
      <c r="E61" s="31">
        <v>406</v>
      </c>
      <c r="F61" s="31">
        <v>406</v>
      </c>
      <c r="G61" s="32">
        <v>698</v>
      </c>
      <c r="H61" s="39" t="s">
        <v>355</v>
      </c>
      <c r="I61" s="39" t="s">
        <v>355</v>
      </c>
      <c r="J61" s="39" t="s">
        <v>355</v>
      </c>
      <c r="K61" s="39" t="s">
        <v>355</v>
      </c>
      <c r="L61" s="39" t="s">
        <v>355</v>
      </c>
      <c r="M61" s="39" t="s">
        <v>355</v>
      </c>
      <c r="N61" s="39" t="s">
        <v>355</v>
      </c>
      <c r="O61" s="39" t="s">
        <v>355</v>
      </c>
      <c r="P61" s="39" t="s">
        <v>355</v>
      </c>
      <c r="Q61" s="39" t="s">
        <v>355</v>
      </c>
      <c r="R61" s="39" t="s">
        <v>355</v>
      </c>
      <c r="S61" s="39" t="s">
        <v>355</v>
      </c>
      <c r="T61" s="39" t="s">
        <v>355</v>
      </c>
      <c r="U61" s="39" t="s">
        <v>355</v>
      </c>
      <c r="V61" s="39" t="s">
        <v>355</v>
      </c>
      <c r="W61" s="39" t="s">
        <v>355</v>
      </c>
      <c r="X61" s="39" t="s">
        <v>355</v>
      </c>
      <c r="Y61" s="39" t="s">
        <v>355</v>
      </c>
      <c r="Z61" s="39" t="s">
        <v>355</v>
      </c>
      <c r="AA61" s="39" t="s">
        <v>355</v>
      </c>
      <c r="AB61" s="39" t="s">
        <v>355</v>
      </c>
      <c r="AC61" s="39" t="s">
        <v>355</v>
      </c>
      <c r="AD61" s="39" t="s">
        <v>355</v>
      </c>
      <c r="AE61" s="39" t="s">
        <v>355</v>
      </c>
      <c r="AF61" s="39" t="s">
        <v>355</v>
      </c>
      <c r="AG61" s="39" t="s">
        <v>355</v>
      </c>
      <c r="AH61" s="39" t="s">
        <v>355</v>
      </c>
      <c r="AI61" s="39" t="s">
        <v>355</v>
      </c>
      <c r="AJ61" s="39" t="s">
        <v>355</v>
      </c>
      <c r="AK61" s="39" t="s">
        <v>355</v>
      </c>
      <c r="AL61" s="39" t="s">
        <v>355</v>
      </c>
      <c r="AM61" s="39" t="s">
        <v>355</v>
      </c>
    </row>
    <row r="62" spans="1:39" x14ac:dyDescent="0.3">
      <c r="A62" s="30" t="s">
        <v>71</v>
      </c>
      <c r="B62" s="30" t="s">
        <v>159</v>
      </c>
      <c r="C62" s="30" t="s">
        <v>115</v>
      </c>
      <c r="D62" s="31" t="s">
        <v>103</v>
      </c>
      <c r="E62" s="31">
        <v>405</v>
      </c>
      <c r="F62" s="31">
        <v>405</v>
      </c>
      <c r="G62" s="32">
        <v>1267</v>
      </c>
      <c r="H62" s="39" t="s">
        <v>355</v>
      </c>
      <c r="I62" s="39" t="s">
        <v>355</v>
      </c>
      <c r="J62" s="39" t="s">
        <v>355</v>
      </c>
      <c r="K62" s="39" t="s">
        <v>355</v>
      </c>
      <c r="L62" s="39" t="s">
        <v>355</v>
      </c>
      <c r="M62" s="39" t="s">
        <v>355</v>
      </c>
      <c r="N62" s="39" t="s">
        <v>355</v>
      </c>
      <c r="O62" s="39" t="s">
        <v>355</v>
      </c>
      <c r="P62" s="39" t="s">
        <v>355</v>
      </c>
      <c r="Q62" s="39" t="s">
        <v>355</v>
      </c>
      <c r="R62" s="39" t="s">
        <v>355</v>
      </c>
      <c r="S62" s="39" t="s">
        <v>355</v>
      </c>
      <c r="T62" s="39" t="s">
        <v>355</v>
      </c>
      <c r="U62" s="39" t="s">
        <v>355</v>
      </c>
      <c r="V62" s="39" t="s">
        <v>355</v>
      </c>
      <c r="W62" s="39" t="s">
        <v>355</v>
      </c>
      <c r="X62" s="39" t="s">
        <v>355</v>
      </c>
      <c r="Y62" s="39" t="s">
        <v>355</v>
      </c>
      <c r="Z62" s="39" t="s">
        <v>355</v>
      </c>
      <c r="AA62" s="39" t="s">
        <v>355</v>
      </c>
      <c r="AB62" s="39" t="s">
        <v>355</v>
      </c>
      <c r="AC62" s="39" t="s">
        <v>355</v>
      </c>
      <c r="AD62" s="39" t="s">
        <v>355</v>
      </c>
      <c r="AE62" s="39" t="s">
        <v>355</v>
      </c>
      <c r="AF62" s="39" t="s">
        <v>355</v>
      </c>
      <c r="AG62" s="39" t="s">
        <v>355</v>
      </c>
      <c r="AH62" s="39" t="s">
        <v>355</v>
      </c>
      <c r="AI62" s="39" t="s">
        <v>355</v>
      </c>
      <c r="AJ62" s="39" t="s">
        <v>355</v>
      </c>
      <c r="AK62" s="39" t="s">
        <v>355</v>
      </c>
      <c r="AL62" s="39" t="s">
        <v>355</v>
      </c>
      <c r="AM62" s="39" t="s">
        <v>355</v>
      </c>
    </row>
    <row r="63" spans="1:39" x14ac:dyDescent="0.3">
      <c r="A63" s="30" t="s">
        <v>71</v>
      </c>
      <c r="B63" s="30" t="s">
        <v>161</v>
      </c>
      <c r="C63" s="30" t="s">
        <v>162</v>
      </c>
      <c r="D63" s="31" t="s">
        <v>103</v>
      </c>
      <c r="E63" s="31">
        <v>973</v>
      </c>
      <c r="F63" s="31">
        <v>973</v>
      </c>
      <c r="G63" s="32">
        <v>1313</v>
      </c>
      <c r="H63" s="39" t="s">
        <v>355</v>
      </c>
      <c r="I63" s="39" t="s">
        <v>355</v>
      </c>
      <c r="J63" s="39" t="s">
        <v>355</v>
      </c>
      <c r="K63" s="39" t="s">
        <v>355</v>
      </c>
      <c r="L63" s="39" t="s">
        <v>355</v>
      </c>
      <c r="M63" s="39" t="s">
        <v>355</v>
      </c>
      <c r="N63" s="39" t="s">
        <v>355</v>
      </c>
      <c r="O63" s="39" t="s">
        <v>355</v>
      </c>
      <c r="P63" s="39" t="s">
        <v>355</v>
      </c>
      <c r="Q63" s="39" t="s">
        <v>355</v>
      </c>
      <c r="R63" s="39" t="s">
        <v>355</v>
      </c>
      <c r="S63" s="39" t="s">
        <v>355</v>
      </c>
      <c r="T63" s="39" t="s">
        <v>355</v>
      </c>
      <c r="U63" s="39" t="s">
        <v>355</v>
      </c>
      <c r="V63" s="39" t="s">
        <v>355</v>
      </c>
      <c r="W63" s="39" t="s">
        <v>355</v>
      </c>
      <c r="X63" s="39" t="s">
        <v>355</v>
      </c>
      <c r="Y63" s="39" t="s">
        <v>355</v>
      </c>
      <c r="Z63" s="39" t="s">
        <v>355</v>
      </c>
      <c r="AA63" s="39" t="s">
        <v>355</v>
      </c>
      <c r="AB63" s="39" t="s">
        <v>355</v>
      </c>
      <c r="AC63" s="39" t="s">
        <v>355</v>
      </c>
      <c r="AD63" s="39" t="s">
        <v>355</v>
      </c>
      <c r="AE63" s="39" t="s">
        <v>355</v>
      </c>
      <c r="AF63" s="39" t="s">
        <v>355</v>
      </c>
      <c r="AG63" s="39" t="s">
        <v>355</v>
      </c>
      <c r="AH63" s="39" t="s">
        <v>355</v>
      </c>
      <c r="AI63" s="39" t="s">
        <v>355</v>
      </c>
      <c r="AJ63" s="39" t="s">
        <v>355</v>
      </c>
      <c r="AK63" s="39" t="s">
        <v>355</v>
      </c>
      <c r="AL63" s="39" t="s">
        <v>355</v>
      </c>
      <c r="AM63" s="39" t="s">
        <v>355</v>
      </c>
    </row>
    <row r="64" spans="1:39" x14ac:dyDescent="0.3">
      <c r="A64" s="30" t="s">
        <v>71</v>
      </c>
      <c r="B64" s="30" t="s">
        <v>163</v>
      </c>
      <c r="C64" s="30" t="s">
        <v>164</v>
      </c>
      <c r="D64" s="31" t="s">
        <v>103</v>
      </c>
      <c r="E64" s="31">
        <v>956</v>
      </c>
      <c r="F64" s="31">
        <v>956</v>
      </c>
      <c r="G64" s="32">
        <v>3869</v>
      </c>
      <c r="H64" s="32">
        <v>3527</v>
      </c>
      <c r="I64" s="32">
        <v>3193</v>
      </c>
      <c r="J64" s="32">
        <v>3055</v>
      </c>
      <c r="K64" s="32">
        <v>2416</v>
      </c>
      <c r="L64" s="32">
        <v>1777</v>
      </c>
      <c r="M64" s="32">
        <v>2181</v>
      </c>
      <c r="N64" s="32">
        <v>2139</v>
      </c>
      <c r="O64" s="32">
        <v>2568</v>
      </c>
      <c r="P64" s="32">
        <v>2369</v>
      </c>
      <c r="Q64" s="32">
        <v>2089</v>
      </c>
      <c r="R64" s="32">
        <v>1743</v>
      </c>
      <c r="S64" s="32">
        <v>1841</v>
      </c>
      <c r="T64" s="32">
        <v>1803</v>
      </c>
      <c r="U64" s="32">
        <v>1431</v>
      </c>
      <c r="V64" s="32">
        <v>1844</v>
      </c>
      <c r="W64" s="32">
        <v>1593</v>
      </c>
      <c r="X64" s="32">
        <v>1277</v>
      </c>
      <c r="Y64" s="32">
        <v>2613</v>
      </c>
      <c r="Z64" s="39" t="s">
        <v>355</v>
      </c>
      <c r="AA64" s="39" t="s">
        <v>355</v>
      </c>
      <c r="AB64" s="39" t="s">
        <v>355</v>
      </c>
      <c r="AC64" s="39" t="s">
        <v>355</v>
      </c>
      <c r="AD64" s="39" t="s">
        <v>355</v>
      </c>
      <c r="AE64" s="39" t="s">
        <v>355</v>
      </c>
      <c r="AF64" s="39" t="s">
        <v>355</v>
      </c>
      <c r="AG64" s="39" t="s">
        <v>355</v>
      </c>
      <c r="AH64" s="39" t="s">
        <v>355</v>
      </c>
      <c r="AI64" s="39" t="s">
        <v>355</v>
      </c>
      <c r="AJ64" s="39" t="s">
        <v>355</v>
      </c>
      <c r="AK64" s="39" t="s">
        <v>355</v>
      </c>
      <c r="AL64" s="39" t="s">
        <v>355</v>
      </c>
      <c r="AM64" s="39" t="s">
        <v>355</v>
      </c>
    </row>
    <row r="65" spans="1:39" x14ac:dyDescent="0.3">
      <c r="A65" s="30" t="s">
        <v>71</v>
      </c>
      <c r="B65" s="30" t="s">
        <v>163</v>
      </c>
      <c r="C65" s="30" t="s">
        <v>165</v>
      </c>
      <c r="D65" s="31" t="s">
        <v>103</v>
      </c>
      <c r="E65" s="31">
        <v>958</v>
      </c>
      <c r="F65" s="31">
        <v>958</v>
      </c>
      <c r="G65" s="32">
        <v>2684</v>
      </c>
      <c r="H65" s="32">
        <v>2760</v>
      </c>
      <c r="I65" s="32">
        <v>2628</v>
      </c>
      <c r="J65" s="32">
        <v>3034</v>
      </c>
      <c r="K65" s="32">
        <v>2406</v>
      </c>
      <c r="L65" s="32">
        <v>1777</v>
      </c>
      <c r="M65" s="32">
        <v>2181</v>
      </c>
      <c r="N65" s="32">
        <v>2139</v>
      </c>
      <c r="O65" s="32">
        <v>2568</v>
      </c>
      <c r="P65" s="32">
        <v>2369</v>
      </c>
      <c r="Q65" s="32">
        <v>2089</v>
      </c>
      <c r="R65" s="32">
        <v>1743</v>
      </c>
      <c r="S65" s="32">
        <v>1841</v>
      </c>
      <c r="T65" s="32">
        <v>1803</v>
      </c>
      <c r="U65" s="32">
        <v>1431</v>
      </c>
      <c r="V65" s="32">
        <v>1844</v>
      </c>
      <c r="W65" s="32">
        <v>1593</v>
      </c>
      <c r="X65" s="32">
        <v>1277</v>
      </c>
      <c r="Y65" s="32">
        <v>2613</v>
      </c>
      <c r="Z65" s="39" t="s">
        <v>355</v>
      </c>
      <c r="AA65" s="39" t="s">
        <v>355</v>
      </c>
      <c r="AB65" s="39" t="s">
        <v>355</v>
      </c>
      <c r="AC65" s="39" t="s">
        <v>355</v>
      </c>
      <c r="AD65" s="39" t="s">
        <v>355</v>
      </c>
      <c r="AE65" s="39" t="s">
        <v>355</v>
      </c>
      <c r="AF65" s="39" t="s">
        <v>355</v>
      </c>
      <c r="AG65" s="39" t="s">
        <v>355</v>
      </c>
      <c r="AH65" s="39" t="s">
        <v>355</v>
      </c>
      <c r="AI65" s="39" t="s">
        <v>355</v>
      </c>
      <c r="AJ65" s="39" t="s">
        <v>355</v>
      </c>
      <c r="AK65" s="39" t="s">
        <v>355</v>
      </c>
      <c r="AL65" s="39" t="s">
        <v>355</v>
      </c>
      <c r="AM65" s="39" t="s">
        <v>355</v>
      </c>
    </row>
    <row r="66" spans="1:39" x14ac:dyDescent="0.3">
      <c r="A66" s="30" t="s">
        <v>71</v>
      </c>
      <c r="B66" s="30" t="s">
        <v>163</v>
      </c>
      <c r="C66" s="30" t="s">
        <v>166</v>
      </c>
      <c r="D66" s="31" t="s">
        <v>103</v>
      </c>
      <c r="E66" s="31">
        <v>960</v>
      </c>
      <c r="F66" s="31">
        <v>960</v>
      </c>
      <c r="G66" s="32">
        <v>2910</v>
      </c>
      <c r="H66" s="32">
        <v>2745</v>
      </c>
      <c r="I66" s="32">
        <v>2584</v>
      </c>
      <c r="J66" s="32">
        <v>2578</v>
      </c>
      <c r="K66" s="32">
        <v>2178</v>
      </c>
      <c r="L66" s="32">
        <v>1777</v>
      </c>
      <c r="M66" s="32">
        <v>2181</v>
      </c>
      <c r="N66" s="32">
        <v>2139</v>
      </c>
      <c r="O66" s="32">
        <v>2568</v>
      </c>
      <c r="P66" s="32">
        <v>2369</v>
      </c>
      <c r="Q66" s="32">
        <v>2089</v>
      </c>
      <c r="R66" s="32">
        <v>1743</v>
      </c>
      <c r="S66" s="32">
        <v>1841</v>
      </c>
      <c r="T66" s="32">
        <v>1803</v>
      </c>
      <c r="U66" s="32">
        <v>1431</v>
      </c>
      <c r="V66" s="32">
        <v>1844</v>
      </c>
      <c r="W66" s="32">
        <v>1593</v>
      </c>
      <c r="X66" s="32">
        <v>1277</v>
      </c>
      <c r="Y66" s="32">
        <v>2613</v>
      </c>
      <c r="Z66" s="39" t="s">
        <v>355</v>
      </c>
      <c r="AA66" s="39" t="s">
        <v>355</v>
      </c>
      <c r="AB66" s="39" t="s">
        <v>355</v>
      </c>
      <c r="AC66" s="39" t="s">
        <v>355</v>
      </c>
      <c r="AD66" s="39" t="s">
        <v>355</v>
      </c>
      <c r="AE66" s="39" t="s">
        <v>355</v>
      </c>
      <c r="AF66" s="39" t="s">
        <v>355</v>
      </c>
      <c r="AG66" s="39" t="s">
        <v>355</v>
      </c>
      <c r="AH66" s="39" t="s">
        <v>355</v>
      </c>
      <c r="AI66" s="39" t="s">
        <v>355</v>
      </c>
      <c r="AJ66" s="39" t="s">
        <v>355</v>
      </c>
      <c r="AK66" s="39" t="s">
        <v>355</v>
      </c>
      <c r="AL66" s="39" t="s">
        <v>355</v>
      </c>
      <c r="AM66" s="39" t="s">
        <v>355</v>
      </c>
    </row>
    <row r="67" spans="1:39" x14ac:dyDescent="0.3">
      <c r="A67" s="30" t="s">
        <v>71</v>
      </c>
      <c r="B67" s="30" t="s">
        <v>76</v>
      </c>
      <c r="C67" s="30" t="s">
        <v>78</v>
      </c>
      <c r="D67" s="31" t="s">
        <v>20</v>
      </c>
      <c r="E67" s="31">
        <v>7090</v>
      </c>
      <c r="F67" s="31" t="s">
        <v>309</v>
      </c>
      <c r="G67" s="32">
        <v>10392</v>
      </c>
      <c r="H67" s="32">
        <v>10149</v>
      </c>
      <c r="I67" s="32">
        <v>10605</v>
      </c>
      <c r="J67" s="32">
        <v>10193</v>
      </c>
      <c r="K67" s="32">
        <v>9828</v>
      </c>
      <c r="L67" s="32">
        <v>9463</v>
      </c>
      <c r="M67" s="32">
        <v>9407</v>
      </c>
      <c r="N67" s="32">
        <v>9061</v>
      </c>
      <c r="O67" s="32">
        <v>9381</v>
      </c>
      <c r="P67" s="32">
        <v>6163</v>
      </c>
      <c r="Q67" s="32">
        <v>7784</v>
      </c>
      <c r="R67" s="32">
        <v>8174</v>
      </c>
      <c r="S67" s="32">
        <v>7990</v>
      </c>
      <c r="T67" s="32">
        <v>8991</v>
      </c>
      <c r="U67" s="32">
        <v>7402</v>
      </c>
      <c r="V67" s="32">
        <v>6247</v>
      </c>
      <c r="W67" s="32">
        <v>6157</v>
      </c>
      <c r="X67" s="32">
        <v>5287</v>
      </c>
      <c r="Y67" s="32">
        <v>5507</v>
      </c>
      <c r="Z67" s="32">
        <v>5808</v>
      </c>
      <c r="AA67" s="32">
        <v>6651</v>
      </c>
      <c r="AB67" s="32">
        <v>5531</v>
      </c>
      <c r="AC67" s="32">
        <v>2183</v>
      </c>
      <c r="AD67" s="32" t="s">
        <v>358</v>
      </c>
      <c r="AE67" s="32">
        <v>3164</v>
      </c>
      <c r="AF67" s="32" t="s">
        <v>358</v>
      </c>
      <c r="AG67" s="32" t="s">
        <v>358</v>
      </c>
      <c r="AH67" s="32">
        <v>1888</v>
      </c>
      <c r="AI67" s="32">
        <v>1609</v>
      </c>
      <c r="AJ67" s="39" t="s">
        <v>355</v>
      </c>
      <c r="AK67" s="39" t="s">
        <v>355</v>
      </c>
      <c r="AL67" s="39" t="s">
        <v>355</v>
      </c>
      <c r="AM67" s="39" t="s">
        <v>355</v>
      </c>
    </row>
    <row r="68" spans="1:39" x14ac:dyDescent="0.3">
      <c r="A68" s="30" t="s">
        <v>71</v>
      </c>
      <c r="B68" s="30" t="s">
        <v>76</v>
      </c>
      <c r="C68" s="30" t="s">
        <v>77</v>
      </c>
      <c r="D68" s="31" t="s">
        <v>20</v>
      </c>
      <c r="E68" s="31">
        <v>930</v>
      </c>
      <c r="F68" s="31" t="s">
        <v>310</v>
      </c>
      <c r="G68" s="32">
        <v>5029</v>
      </c>
      <c r="H68" s="32">
        <v>5318</v>
      </c>
      <c r="I68" s="32">
        <v>5358</v>
      </c>
      <c r="J68" s="32">
        <v>5305</v>
      </c>
      <c r="K68" s="32">
        <v>5317</v>
      </c>
      <c r="L68" s="32">
        <v>5330</v>
      </c>
      <c r="M68" s="32">
        <v>4896</v>
      </c>
      <c r="N68" s="32">
        <v>4054</v>
      </c>
      <c r="O68" s="32">
        <v>3758</v>
      </c>
      <c r="P68" s="32">
        <v>3463</v>
      </c>
      <c r="Q68" s="32">
        <v>2841</v>
      </c>
      <c r="R68" s="32">
        <v>3909</v>
      </c>
      <c r="S68" s="32">
        <v>2959</v>
      </c>
      <c r="T68" s="32">
        <v>3389</v>
      </c>
      <c r="U68" s="32">
        <v>2475</v>
      </c>
      <c r="V68" s="32">
        <v>2298</v>
      </c>
      <c r="W68" s="32">
        <v>2203</v>
      </c>
      <c r="X68" s="32">
        <v>2101</v>
      </c>
      <c r="Y68" s="32">
        <v>2742</v>
      </c>
      <c r="Z68" s="32">
        <v>4051</v>
      </c>
      <c r="AA68" s="32">
        <v>2873</v>
      </c>
      <c r="AB68" s="32">
        <v>2310</v>
      </c>
      <c r="AC68" s="32">
        <v>3069</v>
      </c>
      <c r="AD68" s="32" t="s">
        <v>357</v>
      </c>
      <c r="AE68" s="32">
        <v>2053</v>
      </c>
      <c r="AF68" s="32">
        <v>5086</v>
      </c>
      <c r="AG68" s="32">
        <v>1997</v>
      </c>
      <c r="AH68" s="32" t="s">
        <v>357</v>
      </c>
      <c r="AI68" s="32">
        <v>2289</v>
      </c>
      <c r="AJ68" s="39" t="s">
        <v>355</v>
      </c>
      <c r="AK68" s="39" t="s">
        <v>355</v>
      </c>
      <c r="AL68" s="39" t="s">
        <v>355</v>
      </c>
      <c r="AM68" s="39" t="s">
        <v>355</v>
      </c>
    </row>
    <row r="69" spans="1:39" x14ac:dyDescent="0.3">
      <c r="A69" s="30" t="s">
        <v>71</v>
      </c>
      <c r="B69" s="30" t="s">
        <v>76</v>
      </c>
      <c r="C69" s="30" t="s">
        <v>167</v>
      </c>
      <c r="D69" s="31" t="s">
        <v>103</v>
      </c>
      <c r="E69" s="31">
        <v>568</v>
      </c>
      <c r="F69" s="31">
        <v>568</v>
      </c>
      <c r="G69" s="32">
        <v>6057</v>
      </c>
      <c r="H69" s="32">
        <v>6082</v>
      </c>
      <c r="I69" s="32">
        <v>5985</v>
      </c>
      <c r="J69" s="32">
        <v>6129</v>
      </c>
      <c r="K69" s="32">
        <v>5852</v>
      </c>
      <c r="L69" s="32">
        <v>5576</v>
      </c>
      <c r="M69" s="32">
        <v>5530</v>
      </c>
      <c r="N69" s="32">
        <v>5333</v>
      </c>
      <c r="O69" s="32">
        <v>5016</v>
      </c>
      <c r="P69" s="32">
        <v>4986</v>
      </c>
      <c r="Q69" s="32">
        <v>4202</v>
      </c>
      <c r="R69" s="32">
        <v>4311</v>
      </c>
      <c r="S69" s="32">
        <v>4217</v>
      </c>
      <c r="T69" s="32">
        <v>4674</v>
      </c>
      <c r="U69" s="32">
        <v>3246</v>
      </c>
      <c r="V69" s="32">
        <v>2844</v>
      </c>
      <c r="W69" s="32">
        <v>3022</v>
      </c>
      <c r="X69" s="32">
        <v>2762</v>
      </c>
      <c r="Y69" s="32">
        <v>3762</v>
      </c>
      <c r="Z69" s="32">
        <v>4051</v>
      </c>
      <c r="AA69" s="32">
        <v>2873</v>
      </c>
      <c r="AB69" s="32">
        <v>2310</v>
      </c>
      <c r="AC69" s="32">
        <v>3069</v>
      </c>
      <c r="AD69" s="32" t="s">
        <v>357</v>
      </c>
      <c r="AE69" s="32">
        <v>2053</v>
      </c>
      <c r="AF69" s="32">
        <v>5086</v>
      </c>
      <c r="AG69" s="32">
        <v>1997</v>
      </c>
      <c r="AH69" s="32" t="s">
        <v>357</v>
      </c>
      <c r="AI69" s="32">
        <v>2289</v>
      </c>
      <c r="AJ69" s="39" t="s">
        <v>355</v>
      </c>
      <c r="AK69" s="39" t="s">
        <v>355</v>
      </c>
      <c r="AL69" s="39" t="s">
        <v>355</v>
      </c>
      <c r="AM69" s="39" t="s">
        <v>355</v>
      </c>
    </row>
    <row r="70" spans="1:39" x14ac:dyDescent="0.3">
      <c r="A70" s="30" t="s">
        <v>71</v>
      </c>
      <c r="B70" s="30" t="s">
        <v>79</v>
      </c>
      <c r="C70" s="30" t="s">
        <v>81</v>
      </c>
      <c r="D70" s="31" t="s">
        <v>20</v>
      </c>
      <c r="E70" s="31">
        <v>12.1</v>
      </c>
      <c r="F70" s="31" t="s">
        <v>311</v>
      </c>
      <c r="G70" s="32">
        <v>12469</v>
      </c>
      <c r="H70" s="32">
        <v>11679</v>
      </c>
      <c r="I70" s="32">
        <v>11320</v>
      </c>
      <c r="J70" s="32">
        <v>8967</v>
      </c>
      <c r="K70" s="32">
        <v>9904</v>
      </c>
      <c r="L70" s="32">
        <v>10842</v>
      </c>
      <c r="M70" s="32">
        <v>10700</v>
      </c>
      <c r="N70" s="32">
        <v>10431</v>
      </c>
      <c r="O70" s="32">
        <v>11242</v>
      </c>
      <c r="P70" s="32">
        <v>3229</v>
      </c>
      <c r="Q70" s="32">
        <v>10376</v>
      </c>
      <c r="R70" s="32">
        <v>9600</v>
      </c>
      <c r="S70" s="32">
        <v>9761</v>
      </c>
      <c r="T70" s="32">
        <v>9778</v>
      </c>
      <c r="U70" s="32">
        <v>9145</v>
      </c>
      <c r="V70" s="32">
        <v>10241</v>
      </c>
      <c r="W70" s="32">
        <v>10036</v>
      </c>
      <c r="X70" s="32">
        <v>9831</v>
      </c>
      <c r="Y70" s="32">
        <v>11627</v>
      </c>
      <c r="Z70" s="32">
        <v>4034</v>
      </c>
      <c r="AA70" s="32">
        <v>3280</v>
      </c>
      <c r="AB70" s="32">
        <v>3638</v>
      </c>
      <c r="AC70" s="32">
        <v>3993</v>
      </c>
      <c r="AD70" s="32" t="s">
        <v>357</v>
      </c>
      <c r="AE70" s="32">
        <v>3573</v>
      </c>
      <c r="AF70" s="32">
        <v>3451</v>
      </c>
      <c r="AG70" s="32">
        <v>3565</v>
      </c>
      <c r="AH70" s="32">
        <v>3904</v>
      </c>
      <c r="AI70" s="32">
        <v>4454</v>
      </c>
      <c r="AJ70" s="39" t="s">
        <v>355</v>
      </c>
      <c r="AK70" s="39" t="s">
        <v>355</v>
      </c>
      <c r="AL70" s="39" t="s">
        <v>355</v>
      </c>
      <c r="AM70" s="39" t="s">
        <v>355</v>
      </c>
    </row>
    <row r="71" spans="1:39" x14ac:dyDescent="0.3">
      <c r="A71" s="30" t="s">
        <v>71</v>
      </c>
      <c r="B71" s="30" t="s">
        <v>79</v>
      </c>
      <c r="C71" s="30" t="s">
        <v>80</v>
      </c>
      <c r="D71" s="31" t="s">
        <v>20</v>
      </c>
      <c r="E71" s="31">
        <v>10.1</v>
      </c>
      <c r="F71" s="31" t="s">
        <v>312</v>
      </c>
      <c r="G71" s="32">
        <v>11819</v>
      </c>
      <c r="H71" s="32">
        <v>11327</v>
      </c>
      <c r="I71" s="32">
        <v>11768</v>
      </c>
      <c r="J71" s="32">
        <v>11887</v>
      </c>
      <c r="K71" s="32">
        <v>10354</v>
      </c>
      <c r="L71" s="32">
        <v>8821</v>
      </c>
      <c r="M71" s="32">
        <v>10103</v>
      </c>
      <c r="N71" s="32">
        <v>10392</v>
      </c>
      <c r="O71" s="32">
        <v>5677</v>
      </c>
      <c r="P71" s="32">
        <v>2901</v>
      </c>
      <c r="Q71" s="32">
        <v>2921</v>
      </c>
      <c r="R71" s="32">
        <v>2944</v>
      </c>
      <c r="S71" s="32">
        <v>2830</v>
      </c>
      <c r="T71" s="32">
        <v>2629</v>
      </c>
      <c r="U71" s="32">
        <v>2515</v>
      </c>
      <c r="V71" s="32">
        <v>2496</v>
      </c>
      <c r="W71" s="32">
        <v>2545</v>
      </c>
      <c r="X71" s="32">
        <v>2568</v>
      </c>
      <c r="Y71" s="32">
        <v>3748</v>
      </c>
      <c r="Z71" s="32">
        <v>2465</v>
      </c>
      <c r="AA71" s="32">
        <v>2292</v>
      </c>
      <c r="AB71" s="32">
        <v>2310</v>
      </c>
      <c r="AC71" s="32">
        <v>3069</v>
      </c>
      <c r="AD71" s="32">
        <v>2601</v>
      </c>
      <c r="AE71" s="32">
        <v>2053</v>
      </c>
      <c r="AF71" s="32">
        <v>5086</v>
      </c>
      <c r="AG71" s="32">
        <v>1997</v>
      </c>
      <c r="AH71" s="32" t="s">
        <v>357</v>
      </c>
      <c r="AI71" s="32">
        <v>2289</v>
      </c>
      <c r="AJ71" s="39">
        <v>0</v>
      </c>
      <c r="AK71" s="39">
        <v>0</v>
      </c>
      <c r="AL71" s="39">
        <v>0</v>
      </c>
      <c r="AM71" s="39">
        <v>0</v>
      </c>
    </row>
    <row r="72" spans="1:39" x14ac:dyDescent="0.3">
      <c r="A72" s="30" t="s">
        <v>71</v>
      </c>
      <c r="B72" s="30" t="s">
        <v>79</v>
      </c>
      <c r="C72" s="30" t="s">
        <v>168</v>
      </c>
      <c r="D72" s="31" t="s">
        <v>103</v>
      </c>
      <c r="E72" s="31">
        <v>12</v>
      </c>
      <c r="F72" s="31">
        <v>12</v>
      </c>
      <c r="G72" s="32">
        <v>5749</v>
      </c>
      <c r="H72" s="32">
        <v>5911</v>
      </c>
      <c r="I72" s="32">
        <v>5901</v>
      </c>
      <c r="J72" s="32">
        <v>5891</v>
      </c>
      <c r="K72" s="32">
        <v>6138</v>
      </c>
      <c r="L72" s="32">
        <v>6385</v>
      </c>
      <c r="M72" s="32">
        <v>5258</v>
      </c>
      <c r="N72" s="32">
        <v>5110</v>
      </c>
      <c r="O72" s="32">
        <v>6833</v>
      </c>
      <c r="P72" s="32">
        <v>4717</v>
      </c>
      <c r="Q72" s="32">
        <v>5059</v>
      </c>
      <c r="R72" s="32">
        <v>4771</v>
      </c>
      <c r="S72" s="32">
        <v>4944</v>
      </c>
      <c r="T72" s="32">
        <v>3444</v>
      </c>
      <c r="U72" s="32">
        <v>3193</v>
      </c>
      <c r="V72" s="32">
        <v>3474</v>
      </c>
      <c r="W72" s="32">
        <v>3410</v>
      </c>
      <c r="X72" s="32">
        <v>3357</v>
      </c>
      <c r="Y72" s="32">
        <v>5920</v>
      </c>
      <c r="Z72" s="32">
        <v>4034</v>
      </c>
      <c r="AA72" s="32">
        <v>3280</v>
      </c>
      <c r="AB72" s="32">
        <v>3638</v>
      </c>
      <c r="AC72" s="32">
        <v>3993</v>
      </c>
      <c r="AD72" s="32" t="s">
        <v>357</v>
      </c>
      <c r="AE72" s="32">
        <v>3573</v>
      </c>
      <c r="AF72" s="32">
        <v>3451</v>
      </c>
      <c r="AG72" s="32">
        <v>3565</v>
      </c>
      <c r="AH72" s="32">
        <v>3904</v>
      </c>
      <c r="AI72" s="32">
        <v>4454</v>
      </c>
      <c r="AJ72" s="39" t="s">
        <v>355</v>
      </c>
      <c r="AK72" s="39" t="s">
        <v>355</v>
      </c>
      <c r="AL72" s="39" t="s">
        <v>355</v>
      </c>
      <c r="AM72" s="39" t="s">
        <v>355</v>
      </c>
    </row>
    <row r="73" spans="1:39" x14ac:dyDescent="0.3">
      <c r="A73" s="30" t="s">
        <v>71</v>
      </c>
      <c r="B73" s="30" t="s">
        <v>79</v>
      </c>
      <c r="C73" s="30" t="s">
        <v>169</v>
      </c>
      <c r="D73" s="31" t="s">
        <v>103</v>
      </c>
      <c r="E73" s="31">
        <v>9.1</v>
      </c>
      <c r="F73" s="31">
        <v>9.1</v>
      </c>
      <c r="G73" s="32">
        <v>10679</v>
      </c>
      <c r="H73" s="32">
        <v>8920</v>
      </c>
      <c r="I73" s="32">
        <v>7866</v>
      </c>
      <c r="J73" s="32">
        <v>5803</v>
      </c>
      <c r="K73" s="32">
        <v>5205</v>
      </c>
      <c r="L73" s="32">
        <v>4606</v>
      </c>
      <c r="M73" s="32">
        <v>4601</v>
      </c>
      <c r="N73" s="32">
        <v>4254</v>
      </c>
      <c r="O73" s="32">
        <v>6597</v>
      </c>
      <c r="P73" s="32">
        <v>2546</v>
      </c>
      <c r="Q73" s="32">
        <v>2633</v>
      </c>
      <c r="R73" s="32">
        <v>2773</v>
      </c>
      <c r="S73" s="32">
        <v>2948</v>
      </c>
      <c r="T73" s="32">
        <v>2466</v>
      </c>
      <c r="U73" s="32">
        <v>2493</v>
      </c>
      <c r="V73" s="32">
        <v>2570</v>
      </c>
      <c r="W73" s="32">
        <v>2545</v>
      </c>
      <c r="X73" s="32">
        <v>2469</v>
      </c>
      <c r="Y73" s="32">
        <v>3748</v>
      </c>
      <c r="Z73" s="32">
        <v>2465</v>
      </c>
      <c r="AA73" s="32">
        <v>2292</v>
      </c>
      <c r="AB73" s="32">
        <v>2310</v>
      </c>
      <c r="AC73" s="32">
        <v>3069</v>
      </c>
      <c r="AD73" s="32">
        <v>2601</v>
      </c>
      <c r="AE73" s="32">
        <v>2053</v>
      </c>
      <c r="AF73" s="32">
        <v>5086</v>
      </c>
      <c r="AG73" s="32">
        <v>1997</v>
      </c>
      <c r="AH73" s="32" t="s">
        <v>357</v>
      </c>
      <c r="AI73" s="32">
        <v>2289</v>
      </c>
      <c r="AJ73" s="39" t="s">
        <v>355</v>
      </c>
      <c r="AK73" s="39" t="s">
        <v>355</v>
      </c>
      <c r="AL73" s="39" t="s">
        <v>355</v>
      </c>
      <c r="AM73" s="39" t="s">
        <v>355</v>
      </c>
    </row>
    <row r="74" spans="1:39" ht="15" customHeight="1" x14ac:dyDescent="0.3">
      <c r="A74" s="30" t="s">
        <v>71</v>
      </c>
      <c r="B74" s="30" t="s">
        <v>79</v>
      </c>
      <c r="C74" s="30" t="s">
        <v>117</v>
      </c>
      <c r="D74" s="31" t="s">
        <v>103</v>
      </c>
      <c r="E74" s="31">
        <v>9</v>
      </c>
      <c r="F74" s="31">
        <v>9</v>
      </c>
      <c r="G74" s="32">
        <v>7405</v>
      </c>
      <c r="H74" s="32">
        <v>7237</v>
      </c>
      <c r="I74" s="32">
        <v>6835</v>
      </c>
      <c r="J74" s="32">
        <v>6982</v>
      </c>
      <c r="K74" s="32">
        <v>6108</v>
      </c>
      <c r="L74" s="32">
        <v>5233</v>
      </c>
      <c r="M74" s="32">
        <v>5236</v>
      </c>
      <c r="N74" s="32">
        <v>5297</v>
      </c>
      <c r="O74" s="32">
        <v>5896</v>
      </c>
      <c r="P74" s="32">
        <v>4021</v>
      </c>
      <c r="Q74" s="32">
        <v>3898</v>
      </c>
      <c r="R74" s="32">
        <v>3616</v>
      </c>
      <c r="S74" s="32">
        <v>3599</v>
      </c>
      <c r="T74" s="32">
        <v>3278</v>
      </c>
      <c r="U74" s="32">
        <v>3069</v>
      </c>
      <c r="V74" s="32">
        <v>3531</v>
      </c>
      <c r="W74" s="32">
        <v>3332</v>
      </c>
      <c r="X74" s="32">
        <v>3228</v>
      </c>
      <c r="Y74" s="32">
        <v>4875</v>
      </c>
      <c r="Z74" s="32">
        <v>2465</v>
      </c>
      <c r="AA74" s="32">
        <v>2292</v>
      </c>
      <c r="AB74" s="32">
        <v>2310</v>
      </c>
      <c r="AC74" s="32">
        <v>3069</v>
      </c>
      <c r="AD74" s="32">
        <v>2601</v>
      </c>
      <c r="AE74" s="32">
        <v>2053</v>
      </c>
      <c r="AF74" s="32">
        <v>5086</v>
      </c>
      <c r="AG74" s="32">
        <v>1997</v>
      </c>
      <c r="AH74" s="32" t="s">
        <v>357</v>
      </c>
      <c r="AI74" s="32">
        <v>2289</v>
      </c>
      <c r="AJ74" s="39" t="s">
        <v>355</v>
      </c>
      <c r="AK74" s="39" t="s">
        <v>355</v>
      </c>
      <c r="AL74" s="39" t="s">
        <v>355</v>
      </c>
      <c r="AM74" s="39" t="s">
        <v>355</v>
      </c>
    </row>
    <row r="75" spans="1:39" x14ac:dyDescent="0.3">
      <c r="A75" s="30" t="s">
        <v>71</v>
      </c>
      <c r="B75" s="30" t="s">
        <v>170</v>
      </c>
      <c r="C75" s="30" t="s">
        <v>172</v>
      </c>
      <c r="D75" s="31" t="s">
        <v>103</v>
      </c>
      <c r="E75" s="31">
        <v>10.1</v>
      </c>
      <c r="F75" s="31">
        <v>10.1</v>
      </c>
      <c r="G75" s="32">
        <v>7123</v>
      </c>
      <c r="H75" s="39" t="s">
        <v>355</v>
      </c>
      <c r="I75" s="39" t="s">
        <v>355</v>
      </c>
      <c r="J75" s="39" t="s">
        <v>355</v>
      </c>
      <c r="K75" s="39" t="s">
        <v>355</v>
      </c>
      <c r="L75" s="39" t="s">
        <v>355</v>
      </c>
      <c r="M75" s="39" t="s">
        <v>355</v>
      </c>
      <c r="N75" s="39" t="s">
        <v>355</v>
      </c>
      <c r="O75" s="39" t="s">
        <v>355</v>
      </c>
      <c r="P75" s="39" t="s">
        <v>355</v>
      </c>
      <c r="Q75" s="39" t="s">
        <v>355</v>
      </c>
      <c r="R75" s="39" t="s">
        <v>355</v>
      </c>
      <c r="S75" s="39" t="s">
        <v>355</v>
      </c>
      <c r="T75" s="39" t="s">
        <v>355</v>
      </c>
      <c r="U75" s="39" t="s">
        <v>355</v>
      </c>
      <c r="V75" s="39" t="s">
        <v>355</v>
      </c>
      <c r="W75" s="39" t="s">
        <v>355</v>
      </c>
      <c r="X75" s="39" t="s">
        <v>355</v>
      </c>
      <c r="Y75" s="39" t="s">
        <v>355</v>
      </c>
      <c r="Z75" s="39" t="s">
        <v>355</v>
      </c>
      <c r="AA75" s="39" t="s">
        <v>355</v>
      </c>
      <c r="AB75" s="39" t="s">
        <v>355</v>
      </c>
      <c r="AC75" s="39" t="s">
        <v>355</v>
      </c>
      <c r="AD75" s="39" t="s">
        <v>355</v>
      </c>
      <c r="AE75" s="39" t="s">
        <v>355</v>
      </c>
      <c r="AF75" s="39" t="s">
        <v>355</v>
      </c>
      <c r="AG75" s="39" t="s">
        <v>355</v>
      </c>
      <c r="AH75" s="39" t="s">
        <v>355</v>
      </c>
      <c r="AI75" s="39" t="s">
        <v>355</v>
      </c>
      <c r="AJ75" s="39" t="s">
        <v>355</v>
      </c>
      <c r="AK75" s="39" t="s">
        <v>355</v>
      </c>
      <c r="AL75" s="39" t="s">
        <v>355</v>
      </c>
      <c r="AM75" s="39" t="s">
        <v>355</v>
      </c>
    </row>
    <row r="76" spans="1:39" x14ac:dyDescent="0.3">
      <c r="A76" s="30" t="s">
        <v>71</v>
      </c>
      <c r="B76" s="30" t="s">
        <v>170</v>
      </c>
      <c r="C76" s="30" t="s">
        <v>171</v>
      </c>
      <c r="D76" s="31" t="s">
        <v>103</v>
      </c>
      <c r="E76" s="31">
        <v>9002</v>
      </c>
      <c r="F76" s="31">
        <v>9002</v>
      </c>
      <c r="G76" s="32">
        <v>12779</v>
      </c>
      <c r="H76" s="39" t="s">
        <v>355</v>
      </c>
      <c r="I76" s="39" t="s">
        <v>355</v>
      </c>
      <c r="J76" s="39" t="s">
        <v>355</v>
      </c>
      <c r="K76" s="39" t="s">
        <v>355</v>
      </c>
      <c r="L76" s="39" t="s">
        <v>355</v>
      </c>
      <c r="M76" s="39" t="s">
        <v>355</v>
      </c>
      <c r="N76" s="39" t="s">
        <v>355</v>
      </c>
      <c r="O76" s="39" t="s">
        <v>355</v>
      </c>
      <c r="P76" s="39" t="s">
        <v>355</v>
      </c>
      <c r="Q76" s="39" t="s">
        <v>355</v>
      </c>
      <c r="R76" s="39" t="s">
        <v>355</v>
      </c>
      <c r="S76" s="39" t="s">
        <v>355</v>
      </c>
      <c r="T76" s="39" t="s">
        <v>355</v>
      </c>
      <c r="U76" s="39" t="s">
        <v>355</v>
      </c>
      <c r="V76" s="39" t="s">
        <v>355</v>
      </c>
      <c r="W76" s="39" t="s">
        <v>355</v>
      </c>
      <c r="X76" s="39" t="s">
        <v>355</v>
      </c>
      <c r="Y76" s="39" t="s">
        <v>355</v>
      </c>
      <c r="Z76" s="39" t="s">
        <v>355</v>
      </c>
      <c r="AA76" s="39" t="s">
        <v>355</v>
      </c>
      <c r="AB76" s="39" t="s">
        <v>355</v>
      </c>
      <c r="AC76" s="39" t="s">
        <v>355</v>
      </c>
      <c r="AD76" s="39" t="s">
        <v>355</v>
      </c>
      <c r="AE76" s="39" t="s">
        <v>355</v>
      </c>
      <c r="AF76" s="39" t="s">
        <v>355</v>
      </c>
      <c r="AG76" s="39" t="s">
        <v>355</v>
      </c>
      <c r="AH76" s="39" t="s">
        <v>355</v>
      </c>
      <c r="AI76" s="39" t="s">
        <v>355</v>
      </c>
      <c r="AJ76" s="39" t="s">
        <v>355</v>
      </c>
      <c r="AK76" s="39" t="s">
        <v>355</v>
      </c>
      <c r="AL76" s="39" t="s">
        <v>355</v>
      </c>
      <c r="AM76" s="39" t="s">
        <v>355</v>
      </c>
    </row>
    <row r="77" spans="1:39" x14ac:dyDescent="0.3">
      <c r="A77" s="30" t="s">
        <v>71</v>
      </c>
      <c r="B77" s="30" t="s">
        <v>173</v>
      </c>
      <c r="C77" s="30" t="s">
        <v>174</v>
      </c>
      <c r="D77" s="31" t="s">
        <v>103</v>
      </c>
      <c r="E77" s="31">
        <v>585</v>
      </c>
      <c r="F77" s="31">
        <v>585</v>
      </c>
      <c r="G77" s="32">
        <v>1570</v>
      </c>
      <c r="H77" s="32">
        <v>1145</v>
      </c>
      <c r="I77" s="32">
        <v>1044</v>
      </c>
      <c r="J77" s="32">
        <v>1015</v>
      </c>
      <c r="K77" s="32">
        <v>674</v>
      </c>
      <c r="L77" s="32">
        <v>332</v>
      </c>
      <c r="M77" s="39" t="s">
        <v>355</v>
      </c>
      <c r="N77" s="39" t="s">
        <v>355</v>
      </c>
      <c r="O77" s="39" t="s">
        <v>355</v>
      </c>
      <c r="P77" s="39" t="s">
        <v>355</v>
      </c>
      <c r="Q77" s="39" t="s">
        <v>355</v>
      </c>
      <c r="R77" s="39" t="s">
        <v>355</v>
      </c>
      <c r="S77" s="39" t="s">
        <v>355</v>
      </c>
      <c r="T77" s="39" t="s">
        <v>355</v>
      </c>
      <c r="U77" s="39">
        <v>0</v>
      </c>
      <c r="V77" s="39">
        <v>0</v>
      </c>
      <c r="W77" s="39">
        <v>0</v>
      </c>
      <c r="X77" s="39">
        <v>0</v>
      </c>
      <c r="Y77" s="39">
        <v>0</v>
      </c>
      <c r="Z77" s="39">
        <v>0</v>
      </c>
      <c r="AA77" s="39">
        <v>0</v>
      </c>
      <c r="AB77" s="39">
        <v>0</v>
      </c>
      <c r="AC77" s="39">
        <v>0</v>
      </c>
      <c r="AD77" s="39">
        <v>0</v>
      </c>
      <c r="AE77" s="39">
        <v>0</v>
      </c>
      <c r="AF77" s="39">
        <v>0</v>
      </c>
      <c r="AG77" s="39">
        <v>0</v>
      </c>
      <c r="AH77" s="39">
        <v>0</v>
      </c>
      <c r="AI77" s="39">
        <v>0</v>
      </c>
      <c r="AJ77" s="39">
        <v>0</v>
      </c>
      <c r="AK77" s="39">
        <v>0</v>
      </c>
      <c r="AL77" s="39">
        <v>0</v>
      </c>
      <c r="AM77" s="39">
        <v>0</v>
      </c>
    </row>
    <row r="78" spans="1:39" x14ac:dyDescent="0.3">
      <c r="A78" s="30" t="s">
        <v>71</v>
      </c>
      <c r="B78" s="30" t="s">
        <v>175</v>
      </c>
      <c r="C78" s="30" t="s">
        <v>176</v>
      </c>
      <c r="D78" s="31" t="s">
        <v>103</v>
      </c>
      <c r="E78" s="31">
        <v>402</v>
      </c>
      <c r="F78" s="31">
        <v>402</v>
      </c>
      <c r="G78" s="32">
        <v>2252</v>
      </c>
      <c r="H78" s="32">
        <v>1968</v>
      </c>
      <c r="I78" s="32">
        <v>1946</v>
      </c>
      <c r="J78" s="32">
        <v>1440</v>
      </c>
      <c r="K78" s="32">
        <v>1752</v>
      </c>
      <c r="L78" s="32">
        <v>2063</v>
      </c>
      <c r="M78" s="32">
        <v>2055</v>
      </c>
      <c r="N78" s="32">
        <v>2043</v>
      </c>
      <c r="O78" s="32">
        <v>1966</v>
      </c>
      <c r="P78" s="32">
        <v>2110</v>
      </c>
      <c r="Q78" s="32">
        <v>1781</v>
      </c>
      <c r="R78" s="32">
        <v>1880</v>
      </c>
      <c r="S78" s="32">
        <v>1645</v>
      </c>
      <c r="T78" s="32">
        <v>2290</v>
      </c>
      <c r="U78" s="32">
        <v>2061</v>
      </c>
      <c r="V78" s="32">
        <v>2089</v>
      </c>
      <c r="W78" s="39" t="s">
        <v>355</v>
      </c>
      <c r="X78" s="39" t="s">
        <v>355</v>
      </c>
      <c r="Y78" s="39" t="s">
        <v>355</v>
      </c>
      <c r="Z78" s="39" t="s">
        <v>355</v>
      </c>
      <c r="AA78" s="39" t="s">
        <v>355</v>
      </c>
      <c r="AB78" s="39" t="s">
        <v>355</v>
      </c>
      <c r="AC78" s="39" t="s">
        <v>355</v>
      </c>
      <c r="AD78" s="39" t="s">
        <v>355</v>
      </c>
      <c r="AE78" s="39" t="s">
        <v>355</v>
      </c>
      <c r="AF78" s="39" t="s">
        <v>355</v>
      </c>
      <c r="AG78" s="39" t="s">
        <v>355</v>
      </c>
      <c r="AH78" s="39" t="s">
        <v>355</v>
      </c>
      <c r="AI78" s="39" t="s">
        <v>355</v>
      </c>
      <c r="AJ78" s="39" t="s">
        <v>355</v>
      </c>
      <c r="AK78" s="39" t="s">
        <v>355</v>
      </c>
      <c r="AL78" s="39" t="s">
        <v>355</v>
      </c>
      <c r="AM78" s="39" t="s">
        <v>355</v>
      </c>
    </row>
    <row r="79" spans="1:39" x14ac:dyDescent="0.3">
      <c r="A79" s="30" t="s">
        <v>71</v>
      </c>
      <c r="B79" s="30" t="s">
        <v>175</v>
      </c>
      <c r="C79" s="30" t="s">
        <v>177</v>
      </c>
      <c r="D79" s="31" t="s">
        <v>103</v>
      </c>
      <c r="E79" s="31">
        <v>513</v>
      </c>
      <c r="F79" s="31">
        <v>513</v>
      </c>
      <c r="G79" s="32">
        <v>2185</v>
      </c>
      <c r="H79" s="32">
        <v>2117</v>
      </c>
      <c r="I79" s="32">
        <v>2122</v>
      </c>
      <c r="J79" s="32">
        <v>2103</v>
      </c>
      <c r="K79" s="32">
        <v>2035</v>
      </c>
      <c r="L79" s="32">
        <v>1967</v>
      </c>
      <c r="M79" s="32">
        <v>2363</v>
      </c>
      <c r="N79" s="32">
        <v>2268</v>
      </c>
      <c r="O79" s="32">
        <v>2338</v>
      </c>
      <c r="P79" s="32">
        <v>2543</v>
      </c>
      <c r="Q79" s="32">
        <v>2899</v>
      </c>
      <c r="R79" s="32">
        <v>2785</v>
      </c>
      <c r="S79" s="32">
        <v>2827</v>
      </c>
      <c r="T79" s="32">
        <v>2011</v>
      </c>
      <c r="U79" s="32">
        <v>2840</v>
      </c>
      <c r="V79" s="32">
        <v>1614</v>
      </c>
      <c r="W79" s="32">
        <v>1665</v>
      </c>
      <c r="X79" s="32">
        <v>1746</v>
      </c>
      <c r="Y79" s="32">
        <v>1917</v>
      </c>
      <c r="Z79" s="32">
        <v>1906</v>
      </c>
      <c r="AA79" s="32">
        <v>1913</v>
      </c>
      <c r="AB79" s="32">
        <v>1778</v>
      </c>
      <c r="AC79" s="32">
        <v>1985</v>
      </c>
      <c r="AD79" s="32">
        <v>2554</v>
      </c>
      <c r="AE79" s="32">
        <v>3735</v>
      </c>
      <c r="AF79" s="32">
        <v>2219</v>
      </c>
      <c r="AG79" s="32">
        <v>2507</v>
      </c>
      <c r="AH79" s="32">
        <v>1941</v>
      </c>
      <c r="AI79" s="32">
        <v>2741</v>
      </c>
      <c r="AJ79" s="32">
        <v>2758</v>
      </c>
      <c r="AK79" s="32">
        <v>2506</v>
      </c>
      <c r="AL79" s="32">
        <v>2733</v>
      </c>
      <c r="AM79" s="32">
        <v>2166</v>
      </c>
    </row>
    <row r="80" spans="1:39" x14ac:dyDescent="0.3">
      <c r="A80" s="30" t="s">
        <v>71</v>
      </c>
      <c r="B80" s="30" t="s">
        <v>175</v>
      </c>
      <c r="C80" s="30" t="s">
        <v>133</v>
      </c>
      <c r="D80" s="31" t="s">
        <v>103</v>
      </c>
      <c r="E80" s="31">
        <v>515</v>
      </c>
      <c r="F80" s="31">
        <v>515</v>
      </c>
      <c r="G80" s="32">
        <v>1137</v>
      </c>
      <c r="H80" s="32">
        <v>1200</v>
      </c>
      <c r="I80" s="32">
        <v>1217</v>
      </c>
      <c r="J80" s="32">
        <v>1338</v>
      </c>
      <c r="K80" s="32">
        <v>1268</v>
      </c>
      <c r="L80" s="32">
        <v>1198</v>
      </c>
      <c r="M80" s="32">
        <v>1275</v>
      </c>
      <c r="N80" s="32">
        <v>1183</v>
      </c>
      <c r="O80" s="32">
        <v>1279</v>
      </c>
      <c r="P80" s="32">
        <v>1553</v>
      </c>
      <c r="Q80" s="32">
        <v>1523</v>
      </c>
      <c r="R80" s="32">
        <v>1483</v>
      </c>
      <c r="S80" s="32">
        <v>1509</v>
      </c>
      <c r="T80" s="32">
        <v>1674</v>
      </c>
      <c r="U80" s="32">
        <v>1429</v>
      </c>
      <c r="V80" s="32">
        <v>1509</v>
      </c>
      <c r="W80" s="32">
        <v>1494</v>
      </c>
      <c r="X80" s="32">
        <v>1515</v>
      </c>
      <c r="Y80" s="32">
        <v>1646</v>
      </c>
      <c r="Z80" s="32">
        <v>1535</v>
      </c>
      <c r="AA80" s="32">
        <v>1512</v>
      </c>
      <c r="AB80" s="32">
        <v>1397</v>
      </c>
      <c r="AC80" s="32">
        <v>1489</v>
      </c>
      <c r="AD80" s="32">
        <v>1481</v>
      </c>
      <c r="AE80" s="32">
        <v>1434</v>
      </c>
      <c r="AF80" s="32">
        <v>1460</v>
      </c>
      <c r="AG80" s="32">
        <v>2053</v>
      </c>
      <c r="AH80" s="32">
        <v>1503</v>
      </c>
      <c r="AI80" s="32">
        <v>1331</v>
      </c>
      <c r="AJ80" s="32">
        <v>1770</v>
      </c>
      <c r="AK80" s="32">
        <v>1679</v>
      </c>
      <c r="AL80" s="32">
        <v>1636</v>
      </c>
      <c r="AM80" s="32">
        <v>1087</v>
      </c>
    </row>
    <row r="81" spans="1:39" x14ac:dyDescent="0.3">
      <c r="A81" s="30" t="s">
        <v>71</v>
      </c>
      <c r="B81" s="30" t="s">
        <v>178</v>
      </c>
      <c r="C81" s="30" t="s">
        <v>179</v>
      </c>
      <c r="D81" s="31" t="s">
        <v>103</v>
      </c>
      <c r="E81" s="31">
        <v>811</v>
      </c>
      <c r="F81" s="31">
        <v>811</v>
      </c>
      <c r="G81" s="32">
        <v>692</v>
      </c>
      <c r="H81" s="32">
        <v>666</v>
      </c>
      <c r="I81" s="32">
        <v>697</v>
      </c>
      <c r="J81" s="32">
        <v>605</v>
      </c>
      <c r="K81" s="32">
        <v>735</v>
      </c>
      <c r="L81" s="32">
        <v>866</v>
      </c>
      <c r="M81" s="32">
        <v>833</v>
      </c>
      <c r="N81" s="32">
        <v>963</v>
      </c>
      <c r="O81" s="32">
        <v>946</v>
      </c>
      <c r="P81" s="32">
        <v>1203</v>
      </c>
      <c r="Q81" s="32">
        <v>1016</v>
      </c>
      <c r="R81" s="32">
        <v>1069</v>
      </c>
      <c r="S81" s="32">
        <v>1062</v>
      </c>
      <c r="T81" s="32">
        <v>1193</v>
      </c>
      <c r="U81" s="32">
        <v>1138</v>
      </c>
      <c r="V81" s="32"/>
      <c r="W81" s="32"/>
      <c r="X81" s="32"/>
      <c r="Y81" s="32"/>
      <c r="Z81" s="32"/>
      <c r="AA81" s="32"/>
      <c r="AB81" s="32">
        <v>1137</v>
      </c>
      <c r="AC81" s="32">
        <v>1371</v>
      </c>
      <c r="AD81" s="32" t="s">
        <v>358</v>
      </c>
      <c r="AE81" s="32">
        <v>578</v>
      </c>
      <c r="AF81" s="39" t="s">
        <v>355</v>
      </c>
      <c r="AG81" s="39" t="s">
        <v>355</v>
      </c>
      <c r="AH81" s="39" t="s">
        <v>355</v>
      </c>
      <c r="AI81" s="39" t="s">
        <v>355</v>
      </c>
      <c r="AJ81" s="39" t="s">
        <v>355</v>
      </c>
      <c r="AK81" s="39" t="s">
        <v>355</v>
      </c>
      <c r="AL81" s="39" t="s">
        <v>355</v>
      </c>
      <c r="AM81" s="39" t="s">
        <v>355</v>
      </c>
    </row>
    <row r="82" spans="1:39" x14ac:dyDescent="0.3">
      <c r="A82" s="30" t="s">
        <v>71</v>
      </c>
      <c r="B82" s="30" t="s">
        <v>180</v>
      </c>
      <c r="C82" s="30" t="s">
        <v>181</v>
      </c>
      <c r="D82" s="31" t="s">
        <v>103</v>
      </c>
      <c r="E82" s="31">
        <v>1015</v>
      </c>
      <c r="F82" s="31">
        <v>1015</v>
      </c>
      <c r="G82" s="32">
        <v>3559</v>
      </c>
      <c r="H82" s="32">
        <v>3551</v>
      </c>
      <c r="I82" s="32">
        <v>3591</v>
      </c>
      <c r="J82" s="32">
        <v>3552</v>
      </c>
      <c r="K82" s="32">
        <v>3638</v>
      </c>
      <c r="L82" s="32">
        <v>3723</v>
      </c>
      <c r="M82" s="32">
        <v>3798</v>
      </c>
      <c r="N82" s="32">
        <v>3826</v>
      </c>
      <c r="O82" s="32">
        <v>3550</v>
      </c>
      <c r="P82" s="32">
        <v>3406</v>
      </c>
      <c r="Q82" s="32">
        <v>3277</v>
      </c>
      <c r="R82" s="32">
        <v>3024</v>
      </c>
      <c r="S82" s="32">
        <v>2896</v>
      </c>
      <c r="T82" s="32">
        <v>2953</v>
      </c>
      <c r="U82" s="32">
        <v>3101</v>
      </c>
      <c r="V82" s="32">
        <v>2904</v>
      </c>
      <c r="W82" s="32">
        <v>2986</v>
      </c>
      <c r="X82" s="32" t="s">
        <v>358</v>
      </c>
      <c r="Y82" s="32">
        <v>2863</v>
      </c>
      <c r="Z82" s="32" t="s">
        <v>358</v>
      </c>
      <c r="AA82" s="32">
        <v>3379</v>
      </c>
      <c r="AB82" s="32">
        <v>2864</v>
      </c>
      <c r="AC82" s="32">
        <v>2001</v>
      </c>
      <c r="AD82" s="32" t="s">
        <v>358</v>
      </c>
      <c r="AE82" s="32">
        <v>1417</v>
      </c>
      <c r="AF82" s="32">
        <v>1150</v>
      </c>
      <c r="AG82" s="39" t="s">
        <v>355</v>
      </c>
      <c r="AH82" s="39" t="s">
        <v>355</v>
      </c>
      <c r="AI82" s="39" t="s">
        <v>355</v>
      </c>
      <c r="AJ82" s="39" t="s">
        <v>355</v>
      </c>
      <c r="AK82" s="39" t="s">
        <v>355</v>
      </c>
      <c r="AL82" s="39" t="s">
        <v>355</v>
      </c>
      <c r="AM82" s="39" t="s">
        <v>355</v>
      </c>
    </row>
    <row r="83" spans="1:39" x14ac:dyDescent="0.3">
      <c r="A83" s="30" t="s">
        <v>71</v>
      </c>
      <c r="B83" s="30" t="s">
        <v>182</v>
      </c>
      <c r="C83" s="30" t="s">
        <v>183</v>
      </c>
      <c r="D83" s="31" t="s">
        <v>103</v>
      </c>
      <c r="E83" s="31">
        <v>504</v>
      </c>
      <c r="F83" s="31">
        <v>504</v>
      </c>
      <c r="G83" s="32">
        <v>3159</v>
      </c>
      <c r="H83" s="32">
        <v>3185</v>
      </c>
      <c r="I83" s="32">
        <v>3210</v>
      </c>
      <c r="J83" s="32">
        <v>3331</v>
      </c>
      <c r="K83" s="32">
        <v>3214</v>
      </c>
      <c r="L83" s="32">
        <v>3097</v>
      </c>
      <c r="M83" s="32">
        <v>3447</v>
      </c>
      <c r="N83" s="32">
        <v>3309</v>
      </c>
      <c r="O83" s="32">
        <v>3374</v>
      </c>
      <c r="P83" s="32">
        <v>3475</v>
      </c>
      <c r="Q83" s="32">
        <v>3352</v>
      </c>
      <c r="R83" s="32">
        <v>3517</v>
      </c>
      <c r="S83" s="32">
        <v>3053</v>
      </c>
      <c r="T83" s="32">
        <v>3269</v>
      </c>
      <c r="U83" s="32">
        <v>3764</v>
      </c>
      <c r="V83" s="32">
        <v>3354</v>
      </c>
      <c r="W83" s="32">
        <v>3458</v>
      </c>
      <c r="X83" s="32">
        <v>3410</v>
      </c>
      <c r="Y83" s="32">
        <v>3377</v>
      </c>
      <c r="Z83" s="32">
        <v>3552</v>
      </c>
      <c r="AA83" s="32">
        <v>3560</v>
      </c>
      <c r="AB83" s="32">
        <v>3645</v>
      </c>
      <c r="AC83" s="32">
        <v>3057</v>
      </c>
      <c r="AD83" s="32">
        <v>2777</v>
      </c>
      <c r="AE83" s="32">
        <v>2581</v>
      </c>
      <c r="AF83" s="32">
        <v>2609</v>
      </c>
      <c r="AG83" s="32">
        <v>2999</v>
      </c>
      <c r="AH83" s="32">
        <v>2545</v>
      </c>
      <c r="AI83" s="32">
        <v>2274</v>
      </c>
      <c r="AJ83" s="39" t="s">
        <v>355</v>
      </c>
      <c r="AK83" s="39" t="s">
        <v>355</v>
      </c>
      <c r="AL83" s="39" t="s">
        <v>355</v>
      </c>
      <c r="AM83" s="39" t="s">
        <v>355</v>
      </c>
    </row>
    <row r="84" spans="1:39" x14ac:dyDescent="0.3">
      <c r="A84" s="30" t="s">
        <v>71</v>
      </c>
      <c r="B84" s="30" t="s">
        <v>182</v>
      </c>
      <c r="C84" s="30" t="s">
        <v>184</v>
      </c>
      <c r="D84" s="31" t="s">
        <v>103</v>
      </c>
      <c r="E84" s="31">
        <v>505</v>
      </c>
      <c r="F84" s="31">
        <v>505</v>
      </c>
      <c r="G84" s="32">
        <v>1173</v>
      </c>
      <c r="H84" s="32">
        <v>1156</v>
      </c>
      <c r="I84" s="32">
        <v>1164</v>
      </c>
      <c r="J84" s="32">
        <v>1173</v>
      </c>
      <c r="K84" s="32">
        <v>1141</v>
      </c>
      <c r="L84" s="32">
        <v>1110</v>
      </c>
      <c r="M84" s="32">
        <v>1287</v>
      </c>
      <c r="N84" s="32">
        <v>1177</v>
      </c>
      <c r="O84" s="32">
        <v>807</v>
      </c>
      <c r="P84" s="32">
        <v>776</v>
      </c>
      <c r="Q84" s="32">
        <v>747</v>
      </c>
      <c r="R84" s="32">
        <v>836</v>
      </c>
      <c r="S84" s="32">
        <v>826</v>
      </c>
      <c r="T84" s="32">
        <v>986</v>
      </c>
      <c r="U84" s="32">
        <v>992</v>
      </c>
      <c r="V84" s="32">
        <v>1515</v>
      </c>
      <c r="W84" s="32">
        <v>1706</v>
      </c>
      <c r="X84" s="32">
        <v>1740</v>
      </c>
      <c r="Y84" s="32">
        <v>1768</v>
      </c>
      <c r="Z84" s="32">
        <v>868</v>
      </c>
      <c r="AA84" s="32">
        <v>804</v>
      </c>
      <c r="AB84" s="32">
        <v>1608</v>
      </c>
      <c r="AC84" s="32">
        <v>535</v>
      </c>
      <c r="AD84" s="32">
        <v>805</v>
      </c>
      <c r="AE84" s="32">
        <v>451</v>
      </c>
      <c r="AF84" s="32">
        <v>456</v>
      </c>
      <c r="AG84" s="32">
        <v>1520</v>
      </c>
      <c r="AH84" s="32">
        <v>936</v>
      </c>
      <c r="AI84" s="32">
        <v>769</v>
      </c>
      <c r="AJ84" s="32">
        <v>1197</v>
      </c>
      <c r="AK84" s="32">
        <v>1132</v>
      </c>
      <c r="AL84" s="32">
        <v>967</v>
      </c>
      <c r="AM84" s="32">
        <v>565</v>
      </c>
    </row>
    <row r="85" spans="1:39" x14ac:dyDescent="0.3">
      <c r="A85" s="30" t="s">
        <v>71</v>
      </c>
      <c r="B85" s="30" t="s">
        <v>82</v>
      </c>
      <c r="C85" s="30" t="s">
        <v>84</v>
      </c>
      <c r="D85" s="31" t="s">
        <v>20</v>
      </c>
      <c r="E85" s="31">
        <v>67</v>
      </c>
      <c r="F85" s="31" t="s">
        <v>313</v>
      </c>
      <c r="G85" s="32">
        <v>5865</v>
      </c>
      <c r="H85" s="32">
        <v>5360</v>
      </c>
      <c r="I85" s="32">
        <v>5769</v>
      </c>
      <c r="J85" s="32">
        <v>5601</v>
      </c>
      <c r="K85" s="32">
        <v>5968</v>
      </c>
      <c r="L85" s="32">
        <v>6335</v>
      </c>
      <c r="M85" s="32">
        <v>7010</v>
      </c>
      <c r="N85" s="32">
        <v>6169</v>
      </c>
      <c r="O85" s="32">
        <v>6192</v>
      </c>
      <c r="P85" s="32">
        <v>4945</v>
      </c>
      <c r="Q85" s="32">
        <v>4905</v>
      </c>
      <c r="R85" s="32">
        <v>5315</v>
      </c>
      <c r="S85" s="32">
        <v>5018</v>
      </c>
      <c r="T85" s="32">
        <v>4176</v>
      </c>
      <c r="U85" s="32">
        <v>4003</v>
      </c>
      <c r="V85" s="32">
        <v>4592</v>
      </c>
      <c r="W85" s="32">
        <v>4387</v>
      </c>
      <c r="X85" s="32">
        <v>4592</v>
      </c>
      <c r="Y85" s="32">
        <v>4442</v>
      </c>
      <c r="Z85" s="32">
        <v>5098</v>
      </c>
      <c r="AA85" s="32">
        <v>5034</v>
      </c>
      <c r="AB85" s="32">
        <v>5421</v>
      </c>
      <c r="AC85" s="32">
        <v>5935</v>
      </c>
      <c r="AD85" s="32" t="s">
        <v>358</v>
      </c>
      <c r="AE85" s="32">
        <v>9286</v>
      </c>
      <c r="AF85" s="32">
        <v>9707</v>
      </c>
      <c r="AG85" s="32">
        <v>10107</v>
      </c>
      <c r="AH85" s="32">
        <v>9730</v>
      </c>
      <c r="AI85" s="32">
        <v>9256</v>
      </c>
      <c r="AJ85" s="39" t="s">
        <v>355</v>
      </c>
      <c r="AK85" s="39" t="s">
        <v>355</v>
      </c>
      <c r="AL85" s="39" t="s">
        <v>355</v>
      </c>
      <c r="AM85" s="39" t="s">
        <v>355</v>
      </c>
    </row>
    <row r="86" spans="1:39" x14ac:dyDescent="0.3">
      <c r="A86" s="30" t="s">
        <v>36</v>
      </c>
      <c r="B86" s="30" t="s">
        <v>82</v>
      </c>
      <c r="C86" s="30" t="s">
        <v>185</v>
      </c>
      <c r="D86" s="31" t="s">
        <v>103</v>
      </c>
      <c r="E86" s="31">
        <v>657</v>
      </c>
      <c r="F86" s="31">
        <v>657</v>
      </c>
      <c r="G86" s="32">
        <v>3693</v>
      </c>
      <c r="H86" s="32">
        <v>4516</v>
      </c>
      <c r="I86" s="32">
        <v>5023</v>
      </c>
      <c r="J86" s="32">
        <v>6404</v>
      </c>
      <c r="K86" s="32">
        <v>6074</v>
      </c>
      <c r="L86" s="32">
        <v>5744</v>
      </c>
      <c r="M86" s="32">
        <v>7260</v>
      </c>
      <c r="N86" s="32">
        <v>6938</v>
      </c>
      <c r="O86" s="32">
        <v>5651</v>
      </c>
      <c r="P86" s="32">
        <v>5660</v>
      </c>
      <c r="Q86" s="32">
        <v>4223</v>
      </c>
      <c r="R86" s="32">
        <v>5129</v>
      </c>
      <c r="S86" s="32">
        <v>5211</v>
      </c>
      <c r="T86" s="32">
        <v>4705</v>
      </c>
      <c r="U86" s="32">
        <v>4818</v>
      </c>
      <c r="V86" s="32">
        <v>6194</v>
      </c>
      <c r="W86" s="32">
        <v>4304</v>
      </c>
      <c r="X86" s="32">
        <v>5636</v>
      </c>
      <c r="Y86" s="32">
        <v>7092</v>
      </c>
      <c r="Z86" s="32">
        <v>5849</v>
      </c>
      <c r="AA86" s="32">
        <v>7142</v>
      </c>
      <c r="AB86" s="32">
        <v>6587</v>
      </c>
      <c r="AC86" s="32">
        <v>7020</v>
      </c>
      <c r="AD86" s="32">
        <v>10545</v>
      </c>
      <c r="AE86" s="32">
        <v>12337</v>
      </c>
      <c r="AF86" s="32">
        <v>12620</v>
      </c>
      <c r="AG86" s="32">
        <v>12020</v>
      </c>
      <c r="AH86" s="32">
        <v>11246</v>
      </c>
      <c r="AI86" s="32">
        <v>10200</v>
      </c>
      <c r="AJ86" s="32">
        <v>10213</v>
      </c>
      <c r="AK86" s="32">
        <v>10482</v>
      </c>
      <c r="AL86" s="32">
        <v>8127</v>
      </c>
      <c r="AM86" s="32">
        <v>6032</v>
      </c>
    </row>
    <row r="87" spans="1:39" x14ac:dyDescent="0.3">
      <c r="A87" s="30" t="s">
        <v>71</v>
      </c>
      <c r="B87" s="30" t="s">
        <v>82</v>
      </c>
      <c r="C87" s="30" t="s">
        <v>83</v>
      </c>
      <c r="D87" s="31" t="s">
        <v>20</v>
      </c>
      <c r="E87" s="31">
        <v>30</v>
      </c>
      <c r="F87" s="31" t="s">
        <v>314</v>
      </c>
      <c r="G87" s="32">
        <v>6273</v>
      </c>
      <c r="H87" s="32">
        <v>4849</v>
      </c>
      <c r="I87" s="32">
        <v>4892</v>
      </c>
      <c r="J87" s="32">
        <v>4240</v>
      </c>
      <c r="K87" s="32">
        <v>5012</v>
      </c>
      <c r="L87" s="32">
        <v>5784</v>
      </c>
      <c r="M87" s="32">
        <v>5791</v>
      </c>
      <c r="N87" s="32">
        <v>5727</v>
      </c>
      <c r="O87" s="32">
        <v>5546</v>
      </c>
      <c r="P87" s="32">
        <v>5571</v>
      </c>
      <c r="Q87" s="32">
        <v>5245</v>
      </c>
      <c r="R87" s="32">
        <v>4626</v>
      </c>
      <c r="S87" s="32">
        <v>5196</v>
      </c>
      <c r="T87" s="32">
        <v>4612</v>
      </c>
      <c r="U87" s="32">
        <v>3966</v>
      </c>
      <c r="V87" s="32">
        <v>3002</v>
      </c>
      <c r="W87" s="32">
        <v>4757</v>
      </c>
      <c r="X87" s="32">
        <v>4981</v>
      </c>
      <c r="Y87" s="32">
        <v>5690</v>
      </c>
      <c r="Z87" s="32">
        <v>6687</v>
      </c>
      <c r="AA87" s="32">
        <v>7139</v>
      </c>
      <c r="AB87" s="39" t="s">
        <v>355</v>
      </c>
      <c r="AC87" s="32">
        <v>7856</v>
      </c>
      <c r="AD87" s="39" t="s">
        <v>355</v>
      </c>
      <c r="AE87" s="32">
        <v>11999</v>
      </c>
      <c r="AF87" s="32">
        <v>12368</v>
      </c>
      <c r="AG87" s="32">
        <v>12283</v>
      </c>
      <c r="AH87" s="32">
        <v>11177</v>
      </c>
      <c r="AI87" s="32">
        <v>9877</v>
      </c>
      <c r="AJ87" s="39" t="s">
        <v>355</v>
      </c>
      <c r="AK87" s="39" t="s">
        <v>355</v>
      </c>
      <c r="AL87" s="39" t="s">
        <v>355</v>
      </c>
      <c r="AM87" s="39" t="s">
        <v>355</v>
      </c>
    </row>
    <row r="88" spans="1:39" ht="15" customHeight="1" x14ac:dyDescent="0.3">
      <c r="A88" s="30" t="s">
        <v>71</v>
      </c>
      <c r="B88" s="30" t="s">
        <v>186</v>
      </c>
      <c r="C88" s="30" t="s">
        <v>187</v>
      </c>
      <c r="D88" s="31" t="s">
        <v>103</v>
      </c>
      <c r="E88" s="31">
        <v>801</v>
      </c>
      <c r="F88" s="31">
        <v>801</v>
      </c>
      <c r="G88" s="32">
        <v>5494</v>
      </c>
      <c r="H88" s="32">
        <v>5535</v>
      </c>
      <c r="I88" s="32">
        <v>5299</v>
      </c>
      <c r="J88" s="32">
        <v>5620</v>
      </c>
      <c r="K88" s="32">
        <v>4965</v>
      </c>
      <c r="L88" s="32">
        <v>4309</v>
      </c>
      <c r="M88" s="32">
        <v>4220</v>
      </c>
      <c r="N88" s="32">
        <v>3926</v>
      </c>
      <c r="O88" s="32">
        <v>3502</v>
      </c>
      <c r="P88" s="32">
        <v>2825</v>
      </c>
      <c r="Q88" s="32">
        <v>2898</v>
      </c>
      <c r="R88" s="32">
        <v>2938</v>
      </c>
      <c r="S88" s="32">
        <v>2353</v>
      </c>
      <c r="T88" s="32">
        <v>2199</v>
      </c>
      <c r="U88" s="32">
        <v>2104</v>
      </c>
      <c r="V88" s="32">
        <v>2074</v>
      </c>
      <c r="W88" s="32">
        <v>1908</v>
      </c>
      <c r="X88" s="32">
        <v>1782</v>
      </c>
      <c r="Y88" s="32">
        <v>2062</v>
      </c>
      <c r="Z88" s="32">
        <v>1640</v>
      </c>
      <c r="AA88" s="39" t="s">
        <v>355</v>
      </c>
      <c r="AB88" s="39" t="s">
        <v>355</v>
      </c>
      <c r="AC88" s="39" t="s">
        <v>355</v>
      </c>
      <c r="AD88" s="39" t="s">
        <v>355</v>
      </c>
      <c r="AE88" s="39" t="s">
        <v>355</v>
      </c>
      <c r="AF88" s="39" t="s">
        <v>355</v>
      </c>
      <c r="AG88" s="39" t="s">
        <v>355</v>
      </c>
      <c r="AH88" s="39" t="s">
        <v>355</v>
      </c>
      <c r="AI88" s="39" t="s">
        <v>355</v>
      </c>
      <c r="AJ88" s="39" t="s">
        <v>355</v>
      </c>
      <c r="AK88" s="39" t="s">
        <v>355</v>
      </c>
      <c r="AL88" s="39" t="s">
        <v>355</v>
      </c>
      <c r="AM88" s="39" t="s">
        <v>355</v>
      </c>
    </row>
    <row r="89" spans="1:39" x14ac:dyDescent="0.3">
      <c r="A89" s="30" t="s">
        <v>71</v>
      </c>
      <c r="B89" s="30" t="s">
        <v>186</v>
      </c>
      <c r="C89" s="30" t="s">
        <v>188</v>
      </c>
      <c r="D89" s="31" t="s">
        <v>103</v>
      </c>
      <c r="E89" s="31">
        <v>506</v>
      </c>
      <c r="F89" s="31">
        <v>506</v>
      </c>
      <c r="G89" s="32">
        <v>6465</v>
      </c>
      <c r="H89" s="32">
        <v>6662</v>
      </c>
      <c r="I89" s="32">
        <v>6573</v>
      </c>
      <c r="J89" s="32">
        <v>6830</v>
      </c>
      <c r="K89" s="32">
        <v>6651</v>
      </c>
      <c r="L89" s="32">
        <v>6472</v>
      </c>
      <c r="M89" s="32">
        <v>5734</v>
      </c>
      <c r="N89" s="32">
        <v>5073</v>
      </c>
      <c r="O89" s="32">
        <v>4529</v>
      </c>
      <c r="P89" s="32">
        <v>4409</v>
      </c>
      <c r="Q89" s="32">
        <v>3910</v>
      </c>
      <c r="R89" s="32">
        <v>4045</v>
      </c>
      <c r="S89" s="32">
        <v>3075</v>
      </c>
      <c r="T89" s="32">
        <v>2876</v>
      </c>
      <c r="U89" s="32">
        <v>2902</v>
      </c>
      <c r="V89" s="32">
        <v>2597</v>
      </c>
      <c r="W89" s="32">
        <v>2865</v>
      </c>
      <c r="X89" s="32">
        <v>2823</v>
      </c>
      <c r="Y89" s="32">
        <v>3656</v>
      </c>
      <c r="Z89" s="32">
        <v>2509</v>
      </c>
      <c r="AA89" s="32">
        <v>2534</v>
      </c>
      <c r="AB89" s="32">
        <v>1112</v>
      </c>
      <c r="AC89" s="32">
        <v>495</v>
      </c>
      <c r="AD89" s="32">
        <v>2309</v>
      </c>
      <c r="AE89" s="32">
        <v>461</v>
      </c>
      <c r="AF89" s="32">
        <v>450</v>
      </c>
      <c r="AG89" s="32">
        <v>1063</v>
      </c>
      <c r="AH89" s="32">
        <v>420</v>
      </c>
      <c r="AI89" s="32">
        <v>770</v>
      </c>
      <c r="AJ89" s="32">
        <v>238</v>
      </c>
      <c r="AK89" s="32">
        <v>304</v>
      </c>
      <c r="AL89" s="39" t="s">
        <v>355</v>
      </c>
      <c r="AM89" s="39" t="s">
        <v>355</v>
      </c>
    </row>
    <row r="90" spans="1:39" x14ac:dyDescent="0.3">
      <c r="A90" s="30" t="s">
        <v>71</v>
      </c>
      <c r="B90" s="30" t="s">
        <v>186</v>
      </c>
      <c r="C90" s="30" t="s">
        <v>189</v>
      </c>
      <c r="D90" s="31" t="s">
        <v>103</v>
      </c>
      <c r="E90" s="31">
        <v>583</v>
      </c>
      <c r="F90" s="31">
        <v>583</v>
      </c>
      <c r="G90" s="32">
        <v>5964</v>
      </c>
      <c r="H90" s="32">
        <v>6006</v>
      </c>
      <c r="I90" s="32">
        <v>5942</v>
      </c>
      <c r="J90" s="32">
        <v>6075</v>
      </c>
      <c r="K90" s="32">
        <v>5875</v>
      </c>
      <c r="L90" s="32">
        <v>5674</v>
      </c>
      <c r="M90" s="32">
        <v>5614</v>
      </c>
      <c r="N90" s="39" t="s">
        <v>355</v>
      </c>
      <c r="O90" s="39" t="s">
        <v>355</v>
      </c>
      <c r="P90" s="39" t="s">
        <v>355</v>
      </c>
      <c r="Q90" s="39" t="s">
        <v>355</v>
      </c>
      <c r="R90" s="39" t="s">
        <v>355</v>
      </c>
      <c r="S90" s="39" t="s">
        <v>355</v>
      </c>
      <c r="T90" s="39" t="s">
        <v>355</v>
      </c>
      <c r="U90" s="39" t="s">
        <v>355</v>
      </c>
      <c r="V90" s="39" t="s">
        <v>355</v>
      </c>
      <c r="W90" s="39" t="s">
        <v>355</v>
      </c>
      <c r="X90" s="39" t="s">
        <v>355</v>
      </c>
      <c r="Y90" s="39" t="s">
        <v>355</v>
      </c>
      <c r="Z90" s="39" t="s">
        <v>355</v>
      </c>
      <c r="AA90" s="39" t="s">
        <v>355</v>
      </c>
      <c r="AB90" s="39" t="s">
        <v>355</v>
      </c>
      <c r="AC90" s="39" t="s">
        <v>355</v>
      </c>
      <c r="AD90" s="39" t="s">
        <v>355</v>
      </c>
      <c r="AE90" s="39" t="s">
        <v>355</v>
      </c>
      <c r="AF90" s="39" t="s">
        <v>355</v>
      </c>
      <c r="AG90" s="39" t="s">
        <v>355</v>
      </c>
      <c r="AH90" s="39" t="s">
        <v>355</v>
      </c>
      <c r="AI90" s="39" t="s">
        <v>355</v>
      </c>
      <c r="AJ90" s="39" t="s">
        <v>355</v>
      </c>
      <c r="AK90" s="39" t="s">
        <v>355</v>
      </c>
      <c r="AL90" s="39" t="s">
        <v>355</v>
      </c>
      <c r="AM90" s="39" t="s">
        <v>355</v>
      </c>
    </row>
    <row r="91" spans="1:39" x14ac:dyDescent="0.3">
      <c r="A91" s="30" t="s">
        <v>71</v>
      </c>
      <c r="B91" s="30" t="s">
        <v>190</v>
      </c>
      <c r="C91" s="30" t="s">
        <v>191</v>
      </c>
      <c r="D91" s="31" t="s">
        <v>103</v>
      </c>
      <c r="E91" s="31">
        <v>526</v>
      </c>
      <c r="F91" s="31">
        <v>526</v>
      </c>
      <c r="G91" s="32">
        <v>1666</v>
      </c>
      <c r="H91" s="32">
        <v>905</v>
      </c>
      <c r="I91" s="32">
        <v>838</v>
      </c>
      <c r="J91" s="32">
        <v>721</v>
      </c>
      <c r="K91" s="32">
        <v>361</v>
      </c>
      <c r="L91" s="32">
        <v>0</v>
      </c>
      <c r="M91" s="32" t="s">
        <v>358</v>
      </c>
      <c r="N91" s="32" t="s">
        <v>358</v>
      </c>
      <c r="O91" s="32" t="s">
        <v>358</v>
      </c>
      <c r="P91" s="32" t="s">
        <v>358</v>
      </c>
      <c r="Q91" s="32" t="s">
        <v>358</v>
      </c>
      <c r="R91" s="32" t="s">
        <v>358</v>
      </c>
      <c r="S91" s="32" t="s">
        <v>358</v>
      </c>
      <c r="T91" s="32" t="s">
        <v>358</v>
      </c>
      <c r="U91" s="32">
        <v>372</v>
      </c>
      <c r="V91" s="39" t="s">
        <v>355</v>
      </c>
      <c r="W91" s="39" t="s">
        <v>355</v>
      </c>
      <c r="X91" s="39" t="s">
        <v>355</v>
      </c>
      <c r="Y91" s="39" t="s">
        <v>355</v>
      </c>
      <c r="Z91" s="39" t="s">
        <v>355</v>
      </c>
      <c r="AA91" s="39" t="s">
        <v>355</v>
      </c>
      <c r="AB91" s="39" t="s">
        <v>355</v>
      </c>
      <c r="AC91" s="39" t="s">
        <v>355</v>
      </c>
      <c r="AD91" s="39" t="s">
        <v>355</v>
      </c>
      <c r="AE91" s="39" t="s">
        <v>355</v>
      </c>
      <c r="AF91" s="39" t="s">
        <v>355</v>
      </c>
      <c r="AG91" s="39" t="s">
        <v>355</v>
      </c>
      <c r="AH91" s="39" t="s">
        <v>355</v>
      </c>
      <c r="AI91" s="39" t="s">
        <v>355</v>
      </c>
      <c r="AJ91" s="39" t="s">
        <v>355</v>
      </c>
      <c r="AK91" s="39" t="s">
        <v>355</v>
      </c>
      <c r="AL91" s="39" t="s">
        <v>355</v>
      </c>
      <c r="AM91" s="39" t="s">
        <v>355</v>
      </c>
    </row>
    <row r="92" spans="1:39" x14ac:dyDescent="0.3">
      <c r="A92" s="30" t="s">
        <v>71</v>
      </c>
      <c r="B92" s="30" t="s">
        <v>192</v>
      </c>
      <c r="C92" s="30" t="s">
        <v>193</v>
      </c>
      <c r="D92" s="31" t="s">
        <v>103</v>
      </c>
      <c r="E92" s="31">
        <v>413</v>
      </c>
      <c r="F92" s="31">
        <v>413</v>
      </c>
      <c r="G92" s="32">
        <v>939</v>
      </c>
      <c r="H92" s="39" t="s">
        <v>355</v>
      </c>
      <c r="I92" s="39" t="s">
        <v>355</v>
      </c>
      <c r="J92" s="39" t="s">
        <v>355</v>
      </c>
      <c r="K92" s="39" t="s">
        <v>355</v>
      </c>
      <c r="L92" s="39" t="s">
        <v>355</v>
      </c>
      <c r="M92" s="39" t="s">
        <v>355</v>
      </c>
      <c r="N92" s="39" t="s">
        <v>355</v>
      </c>
      <c r="O92" s="39" t="s">
        <v>355</v>
      </c>
      <c r="P92" s="39" t="s">
        <v>355</v>
      </c>
      <c r="Q92" s="39" t="s">
        <v>355</v>
      </c>
      <c r="R92" s="39" t="s">
        <v>355</v>
      </c>
      <c r="S92" s="39" t="s">
        <v>355</v>
      </c>
      <c r="T92" s="39" t="s">
        <v>355</v>
      </c>
      <c r="U92" s="39" t="s">
        <v>355</v>
      </c>
      <c r="V92" s="39" t="s">
        <v>355</v>
      </c>
      <c r="W92" s="39" t="s">
        <v>355</v>
      </c>
      <c r="X92" s="39" t="s">
        <v>355</v>
      </c>
      <c r="Y92" s="39" t="s">
        <v>355</v>
      </c>
      <c r="Z92" s="39" t="s">
        <v>355</v>
      </c>
      <c r="AA92" s="39" t="s">
        <v>355</v>
      </c>
      <c r="AB92" s="39" t="s">
        <v>355</v>
      </c>
      <c r="AC92" s="39" t="s">
        <v>355</v>
      </c>
      <c r="AD92" s="39" t="s">
        <v>355</v>
      </c>
      <c r="AE92" s="39" t="s">
        <v>355</v>
      </c>
      <c r="AF92" s="39" t="s">
        <v>355</v>
      </c>
      <c r="AG92" s="39" t="s">
        <v>355</v>
      </c>
      <c r="AH92" s="39" t="s">
        <v>355</v>
      </c>
      <c r="AI92" s="39" t="s">
        <v>355</v>
      </c>
      <c r="AJ92" s="39" t="s">
        <v>355</v>
      </c>
      <c r="AK92" s="39" t="s">
        <v>355</v>
      </c>
      <c r="AL92" s="39" t="s">
        <v>355</v>
      </c>
      <c r="AM92" s="39" t="s">
        <v>355</v>
      </c>
    </row>
    <row r="93" spans="1:39" x14ac:dyDescent="0.3">
      <c r="A93" s="30" t="s">
        <v>71</v>
      </c>
      <c r="B93" s="30" t="s">
        <v>192</v>
      </c>
      <c r="C93" s="30" t="s">
        <v>115</v>
      </c>
      <c r="D93" s="31" t="s">
        <v>103</v>
      </c>
      <c r="E93" s="31">
        <v>412</v>
      </c>
      <c r="F93" s="31">
        <v>412</v>
      </c>
      <c r="G93" s="32">
        <v>1864</v>
      </c>
      <c r="H93" s="39" t="s">
        <v>355</v>
      </c>
      <c r="I93" s="39" t="s">
        <v>355</v>
      </c>
      <c r="J93" s="39" t="s">
        <v>355</v>
      </c>
      <c r="K93" s="39" t="s">
        <v>355</v>
      </c>
      <c r="L93" s="39" t="s">
        <v>355</v>
      </c>
      <c r="M93" s="39" t="s">
        <v>355</v>
      </c>
      <c r="N93" s="39" t="s">
        <v>355</v>
      </c>
      <c r="O93" s="39" t="s">
        <v>355</v>
      </c>
      <c r="P93" s="39" t="s">
        <v>355</v>
      </c>
      <c r="Q93" s="39" t="s">
        <v>355</v>
      </c>
      <c r="R93" s="39" t="s">
        <v>355</v>
      </c>
      <c r="S93" s="39" t="s">
        <v>355</v>
      </c>
      <c r="T93" s="39" t="s">
        <v>355</v>
      </c>
      <c r="U93" s="39" t="s">
        <v>355</v>
      </c>
      <c r="V93" s="39" t="s">
        <v>355</v>
      </c>
      <c r="W93" s="39" t="s">
        <v>355</v>
      </c>
      <c r="X93" s="39" t="s">
        <v>355</v>
      </c>
      <c r="Y93" s="39" t="s">
        <v>355</v>
      </c>
      <c r="Z93" s="39" t="s">
        <v>355</v>
      </c>
      <c r="AA93" s="39" t="s">
        <v>355</v>
      </c>
      <c r="AB93" s="39" t="s">
        <v>355</v>
      </c>
      <c r="AC93" s="39" t="s">
        <v>355</v>
      </c>
      <c r="AD93" s="39" t="s">
        <v>355</v>
      </c>
      <c r="AE93" s="39" t="s">
        <v>355</v>
      </c>
      <c r="AF93" s="39" t="s">
        <v>355</v>
      </c>
      <c r="AG93" s="39" t="s">
        <v>355</v>
      </c>
      <c r="AH93" s="39" t="s">
        <v>355</v>
      </c>
      <c r="AI93" s="39" t="s">
        <v>355</v>
      </c>
      <c r="AJ93" s="39" t="s">
        <v>355</v>
      </c>
      <c r="AK93" s="39" t="s">
        <v>355</v>
      </c>
      <c r="AL93" s="39" t="s">
        <v>355</v>
      </c>
      <c r="AM93" s="39" t="s">
        <v>355</v>
      </c>
    </row>
    <row r="94" spans="1:39" x14ac:dyDescent="0.3">
      <c r="A94" s="30" t="s">
        <v>71</v>
      </c>
      <c r="B94" s="30" t="s">
        <v>194</v>
      </c>
      <c r="C94" s="30" t="s">
        <v>196</v>
      </c>
      <c r="D94" s="31" t="s">
        <v>103</v>
      </c>
      <c r="E94" s="31">
        <v>569</v>
      </c>
      <c r="F94" s="31">
        <v>569</v>
      </c>
      <c r="G94" s="32">
        <v>2371</v>
      </c>
      <c r="H94" s="32">
        <v>2337</v>
      </c>
      <c r="I94" s="32">
        <v>2845</v>
      </c>
      <c r="J94" s="32">
        <v>2087</v>
      </c>
      <c r="K94" s="32">
        <v>3680</v>
      </c>
      <c r="L94" s="32">
        <v>5274</v>
      </c>
      <c r="M94" s="39" t="s">
        <v>355</v>
      </c>
      <c r="N94" s="39" t="s">
        <v>355</v>
      </c>
      <c r="O94" s="39" t="s">
        <v>355</v>
      </c>
      <c r="P94" s="39" t="s">
        <v>355</v>
      </c>
      <c r="Q94" s="39" t="s">
        <v>355</v>
      </c>
      <c r="R94" s="39" t="s">
        <v>355</v>
      </c>
      <c r="S94" s="39" t="s">
        <v>355</v>
      </c>
      <c r="T94" s="39" t="s">
        <v>355</v>
      </c>
      <c r="U94" s="39" t="s">
        <v>355</v>
      </c>
      <c r="V94" s="39" t="s">
        <v>355</v>
      </c>
      <c r="W94" s="39" t="s">
        <v>355</v>
      </c>
      <c r="X94" s="39" t="s">
        <v>355</v>
      </c>
      <c r="Y94" s="39" t="s">
        <v>355</v>
      </c>
      <c r="Z94" s="39" t="s">
        <v>355</v>
      </c>
      <c r="AA94" s="39" t="s">
        <v>355</v>
      </c>
      <c r="AB94" s="39" t="s">
        <v>355</v>
      </c>
      <c r="AC94" s="39" t="s">
        <v>355</v>
      </c>
      <c r="AD94" s="39" t="s">
        <v>355</v>
      </c>
      <c r="AE94" s="39" t="s">
        <v>355</v>
      </c>
      <c r="AF94" s="39" t="s">
        <v>355</v>
      </c>
      <c r="AG94" s="39" t="s">
        <v>355</v>
      </c>
      <c r="AH94" s="39" t="s">
        <v>355</v>
      </c>
      <c r="AI94" s="39" t="s">
        <v>355</v>
      </c>
      <c r="AJ94" s="39" t="s">
        <v>355</v>
      </c>
      <c r="AK94" s="39" t="s">
        <v>355</v>
      </c>
      <c r="AL94" s="39" t="s">
        <v>355</v>
      </c>
      <c r="AM94" s="39" t="s">
        <v>355</v>
      </c>
    </row>
    <row r="95" spans="1:39" x14ac:dyDescent="0.3">
      <c r="A95" s="30" t="s">
        <v>71</v>
      </c>
      <c r="B95" s="30" t="s">
        <v>194</v>
      </c>
      <c r="C95" s="30" t="s">
        <v>195</v>
      </c>
      <c r="D95" s="31" t="s">
        <v>103</v>
      </c>
      <c r="E95" s="31">
        <v>560</v>
      </c>
      <c r="F95" s="31">
        <v>560</v>
      </c>
      <c r="G95" s="32">
        <v>6969</v>
      </c>
      <c r="H95" s="32">
        <v>5885</v>
      </c>
      <c r="I95" s="32">
        <v>5576</v>
      </c>
      <c r="J95" s="32">
        <v>3184</v>
      </c>
      <c r="K95" s="32">
        <v>4838</v>
      </c>
      <c r="L95" s="32">
        <v>6492</v>
      </c>
      <c r="M95" s="32">
        <v>3935</v>
      </c>
      <c r="N95" s="32">
        <v>1787</v>
      </c>
      <c r="O95" s="32">
        <v>1668</v>
      </c>
      <c r="P95" s="32">
        <v>1898</v>
      </c>
      <c r="Q95" s="32">
        <v>1388</v>
      </c>
      <c r="R95" s="32">
        <v>1770</v>
      </c>
      <c r="S95" s="32">
        <v>1445</v>
      </c>
      <c r="T95" s="32">
        <v>1158</v>
      </c>
      <c r="U95" s="32">
        <v>763</v>
      </c>
      <c r="V95" s="32">
        <v>808</v>
      </c>
      <c r="W95" s="32">
        <v>528</v>
      </c>
      <c r="X95" s="32">
        <v>477</v>
      </c>
      <c r="Y95" s="32" t="s">
        <v>358</v>
      </c>
      <c r="Z95" s="32" t="s">
        <v>358</v>
      </c>
      <c r="AA95" s="32">
        <v>923</v>
      </c>
      <c r="AB95" s="32">
        <v>938</v>
      </c>
      <c r="AC95" s="32">
        <v>599</v>
      </c>
      <c r="AD95" s="32" t="s">
        <v>358</v>
      </c>
      <c r="AE95" s="32" t="s">
        <v>358</v>
      </c>
      <c r="AF95" s="32">
        <v>1039</v>
      </c>
      <c r="AG95" s="32">
        <v>1039</v>
      </c>
      <c r="AH95" s="32">
        <v>1039</v>
      </c>
      <c r="AI95" s="32">
        <v>1201</v>
      </c>
      <c r="AJ95" s="39" t="s">
        <v>355</v>
      </c>
      <c r="AK95" s="39" t="s">
        <v>355</v>
      </c>
      <c r="AL95" s="39" t="s">
        <v>355</v>
      </c>
      <c r="AM95" s="39" t="s">
        <v>355</v>
      </c>
    </row>
    <row r="96" spans="1:39" x14ac:dyDescent="0.3">
      <c r="A96" s="30" t="s">
        <v>71</v>
      </c>
      <c r="B96" s="30" t="s">
        <v>194</v>
      </c>
      <c r="C96" s="30" t="s">
        <v>197</v>
      </c>
      <c r="D96" s="31" t="s">
        <v>103</v>
      </c>
      <c r="E96" s="31">
        <v>555</v>
      </c>
      <c r="F96" s="31">
        <v>555</v>
      </c>
      <c r="G96" s="32">
        <v>5936</v>
      </c>
      <c r="H96" s="32">
        <v>5982</v>
      </c>
      <c r="I96" s="32">
        <v>5808</v>
      </c>
      <c r="J96" s="32">
        <v>5362</v>
      </c>
      <c r="K96" s="32">
        <v>5927</v>
      </c>
      <c r="L96" s="32">
        <v>6492</v>
      </c>
      <c r="M96" s="32">
        <v>3935</v>
      </c>
      <c r="N96" s="32">
        <v>1787</v>
      </c>
      <c r="O96" s="32">
        <v>1668</v>
      </c>
      <c r="P96" s="32">
        <v>1898</v>
      </c>
      <c r="Q96" s="32">
        <v>1388</v>
      </c>
      <c r="R96" s="32">
        <v>1770</v>
      </c>
      <c r="S96" s="32">
        <v>1445</v>
      </c>
      <c r="T96" s="32">
        <v>1158</v>
      </c>
      <c r="U96" s="32">
        <v>763</v>
      </c>
      <c r="V96" s="32">
        <v>808</v>
      </c>
      <c r="W96" s="32">
        <v>528</v>
      </c>
      <c r="X96" s="32">
        <v>477</v>
      </c>
      <c r="Y96" s="32" t="s">
        <v>358</v>
      </c>
      <c r="Z96" s="32" t="s">
        <v>358</v>
      </c>
      <c r="AA96" s="32">
        <v>923</v>
      </c>
      <c r="AB96" s="32">
        <v>938</v>
      </c>
      <c r="AC96" s="32">
        <v>599</v>
      </c>
      <c r="AD96" s="32" t="s">
        <v>358</v>
      </c>
      <c r="AE96" s="32" t="s">
        <v>358</v>
      </c>
      <c r="AF96" s="32">
        <v>1039</v>
      </c>
      <c r="AG96" s="32">
        <v>1039</v>
      </c>
      <c r="AH96" s="32">
        <v>1039</v>
      </c>
      <c r="AI96" s="32">
        <v>1201</v>
      </c>
      <c r="AJ96" s="39" t="s">
        <v>355</v>
      </c>
      <c r="AK96" s="39" t="s">
        <v>355</v>
      </c>
      <c r="AL96" s="39" t="s">
        <v>355</v>
      </c>
      <c r="AM96" s="39" t="s">
        <v>355</v>
      </c>
    </row>
    <row r="97" spans="1:39" x14ac:dyDescent="0.3">
      <c r="A97" s="30" t="s">
        <v>71</v>
      </c>
      <c r="B97" s="30" t="s">
        <v>198</v>
      </c>
      <c r="C97" s="30" t="s">
        <v>199</v>
      </c>
      <c r="D97" s="31" t="s">
        <v>103</v>
      </c>
      <c r="E97" s="31">
        <v>584</v>
      </c>
      <c r="F97" s="31">
        <v>584</v>
      </c>
      <c r="G97" s="32">
        <v>1187</v>
      </c>
      <c r="H97" s="32">
        <v>985</v>
      </c>
      <c r="I97" s="32">
        <v>825</v>
      </c>
      <c r="J97" s="32">
        <v>568</v>
      </c>
      <c r="K97" s="32">
        <v>492</v>
      </c>
      <c r="L97" s="32">
        <v>415</v>
      </c>
      <c r="M97" s="39" t="s">
        <v>355</v>
      </c>
      <c r="N97" s="39" t="s">
        <v>355</v>
      </c>
      <c r="O97" s="39" t="s">
        <v>355</v>
      </c>
      <c r="P97" s="39" t="s">
        <v>355</v>
      </c>
      <c r="Q97" s="39" t="s">
        <v>355</v>
      </c>
      <c r="R97" s="39" t="s">
        <v>355</v>
      </c>
      <c r="S97" s="39" t="s">
        <v>355</v>
      </c>
      <c r="T97" s="39" t="s">
        <v>355</v>
      </c>
      <c r="U97" s="39" t="s">
        <v>355</v>
      </c>
      <c r="V97" s="39" t="s">
        <v>355</v>
      </c>
      <c r="W97" s="39" t="s">
        <v>355</v>
      </c>
      <c r="X97" s="39" t="s">
        <v>355</v>
      </c>
      <c r="Y97" s="39" t="s">
        <v>355</v>
      </c>
      <c r="Z97" s="39" t="s">
        <v>355</v>
      </c>
      <c r="AA97" s="39" t="s">
        <v>355</v>
      </c>
      <c r="AB97" s="39" t="s">
        <v>355</v>
      </c>
      <c r="AC97" s="39" t="s">
        <v>355</v>
      </c>
      <c r="AD97" s="39" t="s">
        <v>355</v>
      </c>
      <c r="AE97" s="39" t="s">
        <v>355</v>
      </c>
      <c r="AF97" s="39" t="s">
        <v>355</v>
      </c>
      <c r="AG97" s="39" t="s">
        <v>355</v>
      </c>
      <c r="AH97" s="39" t="s">
        <v>355</v>
      </c>
      <c r="AI97" s="39" t="s">
        <v>355</v>
      </c>
      <c r="AJ97" s="39" t="s">
        <v>355</v>
      </c>
      <c r="AK97" s="39" t="s">
        <v>355</v>
      </c>
      <c r="AL97" s="39" t="s">
        <v>355</v>
      </c>
      <c r="AM97" s="39" t="s">
        <v>355</v>
      </c>
    </row>
    <row r="98" spans="1:39" x14ac:dyDescent="0.3">
      <c r="A98" s="30" t="s">
        <v>71</v>
      </c>
      <c r="B98" s="30" t="s">
        <v>200</v>
      </c>
      <c r="C98" s="30" t="s">
        <v>202</v>
      </c>
      <c r="D98" s="31" t="s">
        <v>103</v>
      </c>
      <c r="E98" s="31">
        <v>519</v>
      </c>
      <c r="F98" s="31">
        <v>519</v>
      </c>
      <c r="G98" s="32">
        <v>3019</v>
      </c>
      <c r="H98" s="32">
        <v>3094</v>
      </c>
      <c r="I98" s="32">
        <v>3121</v>
      </c>
      <c r="J98" s="32">
        <v>3465</v>
      </c>
      <c r="K98" s="32">
        <v>3089</v>
      </c>
      <c r="L98" s="32">
        <v>2713</v>
      </c>
      <c r="M98" s="32">
        <v>3542</v>
      </c>
      <c r="N98" s="32">
        <v>3696</v>
      </c>
      <c r="O98" s="32">
        <v>3811</v>
      </c>
      <c r="P98" s="32">
        <v>3779</v>
      </c>
      <c r="Q98" s="32">
        <v>2211</v>
      </c>
      <c r="R98" s="32">
        <v>4257</v>
      </c>
      <c r="S98" s="32">
        <v>4124</v>
      </c>
      <c r="T98" s="32">
        <v>4503</v>
      </c>
      <c r="U98" s="32">
        <v>4018</v>
      </c>
      <c r="V98" s="32">
        <v>4297</v>
      </c>
      <c r="W98" s="32">
        <v>4350</v>
      </c>
      <c r="X98" s="32">
        <v>4228</v>
      </c>
      <c r="Y98" s="32" t="s">
        <v>359</v>
      </c>
      <c r="Z98" s="32" t="s">
        <v>358</v>
      </c>
      <c r="AA98" s="32">
        <v>4078</v>
      </c>
      <c r="AB98" s="32">
        <v>4910</v>
      </c>
      <c r="AC98" s="32">
        <v>4378</v>
      </c>
      <c r="AD98" s="32" t="s">
        <v>358</v>
      </c>
      <c r="AE98" s="32">
        <v>3415</v>
      </c>
      <c r="AF98" s="32" t="s">
        <v>358</v>
      </c>
      <c r="AG98" s="32" t="s">
        <v>358</v>
      </c>
      <c r="AH98" s="32">
        <v>4175</v>
      </c>
      <c r="AI98" s="32">
        <v>4391</v>
      </c>
      <c r="AJ98" s="39" t="s">
        <v>355</v>
      </c>
      <c r="AK98" s="39" t="s">
        <v>355</v>
      </c>
      <c r="AL98" s="39" t="s">
        <v>355</v>
      </c>
      <c r="AM98" s="39" t="s">
        <v>355</v>
      </c>
    </row>
    <row r="99" spans="1:39" x14ac:dyDescent="0.3">
      <c r="A99" s="30" t="s">
        <v>71</v>
      </c>
      <c r="B99" s="30" t="s">
        <v>200</v>
      </c>
      <c r="C99" s="30" t="s">
        <v>201</v>
      </c>
      <c r="D99" s="31" t="s">
        <v>103</v>
      </c>
      <c r="E99" s="31">
        <v>830</v>
      </c>
      <c r="F99" s="31">
        <v>830</v>
      </c>
      <c r="G99" s="32">
        <v>4337</v>
      </c>
      <c r="H99" s="32">
        <v>4901</v>
      </c>
      <c r="I99" s="32">
        <v>4825</v>
      </c>
      <c r="J99" s="32">
        <v>5961</v>
      </c>
      <c r="K99" s="32">
        <v>5026</v>
      </c>
      <c r="L99" s="32">
        <v>4091</v>
      </c>
      <c r="M99" s="32">
        <v>4097</v>
      </c>
      <c r="N99" s="32">
        <v>4040</v>
      </c>
      <c r="O99" s="32">
        <v>4387</v>
      </c>
      <c r="P99" s="32">
        <v>4273</v>
      </c>
      <c r="Q99" s="32">
        <v>3968</v>
      </c>
      <c r="R99" s="32">
        <v>4151</v>
      </c>
      <c r="S99" s="32">
        <v>4241</v>
      </c>
      <c r="T99" s="32">
        <v>3783</v>
      </c>
      <c r="U99" s="32">
        <v>3363</v>
      </c>
      <c r="V99" s="39" t="s">
        <v>355</v>
      </c>
      <c r="W99" s="39" t="s">
        <v>355</v>
      </c>
      <c r="X99" s="39" t="s">
        <v>355</v>
      </c>
      <c r="Y99" s="39" t="s">
        <v>355</v>
      </c>
      <c r="Z99" s="39" t="s">
        <v>355</v>
      </c>
      <c r="AA99" s="39" t="s">
        <v>355</v>
      </c>
      <c r="AB99" s="39" t="s">
        <v>355</v>
      </c>
      <c r="AC99" s="39" t="s">
        <v>355</v>
      </c>
      <c r="AD99" s="39" t="s">
        <v>355</v>
      </c>
      <c r="AE99" s="39" t="s">
        <v>355</v>
      </c>
      <c r="AF99" s="39" t="s">
        <v>355</v>
      </c>
      <c r="AG99" s="39" t="s">
        <v>355</v>
      </c>
      <c r="AH99" s="39" t="s">
        <v>355</v>
      </c>
      <c r="AI99" s="39" t="s">
        <v>355</v>
      </c>
      <c r="AJ99" s="39" t="s">
        <v>355</v>
      </c>
      <c r="AK99" s="39" t="s">
        <v>355</v>
      </c>
      <c r="AL99" s="39" t="s">
        <v>355</v>
      </c>
      <c r="AM99" s="39" t="s">
        <v>355</v>
      </c>
    </row>
    <row r="100" spans="1:39" x14ac:dyDescent="0.3">
      <c r="A100" s="30" t="s">
        <v>71</v>
      </c>
      <c r="B100" s="30" t="s">
        <v>203</v>
      </c>
      <c r="C100" s="30" t="s">
        <v>160</v>
      </c>
      <c r="D100" s="31" t="s">
        <v>103</v>
      </c>
      <c r="E100" s="31">
        <v>407</v>
      </c>
      <c r="F100" s="31">
        <v>407</v>
      </c>
      <c r="G100" s="32">
        <v>1322</v>
      </c>
      <c r="H100" s="32">
        <v>3643</v>
      </c>
      <c r="I100" s="32">
        <v>3539</v>
      </c>
      <c r="J100" s="32">
        <v>8044</v>
      </c>
      <c r="K100" s="32">
        <v>4663</v>
      </c>
      <c r="L100" s="32">
        <v>1282</v>
      </c>
      <c r="M100" s="32">
        <v>1544</v>
      </c>
      <c r="N100" s="32">
        <v>1440</v>
      </c>
      <c r="O100" s="32">
        <v>1427</v>
      </c>
      <c r="P100" s="32">
        <v>1168</v>
      </c>
      <c r="Q100" s="32">
        <v>1293</v>
      </c>
      <c r="R100" s="32">
        <v>1066</v>
      </c>
      <c r="S100" s="32">
        <v>1065</v>
      </c>
      <c r="T100" s="32">
        <v>1012</v>
      </c>
      <c r="U100" s="32">
        <v>990</v>
      </c>
      <c r="V100" s="32">
        <v>1214</v>
      </c>
      <c r="W100" s="39" t="s">
        <v>355</v>
      </c>
      <c r="X100" s="39" t="s">
        <v>355</v>
      </c>
      <c r="Y100" s="39" t="s">
        <v>355</v>
      </c>
      <c r="Z100" s="39" t="s">
        <v>355</v>
      </c>
      <c r="AA100" s="39" t="s">
        <v>355</v>
      </c>
      <c r="AB100" s="39" t="s">
        <v>355</v>
      </c>
      <c r="AC100" s="39" t="s">
        <v>355</v>
      </c>
      <c r="AD100" s="39" t="s">
        <v>355</v>
      </c>
      <c r="AE100" s="39" t="s">
        <v>355</v>
      </c>
      <c r="AF100" s="39" t="s">
        <v>355</v>
      </c>
      <c r="AG100" s="39" t="s">
        <v>355</v>
      </c>
      <c r="AH100" s="39" t="s">
        <v>355</v>
      </c>
      <c r="AI100" s="39" t="s">
        <v>355</v>
      </c>
      <c r="AJ100" s="39" t="s">
        <v>355</v>
      </c>
      <c r="AK100" s="39" t="s">
        <v>355</v>
      </c>
      <c r="AL100" s="39" t="s">
        <v>355</v>
      </c>
      <c r="AM100" s="39" t="s">
        <v>355</v>
      </c>
    </row>
    <row r="101" spans="1:39" x14ac:dyDescent="0.3">
      <c r="A101" s="30" t="s">
        <v>71</v>
      </c>
      <c r="B101" s="30" t="s">
        <v>204</v>
      </c>
      <c r="C101" s="30" t="s">
        <v>110</v>
      </c>
      <c r="D101" s="31" t="s">
        <v>103</v>
      </c>
      <c r="E101" s="31">
        <v>603</v>
      </c>
      <c r="F101" s="31">
        <v>603</v>
      </c>
      <c r="G101" s="32">
        <v>3230</v>
      </c>
      <c r="H101" s="32">
        <v>2821</v>
      </c>
      <c r="I101" s="32">
        <v>3051</v>
      </c>
      <c r="J101" s="32">
        <v>2300</v>
      </c>
      <c r="K101" s="32">
        <v>3043</v>
      </c>
      <c r="L101" s="32">
        <v>3785</v>
      </c>
      <c r="M101" s="32">
        <v>4734</v>
      </c>
      <c r="N101" s="32">
        <v>4763</v>
      </c>
      <c r="O101" s="32">
        <v>4227</v>
      </c>
      <c r="P101" s="32">
        <v>4613</v>
      </c>
      <c r="Q101" s="32">
        <v>3767</v>
      </c>
      <c r="R101" s="32">
        <v>5001</v>
      </c>
      <c r="S101" s="32">
        <v>3865</v>
      </c>
      <c r="T101" s="32">
        <v>4180</v>
      </c>
      <c r="U101" s="32">
        <v>4086</v>
      </c>
      <c r="V101" s="32">
        <v>3663</v>
      </c>
      <c r="W101" s="32">
        <v>4317</v>
      </c>
      <c r="X101" s="32">
        <v>5137</v>
      </c>
      <c r="Y101" s="32">
        <v>5589</v>
      </c>
      <c r="Z101" s="32">
        <v>6066</v>
      </c>
      <c r="AA101" s="32">
        <v>6000</v>
      </c>
      <c r="AB101" s="32">
        <v>4944</v>
      </c>
      <c r="AC101" s="32">
        <v>7223</v>
      </c>
      <c r="AD101" s="32">
        <v>5338</v>
      </c>
      <c r="AE101" s="32">
        <v>4239</v>
      </c>
      <c r="AF101" s="32">
        <v>4674</v>
      </c>
      <c r="AG101" s="32">
        <v>6209</v>
      </c>
      <c r="AH101" s="32">
        <v>6084</v>
      </c>
      <c r="AI101" s="32">
        <v>5758</v>
      </c>
      <c r="AJ101" s="32">
        <v>6014</v>
      </c>
      <c r="AK101" s="32">
        <v>4418</v>
      </c>
      <c r="AL101" s="32">
        <v>966</v>
      </c>
      <c r="AM101" s="32">
        <v>4652</v>
      </c>
    </row>
    <row r="102" spans="1:39" x14ac:dyDescent="0.3">
      <c r="A102" s="30" t="s">
        <v>71</v>
      </c>
      <c r="B102" s="30" t="s">
        <v>204</v>
      </c>
      <c r="C102" s="30" t="s">
        <v>205</v>
      </c>
      <c r="D102" s="31" t="s">
        <v>103</v>
      </c>
      <c r="E102" s="31">
        <v>604</v>
      </c>
      <c r="F102" s="31">
        <v>604</v>
      </c>
      <c r="G102" s="32">
        <v>4325</v>
      </c>
      <c r="H102" s="32">
        <v>4002</v>
      </c>
      <c r="I102" s="32">
        <v>4141</v>
      </c>
      <c r="J102" s="32">
        <v>3582</v>
      </c>
      <c r="K102" s="32">
        <v>4076</v>
      </c>
      <c r="L102" s="32">
        <v>4570</v>
      </c>
      <c r="M102" s="32">
        <v>5268</v>
      </c>
      <c r="N102" s="32">
        <v>5494</v>
      </c>
      <c r="O102" s="32">
        <v>4811</v>
      </c>
      <c r="P102" s="32">
        <v>5189</v>
      </c>
      <c r="Q102" s="32">
        <v>4734</v>
      </c>
      <c r="R102" s="32">
        <v>4685</v>
      </c>
      <c r="S102" s="32">
        <v>4398</v>
      </c>
      <c r="T102" s="32">
        <v>4881</v>
      </c>
      <c r="U102" s="32">
        <v>4842</v>
      </c>
      <c r="V102" s="32">
        <v>4567</v>
      </c>
      <c r="W102" s="32">
        <v>5190</v>
      </c>
      <c r="X102" s="32">
        <v>6091</v>
      </c>
      <c r="Y102" s="32">
        <v>6581</v>
      </c>
      <c r="Z102" s="32">
        <v>6876</v>
      </c>
      <c r="AA102" s="32">
        <v>7017</v>
      </c>
      <c r="AB102" s="32">
        <v>6389</v>
      </c>
      <c r="AC102" s="32">
        <v>5721</v>
      </c>
      <c r="AD102" s="32">
        <v>5054</v>
      </c>
      <c r="AE102" s="32">
        <v>5626</v>
      </c>
      <c r="AF102" s="32">
        <v>5187</v>
      </c>
      <c r="AG102" s="32">
        <v>6020</v>
      </c>
      <c r="AH102" s="32">
        <v>6575</v>
      </c>
      <c r="AI102" s="32">
        <v>5717</v>
      </c>
      <c r="AJ102" s="32">
        <v>6150</v>
      </c>
      <c r="AK102" s="32">
        <v>5248</v>
      </c>
      <c r="AL102" s="32">
        <v>4736</v>
      </c>
      <c r="AM102" s="32">
        <v>5524</v>
      </c>
    </row>
    <row r="103" spans="1:39" x14ac:dyDescent="0.3">
      <c r="A103" s="30" t="s">
        <v>71</v>
      </c>
      <c r="B103" s="30" t="s">
        <v>85</v>
      </c>
      <c r="C103" s="30" t="s">
        <v>86</v>
      </c>
      <c r="D103" s="31" t="s">
        <v>20</v>
      </c>
      <c r="E103" s="31">
        <v>17</v>
      </c>
      <c r="F103" s="31" t="s">
        <v>315</v>
      </c>
      <c r="G103" s="32">
        <v>8014</v>
      </c>
      <c r="H103" s="32">
        <v>7899</v>
      </c>
      <c r="I103" s="32">
        <v>7180</v>
      </c>
      <c r="J103" s="32">
        <v>7402</v>
      </c>
      <c r="K103" s="32">
        <v>7308</v>
      </c>
      <c r="L103" s="32">
        <v>7213</v>
      </c>
      <c r="M103" s="32">
        <v>7072</v>
      </c>
      <c r="N103" s="32">
        <v>6946</v>
      </c>
      <c r="O103" s="32">
        <v>9196</v>
      </c>
      <c r="P103" s="32">
        <v>8478</v>
      </c>
      <c r="Q103" s="32">
        <v>7506</v>
      </c>
      <c r="R103" s="32">
        <v>6789</v>
      </c>
      <c r="S103" s="32">
        <v>6684</v>
      </c>
      <c r="T103" s="32">
        <v>6532</v>
      </c>
      <c r="U103" s="32">
        <v>6095</v>
      </c>
      <c r="V103" s="32">
        <v>6951</v>
      </c>
      <c r="W103" s="32">
        <v>7032</v>
      </c>
      <c r="X103" s="32">
        <v>7175</v>
      </c>
      <c r="Y103" s="32">
        <v>8067</v>
      </c>
      <c r="Z103" s="32" t="s">
        <v>358</v>
      </c>
      <c r="AA103" s="32">
        <v>8229</v>
      </c>
      <c r="AB103" s="32">
        <v>7838</v>
      </c>
      <c r="AC103" s="32">
        <v>7539</v>
      </c>
      <c r="AD103" s="39" t="s">
        <v>355</v>
      </c>
      <c r="AE103" s="32">
        <v>7296</v>
      </c>
      <c r="AF103" s="32">
        <v>7726</v>
      </c>
      <c r="AG103" s="32">
        <v>7211</v>
      </c>
      <c r="AH103" s="32">
        <v>6905</v>
      </c>
      <c r="AI103" s="32">
        <v>6832</v>
      </c>
      <c r="AJ103" s="39" t="s">
        <v>355</v>
      </c>
      <c r="AK103" s="39" t="s">
        <v>355</v>
      </c>
      <c r="AL103" s="39" t="s">
        <v>355</v>
      </c>
      <c r="AM103" s="39" t="s">
        <v>355</v>
      </c>
    </row>
    <row r="104" spans="1:39" x14ac:dyDescent="0.3">
      <c r="A104" s="30" t="s">
        <v>71</v>
      </c>
      <c r="B104" s="30" t="s">
        <v>85</v>
      </c>
      <c r="C104" s="30" t="s">
        <v>206</v>
      </c>
      <c r="D104" s="31" t="s">
        <v>103</v>
      </c>
      <c r="E104" s="31">
        <v>17.100000000000001</v>
      </c>
      <c r="F104" s="31">
        <v>17.100000000000001</v>
      </c>
      <c r="G104" s="32">
        <v>6388</v>
      </c>
      <c r="H104" s="32">
        <v>6065</v>
      </c>
      <c r="I104" s="32">
        <v>5912</v>
      </c>
      <c r="J104" s="32">
        <v>5406</v>
      </c>
      <c r="K104" s="32">
        <v>5529</v>
      </c>
      <c r="L104" s="32">
        <v>5651</v>
      </c>
      <c r="M104" s="32">
        <v>5364</v>
      </c>
      <c r="N104" s="32">
        <v>5665</v>
      </c>
      <c r="O104" s="32">
        <v>8825</v>
      </c>
      <c r="P104" s="32">
        <v>7124</v>
      </c>
      <c r="Q104" s="32">
        <v>5346</v>
      </c>
      <c r="R104" s="32">
        <v>4791</v>
      </c>
      <c r="S104" s="32">
        <v>5149</v>
      </c>
      <c r="T104" s="32">
        <v>5703</v>
      </c>
      <c r="U104" s="32">
        <v>5037</v>
      </c>
      <c r="V104" s="32">
        <v>5638</v>
      </c>
      <c r="W104" s="32">
        <v>5511</v>
      </c>
      <c r="X104" s="32">
        <v>5439</v>
      </c>
      <c r="Y104" s="32">
        <v>6369</v>
      </c>
      <c r="Z104" s="32" t="s">
        <v>358</v>
      </c>
      <c r="AA104" s="32">
        <v>8229</v>
      </c>
      <c r="AB104" s="32">
        <v>7838</v>
      </c>
      <c r="AC104" s="32">
        <v>7539</v>
      </c>
      <c r="AD104" s="39" t="s">
        <v>355</v>
      </c>
      <c r="AE104" s="32">
        <v>7296</v>
      </c>
      <c r="AF104" s="32">
        <v>7726</v>
      </c>
      <c r="AG104" s="32">
        <v>7211</v>
      </c>
      <c r="AH104" s="32">
        <v>6905</v>
      </c>
      <c r="AI104" s="32">
        <v>6832</v>
      </c>
      <c r="AJ104" s="39" t="s">
        <v>355</v>
      </c>
      <c r="AK104" s="39" t="s">
        <v>355</v>
      </c>
      <c r="AL104" s="39" t="s">
        <v>355</v>
      </c>
      <c r="AM104" s="39" t="s">
        <v>355</v>
      </c>
    </row>
    <row r="105" spans="1:39" x14ac:dyDescent="0.3">
      <c r="A105" s="30" t="s">
        <v>71</v>
      </c>
      <c r="B105" s="30" t="s">
        <v>207</v>
      </c>
      <c r="C105" s="30" t="s">
        <v>208</v>
      </c>
      <c r="D105" s="31" t="s">
        <v>103</v>
      </c>
      <c r="E105" s="31">
        <v>512</v>
      </c>
      <c r="F105" s="31">
        <v>512</v>
      </c>
      <c r="G105" s="32">
        <v>5335</v>
      </c>
      <c r="H105" s="32">
        <v>4781</v>
      </c>
      <c r="I105" s="32">
        <v>4752</v>
      </c>
      <c r="J105" s="32">
        <v>3961</v>
      </c>
      <c r="K105" s="32">
        <v>4288</v>
      </c>
      <c r="L105" s="32">
        <v>4616</v>
      </c>
      <c r="M105" s="32">
        <v>5332</v>
      </c>
      <c r="N105" s="32">
        <v>4772</v>
      </c>
      <c r="O105" s="32">
        <v>3591</v>
      </c>
      <c r="P105" s="32">
        <v>7701</v>
      </c>
      <c r="Q105" s="32">
        <v>1875</v>
      </c>
      <c r="R105" s="32">
        <v>4062</v>
      </c>
      <c r="S105" s="32">
        <v>2722</v>
      </c>
      <c r="T105" s="32">
        <v>3204</v>
      </c>
      <c r="U105" s="32">
        <v>2342</v>
      </c>
      <c r="V105" s="32">
        <v>2359</v>
      </c>
      <c r="W105" s="32">
        <v>3113</v>
      </c>
      <c r="X105" s="32">
        <v>2266</v>
      </c>
      <c r="Y105" s="32">
        <v>3208</v>
      </c>
      <c r="Z105" s="32">
        <v>3412</v>
      </c>
      <c r="AA105" s="32">
        <v>2283</v>
      </c>
      <c r="AB105" s="32">
        <v>2116</v>
      </c>
      <c r="AC105" s="32">
        <v>2549</v>
      </c>
      <c r="AD105" s="32">
        <v>1956</v>
      </c>
      <c r="AE105" s="32">
        <v>2474</v>
      </c>
      <c r="AF105" s="32">
        <v>2847</v>
      </c>
      <c r="AG105" s="32">
        <v>3662</v>
      </c>
      <c r="AH105" s="32">
        <v>3681</v>
      </c>
      <c r="AI105" s="32">
        <v>3882</v>
      </c>
      <c r="AJ105" s="32">
        <v>3185</v>
      </c>
      <c r="AK105" s="32">
        <v>3667</v>
      </c>
      <c r="AL105" s="32">
        <v>3192</v>
      </c>
      <c r="AM105" s="32">
        <v>1853</v>
      </c>
    </row>
    <row r="106" spans="1:39" x14ac:dyDescent="0.3">
      <c r="A106" s="30" t="s">
        <v>71</v>
      </c>
      <c r="B106" s="30" t="s">
        <v>209</v>
      </c>
      <c r="C106" s="30" t="s">
        <v>210</v>
      </c>
      <c r="D106" s="31" t="s">
        <v>103</v>
      </c>
      <c r="E106" s="31">
        <v>674</v>
      </c>
      <c r="F106" s="31">
        <v>674</v>
      </c>
      <c r="G106" s="32">
        <v>9644</v>
      </c>
      <c r="H106" s="32">
        <v>7682</v>
      </c>
      <c r="I106" s="32">
        <v>8335</v>
      </c>
      <c r="J106" s="32">
        <v>4155</v>
      </c>
      <c r="K106" s="32">
        <v>8135</v>
      </c>
      <c r="L106" s="32">
        <v>12115</v>
      </c>
      <c r="M106" s="32">
        <v>12851</v>
      </c>
      <c r="N106" s="32">
        <v>8470</v>
      </c>
      <c r="O106" s="32">
        <v>9428</v>
      </c>
      <c r="P106" s="32">
        <v>9138</v>
      </c>
      <c r="Q106" s="32">
        <v>7707</v>
      </c>
      <c r="R106" s="32">
        <v>8021</v>
      </c>
      <c r="S106" s="32">
        <v>6916</v>
      </c>
      <c r="T106" s="32">
        <v>7851</v>
      </c>
      <c r="U106" s="32">
        <v>7012</v>
      </c>
      <c r="V106" s="32">
        <v>6879</v>
      </c>
      <c r="W106" s="32">
        <v>7172</v>
      </c>
      <c r="X106" s="32">
        <v>8178</v>
      </c>
      <c r="Y106" s="32">
        <v>8668</v>
      </c>
      <c r="Z106" s="32">
        <v>7872</v>
      </c>
      <c r="AA106" s="32">
        <v>7036</v>
      </c>
      <c r="AB106" s="32">
        <v>8082</v>
      </c>
      <c r="AC106" s="32">
        <v>5263</v>
      </c>
      <c r="AD106" s="32">
        <v>7067</v>
      </c>
      <c r="AE106" s="32">
        <v>4904</v>
      </c>
      <c r="AF106" s="32">
        <v>4835</v>
      </c>
      <c r="AG106" s="32">
        <v>4670</v>
      </c>
      <c r="AH106" s="32">
        <v>3660</v>
      </c>
      <c r="AI106" s="32">
        <v>3541</v>
      </c>
      <c r="AJ106" s="32">
        <v>3009</v>
      </c>
      <c r="AK106" s="32">
        <v>3632</v>
      </c>
      <c r="AL106" s="32">
        <v>3771</v>
      </c>
      <c r="AM106" s="32">
        <v>3767</v>
      </c>
    </row>
    <row r="107" spans="1:39" x14ac:dyDescent="0.3">
      <c r="A107" s="30" t="s">
        <v>71</v>
      </c>
      <c r="B107" s="30" t="s">
        <v>209</v>
      </c>
      <c r="C107" s="30" t="s">
        <v>28</v>
      </c>
      <c r="D107" s="31" t="s">
        <v>103</v>
      </c>
      <c r="E107" s="31">
        <v>510</v>
      </c>
      <c r="F107" s="31">
        <v>510</v>
      </c>
      <c r="G107" s="32">
        <v>5020</v>
      </c>
      <c r="H107" s="32">
        <v>3407</v>
      </c>
      <c r="I107" s="32">
        <v>3391</v>
      </c>
      <c r="J107" s="32">
        <v>480</v>
      </c>
      <c r="K107" s="32">
        <v>2410</v>
      </c>
      <c r="L107" s="32">
        <v>4341</v>
      </c>
      <c r="M107" s="32">
        <v>4576</v>
      </c>
      <c r="N107" s="32">
        <v>4381</v>
      </c>
      <c r="O107" s="32">
        <v>4272</v>
      </c>
      <c r="P107" s="32">
        <v>4449</v>
      </c>
      <c r="Q107" s="32">
        <v>3857</v>
      </c>
      <c r="R107" s="32">
        <v>3558</v>
      </c>
      <c r="S107" s="32">
        <v>3551</v>
      </c>
      <c r="T107" s="32">
        <v>4709</v>
      </c>
      <c r="U107" s="32">
        <v>4169</v>
      </c>
      <c r="V107" s="32">
        <v>3846</v>
      </c>
      <c r="W107" s="32">
        <v>3051</v>
      </c>
      <c r="X107" s="32">
        <v>4040</v>
      </c>
      <c r="Y107" s="32">
        <v>4069</v>
      </c>
      <c r="Z107" s="32">
        <v>4084</v>
      </c>
      <c r="AA107" s="32">
        <v>3426</v>
      </c>
      <c r="AB107" s="32">
        <v>3067</v>
      </c>
      <c r="AC107" s="32">
        <v>2828</v>
      </c>
      <c r="AD107" s="32">
        <v>2912</v>
      </c>
      <c r="AE107" s="32">
        <v>2545</v>
      </c>
      <c r="AF107" s="32">
        <v>2618</v>
      </c>
      <c r="AG107" s="32">
        <v>2425</v>
      </c>
      <c r="AH107" s="32">
        <v>2184</v>
      </c>
      <c r="AI107" s="32">
        <v>1927</v>
      </c>
      <c r="AJ107" s="32">
        <v>1941</v>
      </c>
      <c r="AK107" s="32">
        <v>2135</v>
      </c>
      <c r="AL107" s="32">
        <v>2030</v>
      </c>
      <c r="AM107" s="32">
        <v>1627</v>
      </c>
    </row>
    <row r="108" spans="1:39" x14ac:dyDescent="0.3">
      <c r="A108" s="30" t="s">
        <v>71</v>
      </c>
      <c r="B108" s="30" t="s">
        <v>209</v>
      </c>
      <c r="C108" s="30" t="s">
        <v>183</v>
      </c>
      <c r="D108" s="31" t="s">
        <v>103</v>
      </c>
      <c r="E108" s="31">
        <v>511</v>
      </c>
      <c r="F108" s="31">
        <v>511</v>
      </c>
      <c r="G108" s="32">
        <v>7681</v>
      </c>
      <c r="H108" s="32">
        <v>6121</v>
      </c>
      <c r="I108" s="32">
        <v>6150</v>
      </c>
      <c r="J108" s="32">
        <v>3324</v>
      </c>
      <c r="K108" s="32">
        <v>5251</v>
      </c>
      <c r="L108" s="32">
        <v>7178</v>
      </c>
      <c r="M108" s="32">
        <v>7543</v>
      </c>
      <c r="N108" s="32">
        <v>7938</v>
      </c>
      <c r="O108" s="32">
        <v>8139</v>
      </c>
      <c r="P108" s="32">
        <v>8291</v>
      </c>
      <c r="Q108" s="32">
        <v>7118</v>
      </c>
      <c r="R108" s="32">
        <v>6724</v>
      </c>
      <c r="S108" s="32">
        <v>6916</v>
      </c>
      <c r="T108" s="32">
        <v>7851</v>
      </c>
      <c r="U108" s="32">
        <v>7012</v>
      </c>
      <c r="V108" s="32">
        <v>6879</v>
      </c>
      <c r="W108" s="32">
        <v>7172</v>
      </c>
      <c r="X108" s="32">
        <v>8178</v>
      </c>
      <c r="Y108" s="32">
        <v>8668</v>
      </c>
      <c r="Z108" s="32">
        <v>7872</v>
      </c>
      <c r="AA108" s="32">
        <v>7036</v>
      </c>
      <c r="AB108" s="32">
        <v>8082</v>
      </c>
      <c r="AC108" s="32">
        <v>5263</v>
      </c>
      <c r="AD108" s="32">
        <v>7067</v>
      </c>
      <c r="AE108" s="32">
        <v>4904</v>
      </c>
      <c r="AF108" s="32">
        <v>4835</v>
      </c>
      <c r="AG108" s="32">
        <v>4670</v>
      </c>
      <c r="AH108" s="32">
        <v>3660</v>
      </c>
      <c r="AI108" s="32">
        <v>3541</v>
      </c>
      <c r="AJ108" s="32">
        <v>3009</v>
      </c>
      <c r="AK108" s="32">
        <v>3632</v>
      </c>
      <c r="AL108" s="32">
        <v>3771</v>
      </c>
      <c r="AM108" s="32">
        <v>3767</v>
      </c>
    </row>
    <row r="109" spans="1:39" x14ac:dyDescent="0.3">
      <c r="A109" s="30" t="s">
        <v>71</v>
      </c>
      <c r="B109" s="30" t="s">
        <v>209</v>
      </c>
      <c r="C109" s="30" t="s">
        <v>211</v>
      </c>
      <c r="D109" s="31" t="s">
        <v>103</v>
      </c>
      <c r="E109" s="31">
        <v>514</v>
      </c>
      <c r="F109" s="31">
        <v>514</v>
      </c>
      <c r="G109" s="32">
        <v>3304</v>
      </c>
      <c r="H109" s="32">
        <v>3949</v>
      </c>
      <c r="I109" s="32">
        <v>4014</v>
      </c>
      <c r="J109" s="32">
        <v>4999</v>
      </c>
      <c r="K109" s="32">
        <v>4554</v>
      </c>
      <c r="L109" s="32">
        <v>4109</v>
      </c>
      <c r="M109" s="32">
        <v>3626</v>
      </c>
      <c r="N109" s="32">
        <v>2469</v>
      </c>
      <c r="O109" s="32">
        <v>2670</v>
      </c>
      <c r="P109" s="32">
        <v>4009</v>
      </c>
      <c r="Q109" s="32">
        <v>2345</v>
      </c>
      <c r="R109" s="32">
        <v>4352</v>
      </c>
      <c r="S109" s="32">
        <v>3825</v>
      </c>
      <c r="T109" s="32">
        <v>2819</v>
      </c>
      <c r="U109" s="32">
        <v>3783</v>
      </c>
      <c r="V109" s="32">
        <v>4943</v>
      </c>
      <c r="W109" s="32">
        <v>4033</v>
      </c>
      <c r="X109" s="32">
        <v>5001</v>
      </c>
      <c r="Y109" s="32">
        <v>4027</v>
      </c>
      <c r="Z109" s="32">
        <v>5611</v>
      </c>
      <c r="AA109" s="32">
        <v>4367</v>
      </c>
      <c r="AB109" s="32">
        <v>4453</v>
      </c>
      <c r="AC109" s="32">
        <v>3559</v>
      </c>
      <c r="AD109" s="32">
        <v>3543</v>
      </c>
      <c r="AE109" s="32">
        <v>3310</v>
      </c>
      <c r="AF109" s="32">
        <v>3469</v>
      </c>
      <c r="AG109" s="32">
        <v>3553</v>
      </c>
      <c r="AH109" s="32">
        <v>3121</v>
      </c>
      <c r="AI109" s="32">
        <v>2726</v>
      </c>
      <c r="AJ109" s="32">
        <v>2518</v>
      </c>
      <c r="AK109" s="32">
        <v>2117</v>
      </c>
      <c r="AL109" s="32">
        <v>2391</v>
      </c>
      <c r="AM109" s="32">
        <v>5167</v>
      </c>
    </row>
    <row r="110" spans="1:39" x14ac:dyDescent="0.3">
      <c r="A110" s="30" t="s">
        <v>71</v>
      </c>
      <c r="B110" s="30" t="s">
        <v>209</v>
      </c>
      <c r="C110" s="30" t="s">
        <v>212</v>
      </c>
      <c r="D110" s="31" t="s">
        <v>103</v>
      </c>
      <c r="E110" s="31">
        <v>518</v>
      </c>
      <c r="F110" s="31">
        <v>518</v>
      </c>
      <c r="G110" s="32">
        <v>5162</v>
      </c>
      <c r="H110" s="32">
        <v>4078</v>
      </c>
      <c r="I110" s="32">
        <v>4063</v>
      </c>
      <c r="J110" s="32">
        <v>2440</v>
      </c>
      <c r="K110" s="32">
        <v>3233</v>
      </c>
      <c r="L110" s="32">
        <v>4026</v>
      </c>
      <c r="M110" s="32">
        <v>5330</v>
      </c>
      <c r="N110" s="32">
        <v>5266</v>
      </c>
      <c r="O110" s="32">
        <v>5450</v>
      </c>
      <c r="P110" s="32">
        <v>5572</v>
      </c>
      <c r="Q110" s="32">
        <v>3964</v>
      </c>
      <c r="R110" s="32">
        <v>5154</v>
      </c>
      <c r="S110" s="32">
        <v>4935</v>
      </c>
      <c r="T110" s="32">
        <v>5356</v>
      </c>
      <c r="U110" s="32">
        <v>5179</v>
      </c>
      <c r="V110" s="32">
        <v>5009</v>
      </c>
      <c r="W110" s="32">
        <v>5392</v>
      </c>
      <c r="X110" s="32">
        <v>6271</v>
      </c>
      <c r="Y110" s="32">
        <v>6377</v>
      </c>
      <c r="Z110" s="32">
        <v>8594</v>
      </c>
      <c r="AA110" s="32">
        <v>5680</v>
      </c>
      <c r="AB110" s="32">
        <v>7046</v>
      </c>
      <c r="AC110" s="32">
        <v>4865</v>
      </c>
      <c r="AD110" s="32">
        <v>6187</v>
      </c>
      <c r="AE110" s="32">
        <v>5815</v>
      </c>
      <c r="AF110" s="32">
        <v>5936</v>
      </c>
      <c r="AG110" s="32">
        <v>5264</v>
      </c>
      <c r="AH110" s="32">
        <v>4208</v>
      </c>
      <c r="AI110" s="32">
        <v>3834</v>
      </c>
      <c r="AJ110" s="32">
        <v>3770</v>
      </c>
      <c r="AK110" s="32">
        <v>3628</v>
      </c>
      <c r="AL110" s="32">
        <v>4154</v>
      </c>
      <c r="AM110" s="32">
        <v>6519</v>
      </c>
    </row>
    <row r="111" spans="1:39" x14ac:dyDescent="0.3">
      <c r="A111" s="30" t="s">
        <v>71</v>
      </c>
      <c r="B111" s="30" t="s">
        <v>209</v>
      </c>
      <c r="C111" s="30" t="s">
        <v>213</v>
      </c>
      <c r="D111" s="31" t="s">
        <v>103</v>
      </c>
      <c r="E111" s="31">
        <v>582</v>
      </c>
      <c r="F111" s="31">
        <v>582</v>
      </c>
      <c r="G111" s="32">
        <v>2583</v>
      </c>
      <c r="H111" s="32">
        <v>2524</v>
      </c>
      <c r="I111" s="32">
        <v>2506</v>
      </c>
      <c r="J111" s="32">
        <v>2463</v>
      </c>
      <c r="K111" s="32">
        <v>2420</v>
      </c>
      <c r="L111" s="32">
        <v>2378</v>
      </c>
      <c r="M111" s="32">
        <v>2535</v>
      </c>
      <c r="N111" s="32">
        <v>2341</v>
      </c>
      <c r="O111" s="32">
        <v>2461</v>
      </c>
      <c r="P111" s="32">
        <v>2461</v>
      </c>
      <c r="Q111" s="32">
        <v>2154</v>
      </c>
      <c r="R111" s="32">
        <v>2133</v>
      </c>
      <c r="S111" s="32">
        <v>1993</v>
      </c>
      <c r="T111" s="32">
        <v>2553</v>
      </c>
      <c r="U111" s="32">
        <v>2283</v>
      </c>
      <c r="V111" s="32">
        <v>2111</v>
      </c>
      <c r="W111" s="32">
        <v>2491</v>
      </c>
      <c r="X111" s="32">
        <v>2608</v>
      </c>
      <c r="Y111" s="32">
        <v>2753</v>
      </c>
      <c r="Z111" s="32">
        <v>2952</v>
      </c>
      <c r="AA111" s="32">
        <v>2859</v>
      </c>
      <c r="AB111" s="32">
        <v>2828</v>
      </c>
      <c r="AC111" s="32">
        <v>2341</v>
      </c>
      <c r="AD111" s="32" t="s">
        <v>358</v>
      </c>
      <c r="AE111" s="32">
        <v>2396</v>
      </c>
      <c r="AF111" s="32" t="s">
        <v>358</v>
      </c>
      <c r="AG111" s="32" t="s">
        <v>358</v>
      </c>
      <c r="AH111" s="32">
        <v>2163</v>
      </c>
      <c r="AI111" s="32">
        <v>2046</v>
      </c>
      <c r="AJ111" s="39" t="s">
        <v>355</v>
      </c>
      <c r="AK111" s="39" t="s">
        <v>355</v>
      </c>
      <c r="AL111" s="39" t="s">
        <v>355</v>
      </c>
      <c r="AM111" s="39" t="s">
        <v>355</v>
      </c>
    </row>
    <row r="112" spans="1:39" x14ac:dyDescent="0.3">
      <c r="A112" s="30" t="s">
        <v>71</v>
      </c>
      <c r="B112" s="30" t="s">
        <v>214</v>
      </c>
      <c r="C112" s="30" t="s">
        <v>215</v>
      </c>
      <c r="D112" s="31" t="s">
        <v>103</v>
      </c>
      <c r="E112" s="31">
        <v>817</v>
      </c>
      <c r="F112" s="31">
        <v>817</v>
      </c>
      <c r="G112" s="32">
        <v>833</v>
      </c>
      <c r="H112" s="39" t="s">
        <v>355</v>
      </c>
      <c r="I112" s="39" t="s">
        <v>355</v>
      </c>
      <c r="J112" s="39" t="s">
        <v>355</v>
      </c>
      <c r="K112" s="39" t="s">
        <v>355</v>
      </c>
      <c r="L112" s="39" t="s">
        <v>355</v>
      </c>
      <c r="M112" s="39" t="s">
        <v>355</v>
      </c>
      <c r="N112" s="39" t="s">
        <v>355</v>
      </c>
      <c r="O112" s="39" t="s">
        <v>355</v>
      </c>
      <c r="P112" s="39" t="s">
        <v>355</v>
      </c>
      <c r="Q112" s="39" t="s">
        <v>355</v>
      </c>
      <c r="R112" s="39" t="s">
        <v>355</v>
      </c>
      <c r="S112" s="39" t="s">
        <v>355</v>
      </c>
      <c r="T112" s="39" t="s">
        <v>355</v>
      </c>
      <c r="U112" s="39" t="s">
        <v>355</v>
      </c>
      <c r="V112" s="39" t="s">
        <v>355</v>
      </c>
      <c r="W112" s="39" t="s">
        <v>355</v>
      </c>
      <c r="X112" s="39" t="s">
        <v>355</v>
      </c>
      <c r="Y112" s="39" t="s">
        <v>355</v>
      </c>
      <c r="Z112" s="39" t="s">
        <v>355</v>
      </c>
      <c r="AA112" s="39" t="s">
        <v>355</v>
      </c>
      <c r="AB112" s="39" t="s">
        <v>355</v>
      </c>
      <c r="AC112" s="39" t="s">
        <v>355</v>
      </c>
      <c r="AD112" s="39" t="s">
        <v>355</v>
      </c>
      <c r="AE112" s="39" t="s">
        <v>355</v>
      </c>
      <c r="AF112" s="39" t="s">
        <v>355</v>
      </c>
      <c r="AG112" s="39" t="s">
        <v>355</v>
      </c>
      <c r="AH112" s="39" t="s">
        <v>355</v>
      </c>
      <c r="AI112" s="39" t="s">
        <v>355</v>
      </c>
      <c r="AJ112" s="39" t="s">
        <v>355</v>
      </c>
      <c r="AK112" s="39" t="s">
        <v>355</v>
      </c>
      <c r="AL112" s="39" t="s">
        <v>355</v>
      </c>
      <c r="AM112" s="39" t="s">
        <v>355</v>
      </c>
    </row>
    <row r="113" spans="1:39" x14ac:dyDescent="0.3">
      <c r="A113" s="30" t="s">
        <v>71</v>
      </c>
      <c r="B113" s="30" t="s">
        <v>214</v>
      </c>
      <c r="C113" s="30" t="s">
        <v>216</v>
      </c>
      <c r="D113" s="31" t="s">
        <v>103</v>
      </c>
      <c r="E113" s="31">
        <v>901</v>
      </c>
      <c r="F113" s="31">
        <v>901</v>
      </c>
      <c r="G113" s="32">
        <v>1040</v>
      </c>
      <c r="H113" s="32">
        <v>4041</v>
      </c>
      <c r="I113" s="32">
        <v>3774</v>
      </c>
      <c r="J113" s="32">
        <v>9650</v>
      </c>
      <c r="K113" s="32">
        <v>5070</v>
      </c>
      <c r="L113" s="32">
        <v>490</v>
      </c>
      <c r="M113" s="32">
        <v>478</v>
      </c>
      <c r="N113" s="32">
        <v>432</v>
      </c>
      <c r="O113" s="32">
        <v>1301</v>
      </c>
      <c r="P113" s="32">
        <v>861</v>
      </c>
      <c r="Q113" s="32">
        <v>518</v>
      </c>
      <c r="R113" s="32">
        <v>470</v>
      </c>
      <c r="S113" s="32">
        <v>494</v>
      </c>
      <c r="T113" s="32">
        <v>405</v>
      </c>
      <c r="U113" s="32">
        <v>400</v>
      </c>
      <c r="V113" s="32">
        <v>432</v>
      </c>
      <c r="W113" s="32">
        <v>532</v>
      </c>
      <c r="X113" s="32">
        <v>545</v>
      </c>
      <c r="Y113" s="32">
        <v>510</v>
      </c>
      <c r="Z113" s="39" t="s">
        <v>355</v>
      </c>
      <c r="AA113" s="39" t="s">
        <v>355</v>
      </c>
      <c r="AB113" s="39" t="s">
        <v>355</v>
      </c>
      <c r="AC113" s="39" t="s">
        <v>355</v>
      </c>
      <c r="AD113" s="39" t="s">
        <v>355</v>
      </c>
      <c r="AE113" s="39" t="s">
        <v>355</v>
      </c>
      <c r="AF113" s="39" t="s">
        <v>355</v>
      </c>
      <c r="AG113" s="39" t="s">
        <v>355</v>
      </c>
      <c r="AH113" s="39" t="s">
        <v>355</v>
      </c>
      <c r="AI113" s="39" t="s">
        <v>355</v>
      </c>
      <c r="AJ113" s="39" t="s">
        <v>355</v>
      </c>
      <c r="AK113" s="39" t="s">
        <v>355</v>
      </c>
      <c r="AL113" s="39" t="s">
        <v>355</v>
      </c>
      <c r="AM113" s="39" t="s">
        <v>355</v>
      </c>
    </row>
    <row r="114" spans="1:39" x14ac:dyDescent="0.3">
      <c r="A114" s="30" t="s">
        <v>71</v>
      </c>
      <c r="B114" s="30" t="s">
        <v>217</v>
      </c>
      <c r="C114" s="30" t="s">
        <v>218</v>
      </c>
      <c r="D114" s="31" t="s">
        <v>103</v>
      </c>
      <c r="E114" s="31">
        <v>672</v>
      </c>
      <c r="F114" s="31">
        <v>672</v>
      </c>
      <c r="G114" s="32">
        <v>5780</v>
      </c>
      <c r="H114" s="32">
        <v>3907</v>
      </c>
      <c r="I114" s="32">
        <v>4074</v>
      </c>
      <c r="J114" s="32">
        <v>505</v>
      </c>
      <c r="K114" s="32">
        <v>3216</v>
      </c>
      <c r="L114" s="32">
        <v>5927</v>
      </c>
      <c r="M114" s="32">
        <v>6273</v>
      </c>
      <c r="N114" s="32">
        <v>6273</v>
      </c>
      <c r="O114" s="32">
        <v>6273</v>
      </c>
      <c r="P114" s="32">
        <v>6273</v>
      </c>
      <c r="Q114" s="32">
        <v>6273</v>
      </c>
      <c r="R114" s="32">
        <v>5791</v>
      </c>
      <c r="S114" s="39" t="s">
        <v>355</v>
      </c>
      <c r="T114" s="39" t="s">
        <v>355</v>
      </c>
      <c r="U114" s="39" t="s">
        <v>355</v>
      </c>
      <c r="V114" s="39" t="s">
        <v>355</v>
      </c>
      <c r="W114" s="39" t="s">
        <v>355</v>
      </c>
      <c r="X114" s="39" t="s">
        <v>355</v>
      </c>
      <c r="Y114" s="39" t="s">
        <v>355</v>
      </c>
      <c r="Z114" s="39" t="s">
        <v>355</v>
      </c>
      <c r="AA114" s="39" t="s">
        <v>355</v>
      </c>
      <c r="AB114" s="39" t="s">
        <v>355</v>
      </c>
      <c r="AC114" s="39" t="s">
        <v>355</v>
      </c>
      <c r="AD114" s="39" t="s">
        <v>355</v>
      </c>
      <c r="AE114" s="39" t="s">
        <v>355</v>
      </c>
      <c r="AF114" s="39" t="s">
        <v>355</v>
      </c>
      <c r="AG114" s="39" t="s">
        <v>355</v>
      </c>
      <c r="AH114" s="39" t="s">
        <v>355</v>
      </c>
      <c r="AI114" s="39" t="s">
        <v>355</v>
      </c>
      <c r="AJ114" s="39" t="s">
        <v>355</v>
      </c>
      <c r="AK114" s="39" t="s">
        <v>355</v>
      </c>
      <c r="AL114" s="39" t="s">
        <v>355</v>
      </c>
      <c r="AM114" s="39" t="s">
        <v>355</v>
      </c>
    </row>
    <row r="115" spans="1:39" x14ac:dyDescent="0.3">
      <c r="A115" s="30" t="s">
        <v>71</v>
      </c>
      <c r="B115" s="30" t="s">
        <v>219</v>
      </c>
      <c r="C115" s="30" t="s">
        <v>220</v>
      </c>
      <c r="D115" s="31" t="s">
        <v>103</v>
      </c>
      <c r="E115" s="31">
        <v>586</v>
      </c>
      <c r="F115" s="31">
        <v>586</v>
      </c>
      <c r="G115" s="32">
        <v>1482</v>
      </c>
      <c r="H115" s="32">
        <v>2481</v>
      </c>
      <c r="I115" s="32">
        <v>2386</v>
      </c>
      <c r="J115" s="32">
        <v>4843</v>
      </c>
      <c r="K115" s="32">
        <v>2561</v>
      </c>
      <c r="L115" s="32">
        <v>278</v>
      </c>
      <c r="M115" s="39" t="s">
        <v>355</v>
      </c>
      <c r="N115" s="39" t="s">
        <v>355</v>
      </c>
      <c r="O115" s="39" t="s">
        <v>355</v>
      </c>
      <c r="P115" s="39" t="s">
        <v>355</v>
      </c>
      <c r="Q115" s="39" t="s">
        <v>355</v>
      </c>
      <c r="R115" s="39" t="s">
        <v>355</v>
      </c>
      <c r="S115" s="39" t="s">
        <v>355</v>
      </c>
      <c r="T115" s="39" t="s">
        <v>355</v>
      </c>
      <c r="U115" s="39" t="s">
        <v>355</v>
      </c>
      <c r="V115" s="39" t="s">
        <v>355</v>
      </c>
      <c r="W115" s="39" t="s">
        <v>355</v>
      </c>
      <c r="X115" s="39" t="s">
        <v>355</v>
      </c>
      <c r="Y115" s="39" t="s">
        <v>355</v>
      </c>
      <c r="Z115" s="39" t="s">
        <v>355</v>
      </c>
      <c r="AA115" s="39" t="s">
        <v>355</v>
      </c>
      <c r="AB115" s="39" t="s">
        <v>355</v>
      </c>
      <c r="AC115" s="39" t="s">
        <v>355</v>
      </c>
      <c r="AD115" s="39" t="s">
        <v>355</v>
      </c>
      <c r="AE115" s="39" t="s">
        <v>355</v>
      </c>
      <c r="AF115" s="39" t="s">
        <v>355</v>
      </c>
      <c r="AG115" s="39" t="s">
        <v>355</v>
      </c>
      <c r="AH115" s="39" t="s">
        <v>355</v>
      </c>
      <c r="AI115" s="39" t="s">
        <v>355</v>
      </c>
      <c r="AJ115" s="39" t="s">
        <v>355</v>
      </c>
      <c r="AK115" s="39" t="s">
        <v>355</v>
      </c>
      <c r="AL115" s="39" t="s">
        <v>355</v>
      </c>
      <c r="AM115" s="39" t="s">
        <v>355</v>
      </c>
    </row>
    <row r="116" spans="1:39" x14ac:dyDescent="0.3">
      <c r="A116" s="30" t="s">
        <v>36</v>
      </c>
      <c r="B116" s="30" t="s">
        <v>52</v>
      </c>
      <c r="C116" s="30" t="s">
        <v>54</v>
      </c>
      <c r="D116" s="31" t="s">
        <v>20</v>
      </c>
      <c r="E116" s="31">
        <v>11</v>
      </c>
      <c r="F116" s="31" t="s">
        <v>316</v>
      </c>
      <c r="G116" s="32">
        <v>8494</v>
      </c>
      <c r="H116" s="32">
        <v>7765</v>
      </c>
      <c r="I116" s="32">
        <v>6965</v>
      </c>
      <c r="J116" s="32">
        <v>7156</v>
      </c>
      <c r="K116" s="32">
        <v>6845</v>
      </c>
      <c r="L116" s="32">
        <v>6535</v>
      </c>
      <c r="M116" s="32">
        <v>6465</v>
      </c>
      <c r="N116" s="32">
        <v>6298</v>
      </c>
      <c r="O116" s="32">
        <v>10542</v>
      </c>
      <c r="P116" s="32">
        <v>11640</v>
      </c>
      <c r="Q116" s="32">
        <v>10200</v>
      </c>
      <c r="R116" s="32">
        <v>9536</v>
      </c>
      <c r="S116" s="32">
        <v>9016</v>
      </c>
      <c r="T116" s="32">
        <v>8672</v>
      </c>
      <c r="U116" s="32">
        <v>7901</v>
      </c>
      <c r="V116" s="32">
        <v>7775</v>
      </c>
      <c r="W116" s="32">
        <v>7733</v>
      </c>
      <c r="X116" s="32">
        <v>7068</v>
      </c>
      <c r="Y116" s="32">
        <v>7978</v>
      </c>
      <c r="Z116" s="32">
        <v>8589</v>
      </c>
      <c r="AA116" s="32">
        <v>7893</v>
      </c>
      <c r="AB116" s="32">
        <v>7764</v>
      </c>
      <c r="AC116" s="32">
        <v>10631</v>
      </c>
      <c r="AD116" s="32">
        <v>8247</v>
      </c>
      <c r="AE116" s="32">
        <v>6896</v>
      </c>
      <c r="AF116" s="39" t="s">
        <v>355</v>
      </c>
      <c r="AG116" s="39" t="s">
        <v>355</v>
      </c>
      <c r="AH116" s="39" t="s">
        <v>355</v>
      </c>
      <c r="AI116" s="39" t="s">
        <v>355</v>
      </c>
      <c r="AJ116" s="39" t="s">
        <v>355</v>
      </c>
      <c r="AK116" s="39" t="s">
        <v>355</v>
      </c>
      <c r="AL116" s="39" t="s">
        <v>355</v>
      </c>
      <c r="AM116" s="39" t="s">
        <v>355</v>
      </c>
    </row>
    <row r="117" spans="1:39" x14ac:dyDescent="0.3">
      <c r="A117" s="30" t="s">
        <v>36</v>
      </c>
      <c r="B117" s="30" t="s">
        <v>52</v>
      </c>
      <c r="C117" s="30" t="s">
        <v>53</v>
      </c>
      <c r="D117" s="31" t="s">
        <v>20</v>
      </c>
      <c r="E117" s="31">
        <v>14</v>
      </c>
      <c r="F117" s="31" t="s">
        <v>318</v>
      </c>
      <c r="G117" s="32">
        <v>11147</v>
      </c>
      <c r="H117" s="32">
        <v>9375</v>
      </c>
      <c r="I117" s="32">
        <v>8795</v>
      </c>
      <c r="J117" s="32">
        <v>9067</v>
      </c>
      <c r="K117" s="32">
        <v>8950</v>
      </c>
      <c r="L117" s="32">
        <v>8833</v>
      </c>
      <c r="M117" s="32">
        <v>10077</v>
      </c>
      <c r="N117" s="32">
        <v>9345</v>
      </c>
      <c r="O117" s="32">
        <v>7647</v>
      </c>
      <c r="P117" s="32">
        <v>9276</v>
      </c>
      <c r="Q117" s="32">
        <v>9125</v>
      </c>
      <c r="R117" s="32">
        <v>8097</v>
      </c>
      <c r="S117" s="32">
        <v>7863</v>
      </c>
      <c r="T117" s="32">
        <v>6999</v>
      </c>
      <c r="U117" s="32">
        <v>7052</v>
      </c>
      <c r="V117" s="32">
        <v>6900</v>
      </c>
      <c r="W117" s="32">
        <v>6899</v>
      </c>
      <c r="X117" s="32">
        <v>7528</v>
      </c>
      <c r="Y117" s="32">
        <v>7670</v>
      </c>
      <c r="Z117" s="32">
        <v>7516</v>
      </c>
      <c r="AA117" s="32">
        <v>7589</v>
      </c>
      <c r="AB117" s="32">
        <v>7574</v>
      </c>
      <c r="AC117" s="32">
        <v>9678</v>
      </c>
      <c r="AD117" s="32">
        <v>9067</v>
      </c>
      <c r="AE117" s="32">
        <v>6686</v>
      </c>
      <c r="AF117" s="39" t="s">
        <v>355</v>
      </c>
      <c r="AG117" s="39" t="s">
        <v>355</v>
      </c>
      <c r="AH117" s="39" t="s">
        <v>355</v>
      </c>
      <c r="AI117" s="39" t="s">
        <v>355</v>
      </c>
      <c r="AJ117" s="39" t="s">
        <v>355</v>
      </c>
      <c r="AK117" s="39" t="s">
        <v>355</v>
      </c>
      <c r="AL117" s="39" t="s">
        <v>355</v>
      </c>
      <c r="AM117" s="39" t="s">
        <v>355</v>
      </c>
    </row>
    <row r="118" spans="1:39" x14ac:dyDescent="0.3">
      <c r="A118" s="30" t="s">
        <v>36</v>
      </c>
      <c r="B118" s="30" t="s">
        <v>52</v>
      </c>
      <c r="C118" s="30" t="s">
        <v>221</v>
      </c>
      <c r="D118" s="31" t="s">
        <v>103</v>
      </c>
      <c r="E118" s="31">
        <v>542</v>
      </c>
      <c r="F118" s="31">
        <v>542</v>
      </c>
      <c r="G118" s="32">
        <v>11192</v>
      </c>
      <c r="H118" s="32">
        <v>10793</v>
      </c>
      <c r="I118" s="32">
        <v>10499</v>
      </c>
      <c r="J118" s="32">
        <v>10221</v>
      </c>
      <c r="K118" s="32">
        <v>9745</v>
      </c>
      <c r="L118" s="32">
        <v>9269</v>
      </c>
      <c r="M118" s="32">
        <v>9714</v>
      </c>
      <c r="N118" s="32">
        <v>9591</v>
      </c>
      <c r="O118" s="32">
        <v>10077</v>
      </c>
      <c r="P118" s="32">
        <v>15599</v>
      </c>
      <c r="Q118" s="32">
        <v>13348</v>
      </c>
      <c r="R118" s="32">
        <v>11762</v>
      </c>
      <c r="S118" s="32">
        <v>10095</v>
      </c>
      <c r="T118" s="32">
        <v>8950</v>
      </c>
      <c r="U118" s="32">
        <v>8901</v>
      </c>
      <c r="V118" s="32">
        <v>8262</v>
      </c>
      <c r="W118" s="32">
        <v>8552</v>
      </c>
      <c r="X118" s="32">
        <v>8490</v>
      </c>
      <c r="Y118" s="32">
        <v>10017</v>
      </c>
      <c r="Z118" s="32">
        <v>9538</v>
      </c>
      <c r="AA118" s="32">
        <v>8418</v>
      </c>
      <c r="AB118" s="32">
        <v>7763</v>
      </c>
      <c r="AC118" s="32">
        <v>12290</v>
      </c>
      <c r="AD118" s="32">
        <v>10011</v>
      </c>
      <c r="AE118" s="32" t="s">
        <v>358</v>
      </c>
      <c r="AF118" s="32">
        <v>7974</v>
      </c>
      <c r="AG118" s="32">
        <v>7687</v>
      </c>
      <c r="AH118" s="32">
        <v>7665</v>
      </c>
      <c r="AI118" s="32">
        <v>7492</v>
      </c>
      <c r="AJ118" s="39" t="s">
        <v>355</v>
      </c>
      <c r="AK118" s="39" t="s">
        <v>355</v>
      </c>
      <c r="AL118" s="39" t="s">
        <v>355</v>
      </c>
      <c r="AM118" s="39" t="s">
        <v>355</v>
      </c>
    </row>
    <row r="119" spans="1:39" x14ac:dyDescent="0.3">
      <c r="A119" s="30" t="s">
        <v>36</v>
      </c>
      <c r="B119" s="30" t="s">
        <v>52</v>
      </c>
      <c r="C119" s="30" t="s">
        <v>222</v>
      </c>
      <c r="D119" s="31" t="s">
        <v>103</v>
      </c>
      <c r="E119" s="31">
        <v>543</v>
      </c>
      <c r="F119" s="31">
        <v>543</v>
      </c>
      <c r="G119" s="32">
        <v>8554</v>
      </c>
      <c r="H119" s="32">
        <v>8112</v>
      </c>
      <c r="I119" s="32">
        <v>7808</v>
      </c>
      <c r="J119" s="32">
        <v>7312</v>
      </c>
      <c r="K119" s="32">
        <v>7089</v>
      </c>
      <c r="L119" s="32">
        <v>6866</v>
      </c>
      <c r="M119" s="32">
        <v>6787</v>
      </c>
      <c r="N119" s="32">
        <v>6887</v>
      </c>
      <c r="O119" s="32">
        <v>6088</v>
      </c>
      <c r="P119" s="32">
        <v>6209</v>
      </c>
      <c r="Q119" s="32">
        <v>6306</v>
      </c>
      <c r="R119" s="32">
        <v>6361</v>
      </c>
      <c r="S119" s="32">
        <v>10095</v>
      </c>
      <c r="T119" s="32">
        <v>8950</v>
      </c>
      <c r="U119" s="32">
        <v>8901</v>
      </c>
      <c r="V119" s="32">
        <v>8262</v>
      </c>
      <c r="W119" s="32">
        <v>8552</v>
      </c>
      <c r="X119" s="32">
        <v>8490</v>
      </c>
      <c r="Y119" s="32">
        <v>10017</v>
      </c>
      <c r="Z119" s="32">
        <v>9538</v>
      </c>
      <c r="AA119" s="32">
        <v>8418</v>
      </c>
      <c r="AB119" s="32">
        <v>7763</v>
      </c>
      <c r="AC119" s="32">
        <v>12290</v>
      </c>
      <c r="AD119" s="32">
        <v>10011</v>
      </c>
      <c r="AE119" s="32" t="s">
        <v>358</v>
      </c>
      <c r="AF119" s="32">
        <v>7974</v>
      </c>
      <c r="AG119" s="32">
        <v>7687</v>
      </c>
      <c r="AH119" s="32">
        <v>7665</v>
      </c>
      <c r="AI119" s="32">
        <v>7492</v>
      </c>
      <c r="AJ119" s="39" t="s">
        <v>355</v>
      </c>
      <c r="AK119" s="39" t="s">
        <v>355</v>
      </c>
      <c r="AL119" s="39" t="s">
        <v>355</v>
      </c>
      <c r="AM119" s="39" t="s">
        <v>355</v>
      </c>
    </row>
    <row r="120" spans="1:39" x14ac:dyDescent="0.3">
      <c r="A120" s="30" t="s">
        <v>36</v>
      </c>
      <c r="B120" s="30" t="s">
        <v>52</v>
      </c>
      <c r="C120" s="30" t="s">
        <v>223</v>
      </c>
      <c r="D120" s="31" t="s">
        <v>103</v>
      </c>
      <c r="E120" s="31">
        <v>544</v>
      </c>
      <c r="F120" s="31">
        <v>544</v>
      </c>
      <c r="G120" s="32">
        <v>7570</v>
      </c>
      <c r="H120" s="32">
        <v>7104</v>
      </c>
      <c r="I120" s="32">
        <v>6926</v>
      </c>
      <c r="J120" s="32">
        <v>6244</v>
      </c>
      <c r="K120" s="32">
        <v>6389</v>
      </c>
      <c r="L120" s="32">
        <v>6535</v>
      </c>
      <c r="M120" s="32">
        <v>6465</v>
      </c>
      <c r="N120" s="32">
        <v>6298</v>
      </c>
      <c r="O120" s="32">
        <v>10542</v>
      </c>
      <c r="P120" s="32">
        <v>11640</v>
      </c>
      <c r="Q120" s="32">
        <v>10200</v>
      </c>
      <c r="R120" s="32">
        <v>9536</v>
      </c>
      <c r="S120" s="32">
        <v>9016</v>
      </c>
      <c r="T120" s="32">
        <v>8672</v>
      </c>
      <c r="U120" s="32">
        <v>7901</v>
      </c>
      <c r="V120" s="32">
        <v>7775</v>
      </c>
      <c r="W120" s="32">
        <v>7733</v>
      </c>
      <c r="X120" s="32">
        <v>7068</v>
      </c>
      <c r="Y120" s="32">
        <v>7978</v>
      </c>
      <c r="Z120" s="32">
        <v>8589</v>
      </c>
      <c r="AA120" s="32">
        <v>7893</v>
      </c>
      <c r="AB120" s="32">
        <v>7764</v>
      </c>
      <c r="AC120" s="32">
        <v>10631</v>
      </c>
      <c r="AD120" s="32">
        <v>8247</v>
      </c>
      <c r="AE120" s="32">
        <v>6896</v>
      </c>
      <c r="AF120" s="39" t="s">
        <v>355</v>
      </c>
      <c r="AG120" s="39" t="s">
        <v>355</v>
      </c>
      <c r="AH120" s="39" t="s">
        <v>355</v>
      </c>
      <c r="AI120" s="39" t="s">
        <v>355</v>
      </c>
      <c r="AJ120" s="39" t="s">
        <v>355</v>
      </c>
      <c r="AK120" s="39" t="s">
        <v>355</v>
      </c>
      <c r="AL120" s="39" t="s">
        <v>355</v>
      </c>
      <c r="AM120" s="39" t="s">
        <v>355</v>
      </c>
    </row>
    <row r="121" spans="1:39" x14ac:dyDescent="0.3">
      <c r="A121" s="30" t="s">
        <v>36</v>
      </c>
      <c r="B121" s="30" t="s">
        <v>52</v>
      </c>
      <c r="C121" s="30" t="s">
        <v>55</v>
      </c>
      <c r="D121" s="31" t="s">
        <v>20</v>
      </c>
      <c r="E121" s="31">
        <v>10</v>
      </c>
      <c r="F121" s="31" t="s">
        <v>319</v>
      </c>
      <c r="G121" s="32">
        <v>11360</v>
      </c>
      <c r="H121" s="32">
        <v>9794</v>
      </c>
      <c r="I121" s="32">
        <v>9550</v>
      </c>
      <c r="J121" s="32">
        <v>9272</v>
      </c>
      <c r="K121" s="32">
        <v>7967</v>
      </c>
      <c r="L121" s="32">
        <v>6661</v>
      </c>
      <c r="M121" s="32">
        <v>8066</v>
      </c>
      <c r="N121" s="32">
        <v>8284</v>
      </c>
      <c r="O121" s="32">
        <v>9572</v>
      </c>
      <c r="P121" s="32">
        <v>13134</v>
      </c>
      <c r="Q121" s="32">
        <v>12108</v>
      </c>
      <c r="R121" s="32">
        <v>10683</v>
      </c>
      <c r="S121" s="32">
        <v>10171</v>
      </c>
      <c r="T121" s="32">
        <v>8435</v>
      </c>
      <c r="U121" s="32">
        <v>8323</v>
      </c>
      <c r="V121" s="32">
        <v>8749</v>
      </c>
      <c r="W121" s="32">
        <v>8780</v>
      </c>
      <c r="X121" s="32">
        <v>9241</v>
      </c>
      <c r="Y121" s="32">
        <v>9960</v>
      </c>
      <c r="Z121" s="32">
        <v>10742</v>
      </c>
      <c r="AA121" s="32">
        <v>9047</v>
      </c>
      <c r="AB121" s="32">
        <v>8963</v>
      </c>
      <c r="AC121" s="32">
        <v>9232</v>
      </c>
      <c r="AD121" s="32">
        <v>10557</v>
      </c>
      <c r="AE121" s="32">
        <v>6962</v>
      </c>
      <c r="AF121" s="32">
        <v>6080</v>
      </c>
      <c r="AG121" s="32">
        <v>6276</v>
      </c>
      <c r="AH121" s="32">
        <v>6505</v>
      </c>
      <c r="AI121" s="32">
        <v>6310</v>
      </c>
      <c r="AJ121" s="32">
        <v>5493</v>
      </c>
      <c r="AK121" s="32">
        <v>6295</v>
      </c>
      <c r="AL121" s="32">
        <v>6121</v>
      </c>
      <c r="AM121" s="32">
        <v>5000</v>
      </c>
    </row>
    <row r="122" spans="1:39" ht="15" customHeight="1" x14ac:dyDescent="0.3">
      <c r="A122" s="30" t="s">
        <v>71</v>
      </c>
      <c r="B122" s="30" t="s">
        <v>87</v>
      </c>
      <c r="C122" s="30" t="s">
        <v>89</v>
      </c>
      <c r="D122" s="31" t="s">
        <v>20</v>
      </c>
      <c r="E122" s="31">
        <v>8115</v>
      </c>
      <c r="F122" s="31" t="s">
        <v>317</v>
      </c>
      <c r="G122" s="32">
        <v>5264</v>
      </c>
      <c r="H122" s="32">
        <v>5215.5</v>
      </c>
      <c r="I122" s="32">
        <v>4881</v>
      </c>
      <c r="J122" s="32">
        <v>4410</v>
      </c>
      <c r="K122" s="32">
        <v>4423</v>
      </c>
      <c r="L122" s="32">
        <v>4436</v>
      </c>
      <c r="M122" s="32">
        <v>4721</v>
      </c>
      <c r="N122" s="32">
        <v>4787</v>
      </c>
      <c r="O122" s="32">
        <v>4637</v>
      </c>
      <c r="P122" s="32">
        <v>5215</v>
      </c>
      <c r="Q122" s="32">
        <v>5063</v>
      </c>
      <c r="R122" s="32">
        <v>4927</v>
      </c>
      <c r="S122" s="32">
        <v>4013</v>
      </c>
      <c r="T122" s="32">
        <v>4919</v>
      </c>
      <c r="U122" s="32">
        <v>3924</v>
      </c>
      <c r="V122" s="32">
        <v>3036</v>
      </c>
      <c r="W122" s="32">
        <v>3430</v>
      </c>
      <c r="X122" s="32">
        <v>3458</v>
      </c>
      <c r="Y122" s="32">
        <v>5389</v>
      </c>
      <c r="Z122" s="32">
        <v>3687</v>
      </c>
      <c r="AA122" s="32">
        <v>4730</v>
      </c>
      <c r="AB122" s="32">
        <v>3602</v>
      </c>
      <c r="AC122" s="32">
        <v>3410</v>
      </c>
      <c r="AD122" s="32">
        <v>2312</v>
      </c>
      <c r="AE122" s="32" t="s">
        <v>358</v>
      </c>
      <c r="AF122" s="32">
        <v>3252</v>
      </c>
      <c r="AG122" s="32">
        <v>2505</v>
      </c>
      <c r="AH122" s="32">
        <v>2457</v>
      </c>
      <c r="AI122" s="32">
        <v>2334</v>
      </c>
      <c r="AJ122" s="32">
        <v>2560</v>
      </c>
      <c r="AK122" s="32">
        <v>2736</v>
      </c>
      <c r="AL122" s="32">
        <v>2355</v>
      </c>
      <c r="AM122" s="32">
        <v>1000</v>
      </c>
    </row>
    <row r="123" spans="1:39" x14ac:dyDescent="0.3">
      <c r="A123" s="30" t="s">
        <v>71</v>
      </c>
      <c r="B123" s="30" t="s">
        <v>87</v>
      </c>
      <c r="C123" s="30" t="s">
        <v>88</v>
      </c>
      <c r="D123" s="31" t="s">
        <v>20</v>
      </c>
      <c r="E123" s="31">
        <v>13</v>
      </c>
      <c r="F123" s="31" t="s">
        <v>320</v>
      </c>
      <c r="G123" s="32">
        <v>5412</v>
      </c>
      <c r="H123" s="32">
        <v>5274</v>
      </c>
      <c r="I123" s="32">
        <v>4198</v>
      </c>
      <c r="J123" s="32">
        <v>4240</v>
      </c>
      <c r="K123" s="32">
        <v>4208</v>
      </c>
      <c r="L123" s="32">
        <v>4176</v>
      </c>
      <c r="M123" s="32">
        <v>4535</v>
      </c>
      <c r="N123" s="32">
        <v>4564</v>
      </c>
      <c r="O123" s="32">
        <v>4955</v>
      </c>
      <c r="P123" s="32">
        <v>4345</v>
      </c>
      <c r="Q123" s="32">
        <v>3830</v>
      </c>
      <c r="R123" s="32">
        <v>3274</v>
      </c>
      <c r="S123" s="32">
        <v>3354</v>
      </c>
      <c r="T123" s="32">
        <v>3380</v>
      </c>
      <c r="U123" s="32">
        <v>3191</v>
      </c>
      <c r="V123" s="32">
        <v>3070</v>
      </c>
      <c r="W123" s="32">
        <v>3223</v>
      </c>
      <c r="X123" s="32">
        <v>3216</v>
      </c>
      <c r="Y123" s="32">
        <v>5077</v>
      </c>
      <c r="Z123" s="32">
        <v>3893</v>
      </c>
      <c r="AA123" s="32">
        <v>3802</v>
      </c>
      <c r="AB123" s="32">
        <v>3230</v>
      </c>
      <c r="AC123" s="32">
        <v>4503</v>
      </c>
      <c r="AD123" s="32">
        <v>2977</v>
      </c>
      <c r="AE123" s="32" t="s">
        <v>358</v>
      </c>
      <c r="AF123" s="32">
        <v>3128</v>
      </c>
      <c r="AG123" s="32">
        <v>3016</v>
      </c>
      <c r="AH123" s="32">
        <v>2944</v>
      </c>
      <c r="AI123" s="32">
        <v>2860</v>
      </c>
      <c r="AJ123" s="39" t="s">
        <v>355</v>
      </c>
      <c r="AK123" s="39" t="s">
        <v>355</v>
      </c>
      <c r="AL123" s="39" t="s">
        <v>355</v>
      </c>
      <c r="AM123" s="39" t="s">
        <v>355</v>
      </c>
    </row>
    <row r="124" spans="1:39" x14ac:dyDescent="0.3">
      <c r="A124" s="30" t="s">
        <v>71</v>
      </c>
      <c r="B124" s="30" t="s">
        <v>87</v>
      </c>
      <c r="C124" s="30" t="s">
        <v>68</v>
      </c>
      <c r="D124" s="31" t="s">
        <v>20</v>
      </c>
      <c r="E124" s="31">
        <v>326</v>
      </c>
      <c r="F124" s="31" t="s">
        <v>321</v>
      </c>
      <c r="G124" s="32">
        <v>5495</v>
      </c>
      <c r="H124" s="32">
        <v>5468</v>
      </c>
      <c r="I124" s="32">
        <v>5396</v>
      </c>
      <c r="J124" s="32">
        <v>5451</v>
      </c>
      <c r="K124" s="32">
        <v>5192</v>
      </c>
      <c r="L124" s="32">
        <v>4933</v>
      </c>
      <c r="M124" s="32">
        <v>5520</v>
      </c>
      <c r="N124" s="32">
        <v>5442</v>
      </c>
      <c r="O124" s="32">
        <v>4930</v>
      </c>
      <c r="P124" s="32">
        <v>4245</v>
      </c>
      <c r="Q124" s="32">
        <v>3756</v>
      </c>
      <c r="R124" s="32">
        <v>3726</v>
      </c>
      <c r="S124" s="32">
        <v>4949</v>
      </c>
      <c r="T124" s="32">
        <v>4757</v>
      </c>
      <c r="U124" s="32">
        <v>5158</v>
      </c>
      <c r="V124" s="32">
        <v>4967</v>
      </c>
      <c r="W124" s="32">
        <v>4874</v>
      </c>
      <c r="X124" s="32">
        <v>4277</v>
      </c>
      <c r="Y124" s="32">
        <v>4563</v>
      </c>
      <c r="Z124" s="32">
        <v>4612</v>
      </c>
      <c r="AA124" s="32">
        <v>3720</v>
      </c>
      <c r="AB124" s="32">
        <v>4163</v>
      </c>
      <c r="AC124" s="32">
        <v>2596</v>
      </c>
      <c r="AD124" s="32">
        <v>3755</v>
      </c>
      <c r="AE124" s="32">
        <v>3178</v>
      </c>
      <c r="AF124" s="32">
        <v>3375</v>
      </c>
      <c r="AG124" s="32">
        <v>3269</v>
      </c>
      <c r="AH124" s="32">
        <v>2803</v>
      </c>
      <c r="AI124" s="32">
        <v>2177</v>
      </c>
      <c r="AJ124" s="39" t="s">
        <v>355</v>
      </c>
      <c r="AK124" s="39" t="s">
        <v>355</v>
      </c>
      <c r="AL124" s="39" t="s">
        <v>355</v>
      </c>
      <c r="AM124" s="39" t="s">
        <v>355</v>
      </c>
    </row>
    <row r="125" spans="1:39" x14ac:dyDescent="0.3">
      <c r="A125" s="30" t="s">
        <v>71</v>
      </c>
      <c r="B125" s="30" t="s">
        <v>224</v>
      </c>
      <c r="C125" s="30" t="s">
        <v>225</v>
      </c>
      <c r="D125" s="31" t="s">
        <v>103</v>
      </c>
      <c r="E125" s="31">
        <v>540</v>
      </c>
      <c r="F125" s="31">
        <v>540</v>
      </c>
      <c r="G125" s="32">
        <v>3811</v>
      </c>
      <c r="H125" s="32">
        <v>2736</v>
      </c>
      <c r="I125" s="32">
        <v>2951</v>
      </c>
      <c r="J125" s="32">
        <v>668</v>
      </c>
      <c r="K125" s="32">
        <v>2696</v>
      </c>
      <c r="L125" s="32">
        <v>4724</v>
      </c>
      <c r="M125" s="32">
        <v>4579</v>
      </c>
      <c r="N125" s="32">
        <v>4912</v>
      </c>
      <c r="O125" s="32">
        <v>5274</v>
      </c>
      <c r="P125" s="32">
        <v>5475</v>
      </c>
      <c r="Q125" s="32">
        <v>5576</v>
      </c>
      <c r="R125" s="32">
        <v>4767</v>
      </c>
      <c r="S125" s="32">
        <v>5115</v>
      </c>
      <c r="T125" s="32">
        <v>5325</v>
      </c>
      <c r="U125" s="32">
        <v>5858</v>
      </c>
      <c r="V125" s="32">
        <v>5365</v>
      </c>
      <c r="W125" s="32">
        <v>5236</v>
      </c>
      <c r="X125" s="32">
        <v>4833</v>
      </c>
      <c r="Y125" s="32">
        <v>6023</v>
      </c>
      <c r="Z125" s="32" t="s">
        <v>358</v>
      </c>
      <c r="AA125" s="32">
        <v>6014</v>
      </c>
      <c r="AB125" s="32">
        <v>5617</v>
      </c>
      <c r="AC125" s="32">
        <v>4718</v>
      </c>
      <c r="AD125" s="39" t="s">
        <v>355</v>
      </c>
      <c r="AE125" s="39" t="s">
        <v>355</v>
      </c>
      <c r="AF125" s="39" t="s">
        <v>355</v>
      </c>
      <c r="AG125" s="39" t="s">
        <v>355</v>
      </c>
      <c r="AH125" s="39" t="s">
        <v>355</v>
      </c>
      <c r="AI125" s="39" t="s">
        <v>355</v>
      </c>
      <c r="AJ125" s="39" t="s">
        <v>355</v>
      </c>
      <c r="AK125" s="39" t="s">
        <v>355</v>
      </c>
      <c r="AL125" s="39" t="s">
        <v>355</v>
      </c>
      <c r="AM125" s="39" t="s">
        <v>355</v>
      </c>
    </row>
    <row r="126" spans="1:39" x14ac:dyDescent="0.3">
      <c r="A126" s="30" t="s">
        <v>71</v>
      </c>
      <c r="B126" s="30" t="s">
        <v>226</v>
      </c>
      <c r="C126" s="30" t="s">
        <v>227</v>
      </c>
      <c r="D126" s="31" t="s">
        <v>103</v>
      </c>
      <c r="E126" s="31">
        <v>613</v>
      </c>
      <c r="F126" s="31">
        <v>613</v>
      </c>
      <c r="G126" s="32">
        <v>3142</v>
      </c>
      <c r="H126" s="32">
        <v>3619</v>
      </c>
      <c r="I126" s="32">
        <v>3549</v>
      </c>
      <c r="J126" s="32">
        <v>4608</v>
      </c>
      <c r="K126" s="32">
        <v>3666</v>
      </c>
      <c r="L126" s="32">
        <v>2725</v>
      </c>
      <c r="M126" s="32">
        <v>3048</v>
      </c>
      <c r="N126" s="32">
        <v>3115</v>
      </c>
      <c r="O126" s="32">
        <v>3269</v>
      </c>
      <c r="P126" s="32">
        <v>3483</v>
      </c>
      <c r="Q126" s="32">
        <v>3182</v>
      </c>
      <c r="R126" s="32">
        <v>3008</v>
      </c>
      <c r="S126" s="32">
        <v>3187</v>
      </c>
      <c r="T126" s="32">
        <v>2829</v>
      </c>
      <c r="U126" s="32">
        <v>2819</v>
      </c>
      <c r="V126" s="32">
        <v>2807</v>
      </c>
      <c r="W126" s="32">
        <v>3003</v>
      </c>
      <c r="X126" s="32" t="s">
        <v>358</v>
      </c>
      <c r="Y126" s="32" t="s">
        <v>358</v>
      </c>
      <c r="Z126" s="32" t="s">
        <v>358</v>
      </c>
      <c r="AA126" s="32">
        <v>3400</v>
      </c>
      <c r="AB126" s="32">
        <v>3207</v>
      </c>
      <c r="AC126" s="32">
        <v>3427</v>
      </c>
      <c r="AD126" s="32" t="s">
        <v>358</v>
      </c>
      <c r="AE126" s="32">
        <v>3104</v>
      </c>
      <c r="AF126" s="32" t="s">
        <v>358</v>
      </c>
      <c r="AG126" s="32" t="s">
        <v>358</v>
      </c>
      <c r="AH126" s="32">
        <v>3256</v>
      </c>
      <c r="AI126" s="32">
        <v>3645</v>
      </c>
      <c r="AJ126" s="39" t="s">
        <v>355</v>
      </c>
      <c r="AK126" s="39" t="s">
        <v>355</v>
      </c>
      <c r="AL126" s="39" t="s">
        <v>355</v>
      </c>
      <c r="AM126" s="39" t="s">
        <v>355</v>
      </c>
    </row>
    <row r="127" spans="1:39" x14ac:dyDescent="0.3">
      <c r="A127" s="30" t="s">
        <v>71</v>
      </c>
      <c r="B127" s="30" t="s">
        <v>228</v>
      </c>
      <c r="C127" s="30" t="s">
        <v>229</v>
      </c>
      <c r="D127" s="31" t="s">
        <v>103</v>
      </c>
      <c r="E127" s="31">
        <v>976</v>
      </c>
      <c r="F127" s="31">
        <v>976</v>
      </c>
      <c r="G127" s="32">
        <v>1979</v>
      </c>
      <c r="H127" s="32">
        <v>2128</v>
      </c>
      <c r="I127" s="32">
        <v>1921</v>
      </c>
      <c r="J127" s="32">
        <v>2103</v>
      </c>
      <c r="K127" s="32">
        <v>1847</v>
      </c>
      <c r="L127" s="32">
        <v>1591</v>
      </c>
      <c r="M127" s="32">
        <v>429</v>
      </c>
      <c r="N127" s="32">
        <v>405</v>
      </c>
      <c r="O127" s="32">
        <v>381</v>
      </c>
      <c r="P127" s="39" t="s">
        <v>355</v>
      </c>
      <c r="Q127" s="39" t="s">
        <v>355</v>
      </c>
      <c r="R127" s="39" t="s">
        <v>355</v>
      </c>
      <c r="S127" s="39" t="s">
        <v>355</v>
      </c>
      <c r="T127" s="39" t="s">
        <v>355</v>
      </c>
      <c r="U127" s="39" t="s">
        <v>355</v>
      </c>
      <c r="V127" s="39" t="s">
        <v>355</v>
      </c>
      <c r="W127" s="39" t="s">
        <v>355</v>
      </c>
      <c r="X127" s="39" t="s">
        <v>355</v>
      </c>
      <c r="Y127" s="39" t="s">
        <v>355</v>
      </c>
      <c r="Z127" s="39" t="s">
        <v>355</v>
      </c>
      <c r="AA127" s="39" t="s">
        <v>355</v>
      </c>
      <c r="AB127" s="39" t="s">
        <v>355</v>
      </c>
      <c r="AC127" s="39" t="s">
        <v>355</v>
      </c>
      <c r="AD127" s="39" t="s">
        <v>355</v>
      </c>
      <c r="AE127" s="39" t="s">
        <v>355</v>
      </c>
      <c r="AF127" s="39" t="s">
        <v>355</v>
      </c>
      <c r="AG127" s="39" t="s">
        <v>355</v>
      </c>
      <c r="AH127" s="39" t="s">
        <v>355</v>
      </c>
      <c r="AI127" s="39" t="s">
        <v>355</v>
      </c>
      <c r="AJ127" s="39" t="s">
        <v>355</v>
      </c>
      <c r="AK127" s="39" t="s">
        <v>355</v>
      </c>
      <c r="AL127" s="39" t="s">
        <v>355</v>
      </c>
      <c r="AM127" s="39" t="s">
        <v>355</v>
      </c>
    </row>
    <row r="128" spans="1:39" x14ac:dyDescent="0.3">
      <c r="A128" s="30" t="s">
        <v>71</v>
      </c>
      <c r="B128" s="30" t="s">
        <v>90</v>
      </c>
      <c r="C128" s="30" t="s">
        <v>92</v>
      </c>
      <c r="D128" s="31" t="s">
        <v>20</v>
      </c>
      <c r="E128" s="31">
        <v>8</v>
      </c>
      <c r="F128" s="31" t="s">
        <v>322</v>
      </c>
      <c r="G128" s="32">
        <v>6993</v>
      </c>
      <c r="H128" s="32">
        <v>6177</v>
      </c>
      <c r="I128" s="32">
        <v>5496</v>
      </c>
      <c r="J128" s="32">
        <v>5552</v>
      </c>
      <c r="K128" s="32">
        <v>5217</v>
      </c>
      <c r="L128" s="32">
        <v>4882</v>
      </c>
      <c r="M128" s="32">
        <v>5103</v>
      </c>
      <c r="N128" s="32">
        <v>4888</v>
      </c>
      <c r="O128" s="32">
        <v>3985</v>
      </c>
      <c r="P128" s="32">
        <v>4544</v>
      </c>
      <c r="Q128" s="32">
        <v>4182</v>
      </c>
      <c r="R128" s="32">
        <v>3833</v>
      </c>
      <c r="S128" s="32">
        <v>3766</v>
      </c>
      <c r="T128" s="32">
        <v>3304</v>
      </c>
      <c r="U128" s="32">
        <v>4105</v>
      </c>
      <c r="V128" s="32">
        <v>3837</v>
      </c>
      <c r="W128" s="32">
        <v>3340</v>
      </c>
      <c r="X128" s="39" t="s">
        <v>355</v>
      </c>
      <c r="Y128" s="39" t="s">
        <v>355</v>
      </c>
      <c r="Z128" s="39" t="s">
        <v>355</v>
      </c>
      <c r="AA128" s="39" t="s">
        <v>355</v>
      </c>
      <c r="AB128" s="39" t="s">
        <v>355</v>
      </c>
      <c r="AC128" s="39" t="s">
        <v>355</v>
      </c>
      <c r="AD128" s="39" t="s">
        <v>355</v>
      </c>
      <c r="AE128" s="39" t="s">
        <v>355</v>
      </c>
      <c r="AF128" s="39" t="s">
        <v>355</v>
      </c>
      <c r="AG128" s="39" t="s">
        <v>355</v>
      </c>
      <c r="AH128" s="39" t="s">
        <v>355</v>
      </c>
      <c r="AI128" s="39" t="s">
        <v>355</v>
      </c>
      <c r="AJ128" s="39" t="s">
        <v>355</v>
      </c>
      <c r="AK128" s="39" t="s">
        <v>355</v>
      </c>
      <c r="AL128" s="39" t="s">
        <v>355</v>
      </c>
      <c r="AM128" s="39" t="s">
        <v>355</v>
      </c>
    </row>
    <row r="129" spans="1:39" x14ac:dyDescent="0.3">
      <c r="A129" s="30" t="s">
        <v>71</v>
      </c>
      <c r="B129" s="30" t="s">
        <v>90</v>
      </c>
      <c r="C129" s="30" t="s">
        <v>91</v>
      </c>
      <c r="D129" s="31" t="s">
        <v>20</v>
      </c>
      <c r="E129" s="31">
        <v>8067</v>
      </c>
      <c r="F129" s="31" t="s">
        <v>323</v>
      </c>
      <c r="G129" s="32">
        <v>4890.5</v>
      </c>
      <c r="H129" s="32">
        <v>4309.5</v>
      </c>
      <c r="I129" s="32">
        <v>3860</v>
      </c>
      <c r="J129" s="32">
        <v>2246</v>
      </c>
      <c r="K129" s="32">
        <v>2258</v>
      </c>
      <c r="L129" s="32">
        <v>2270</v>
      </c>
      <c r="M129" s="32">
        <v>2209</v>
      </c>
      <c r="N129" s="32">
        <v>2189</v>
      </c>
      <c r="O129" s="32">
        <v>4640</v>
      </c>
      <c r="P129" s="32">
        <v>3122</v>
      </c>
      <c r="Q129" s="32">
        <v>2398</v>
      </c>
      <c r="R129" s="32">
        <v>2372</v>
      </c>
      <c r="S129" s="32">
        <v>3766</v>
      </c>
      <c r="T129" s="32">
        <v>3304</v>
      </c>
      <c r="U129" s="32">
        <v>4105</v>
      </c>
      <c r="V129" s="32">
        <v>3837</v>
      </c>
      <c r="W129" s="32">
        <v>3340</v>
      </c>
      <c r="X129" s="39" t="s">
        <v>355</v>
      </c>
      <c r="Y129" s="39" t="s">
        <v>355</v>
      </c>
      <c r="Z129" s="39" t="s">
        <v>355</v>
      </c>
      <c r="AA129" s="39" t="s">
        <v>355</v>
      </c>
      <c r="AB129" s="39" t="s">
        <v>355</v>
      </c>
      <c r="AC129" s="39" t="s">
        <v>355</v>
      </c>
      <c r="AD129" s="39" t="s">
        <v>355</v>
      </c>
      <c r="AE129" s="39" t="s">
        <v>355</v>
      </c>
      <c r="AF129" s="39" t="s">
        <v>355</v>
      </c>
      <c r="AG129" s="39" t="s">
        <v>355</v>
      </c>
      <c r="AH129" s="39" t="s">
        <v>355</v>
      </c>
      <c r="AI129" s="39" t="s">
        <v>355</v>
      </c>
      <c r="AJ129" s="39" t="s">
        <v>355</v>
      </c>
      <c r="AK129" s="39" t="s">
        <v>355</v>
      </c>
      <c r="AL129" s="39" t="s">
        <v>355</v>
      </c>
      <c r="AM129" s="39" t="s">
        <v>355</v>
      </c>
    </row>
    <row r="130" spans="1:39" x14ac:dyDescent="0.3">
      <c r="A130" s="30" t="s">
        <v>71</v>
      </c>
      <c r="B130" s="30" t="s">
        <v>90</v>
      </c>
      <c r="C130" s="30" t="s">
        <v>94</v>
      </c>
      <c r="D130" s="31" t="s">
        <v>20</v>
      </c>
      <c r="E130" s="31">
        <v>8178</v>
      </c>
      <c r="F130" s="31" t="s">
        <v>324</v>
      </c>
      <c r="G130" s="32">
        <v>4020</v>
      </c>
      <c r="H130" s="32">
        <v>4209</v>
      </c>
      <c r="I130" s="32">
        <v>4085</v>
      </c>
      <c r="J130" s="32">
        <v>3807</v>
      </c>
      <c r="K130" s="32">
        <v>3714</v>
      </c>
      <c r="L130" s="32">
        <v>3620</v>
      </c>
      <c r="M130" s="32">
        <v>2259</v>
      </c>
      <c r="N130" s="32">
        <v>2970</v>
      </c>
      <c r="O130" s="32">
        <v>6611</v>
      </c>
      <c r="P130" s="32">
        <v>3809</v>
      </c>
      <c r="Q130" s="39" t="s">
        <v>355</v>
      </c>
      <c r="R130" s="39" t="s">
        <v>355</v>
      </c>
      <c r="S130" s="39" t="s">
        <v>355</v>
      </c>
      <c r="T130" s="39" t="s">
        <v>355</v>
      </c>
      <c r="U130" s="39" t="s">
        <v>355</v>
      </c>
      <c r="V130" s="39" t="s">
        <v>355</v>
      </c>
      <c r="W130" s="39" t="s">
        <v>355</v>
      </c>
      <c r="X130" s="39" t="s">
        <v>355</v>
      </c>
      <c r="Y130" s="39" t="s">
        <v>355</v>
      </c>
      <c r="Z130" s="39" t="s">
        <v>355</v>
      </c>
      <c r="AA130" s="39" t="s">
        <v>355</v>
      </c>
      <c r="AB130" s="39" t="s">
        <v>355</v>
      </c>
      <c r="AC130" s="39" t="s">
        <v>355</v>
      </c>
      <c r="AD130" s="39" t="s">
        <v>355</v>
      </c>
      <c r="AE130" s="39" t="s">
        <v>355</v>
      </c>
      <c r="AF130" s="39" t="s">
        <v>355</v>
      </c>
      <c r="AG130" s="39" t="s">
        <v>355</v>
      </c>
      <c r="AH130" s="39" t="s">
        <v>355</v>
      </c>
      <c r="AI130" s="39" t="s">
        <v>355</v>
      </c>
      <c r="AJ130" s="39" t="s">
        <v>355</v>
      </c>
      <c r="AK130" s="39" t="s">
        <v>355</v>
      </c>
      <c r="AL130" s="39" t="s">
        <v>355</v>
      </c>
      <c r="AM130" s="39" t="s">
        <v>355</v>
      </c>
    </row>
    <row r="131" spans="1:39" x14ac:dyDescent="0.3">
      <c r="A131" s="30" t="s">
        <v>71</v>
      </c>
      <c r="B131" s="30" t="s">
        <v>90</v>
      </c>
      <c r="C131" s="30" t="s">
        <v>93</v>
      </c>
      <c r="D131" s="31" t="s">
        <v>20</v>
      </c>
      <c r="E131" s="31">
        <v>6</v>
      </c>
      <c r="F131" s="31" t="s">
        <v>324</v>
      </c>
      <c r="G131" s="32">
        <v>4020</v>
      </c>
      <c r="H131" s="32">
        <v>4209</v>
      </c>
      <c r="I131" s="32">
        <v>4085</v>
      </c>
      <c r="J131" s="32">
        <v>4126</v>
      </c>
      <c r="K131" s="32">
        <v>4390</v>
      </c>
      <c r="L131" s="32">
        <v>4655</v>
      </c>
      <c r="M131" s="32">
        <v>4247</v>
      </c>
      <c r="N131" s="32">
        <v>3606</v>
      </c>
      <c r="O131" s="32">
        <v>2284</v>
      </c>
      <c r="P131" s="32">
        <v>4071</v>
      </c>
      <c r="Q131" s="32">
        <v>3630</v>
      </c>
      <c r="R131" s="32">
        <v>3471</v>
      </c>
      <c r="S131" s="32">
        <v>3438</v>
      </c>
      <c r="T131" s="32">
        <v>3168</v>
      </c>
      <c r="U131" s="32">
        <v>5173</v>
      </c>
      <c r="V131" s="32">
        <v>4656</v>
      </c>
      <c r="W131" s="32">
        <v>2971</v>
      </c>
      <c r="X131" s="39" t="s">
        <v>355</v>
      </c>
      <c r="Y131" s="39" t="s">
        <v>355</v>
      </c>
      <c r="Z131" s="39" t="s">
        <v>355</v>
      </c>
      <c r="AA131" s="39" t="s">
        <v>355</v>
      </c>
      <c r="AB131" s="39" t="s">
        <v>355</v>
      </c>
      <c r="AC131" s="39" t="s">
        <v>355</v>
      </c>
      <c r="AD131" s="39" t="s">
        <v>355</v>
      </c>
      <c r="AE131" s="39" t="s">
        <v>355</v>
      </c>
      <c r="AF131" s="39" t="s">
        <v>355</v>
      </c>
      <c r="AG131" s="39" t="s">
        <v>355</v>
      </c>
      <c r="AH131" s="39" t="s">
        <v>355</v>
      </c>
      <c r="AI131" s="39" t="s">
        <v>355</v>
      </c>
      <c r="AJ131" s="39" t="s">
        <v>355</v>
      </c>
      <c r="AK131" s="39" t="s">
        <v>355</v>
      </c>
      <c r="AL131" s="39" t="s">
        <v>355</v>
      </c>
      <c r="AM131" s="39" t="s">
        <v>355</v>
      </c>
    </row>
    <row r="132" spans="1:39" x14ac:dyDescent="0.3">
      <c r="A132" s="30" t="s">
        <v>71</v>
      </c>
      <c r="B132" s="30" t="s">
        <v>238</v>
      </c>
      <c r="C132" s="30" t="s">
        <v>239</v>
      </c>
      <c r="D132" s="31" t="s">
        <v>103</v>
      </c>
      <c r="E132" s="31">
        <v>980</v>
      </c>
      <c r="F132" s="31">
        <v>980</v>
      </c>
      <c r="G132" s="32">
        <v>18213</v>
      </c>
      <c r="H132" s="32">
        <v>17809</v>
      </c>
      <c r="I132" s="32">
        <v>17397</v>
      </c>
      <c r="J132" s="32">
        <v>17005</v>
      </c>
      <c r="K132" s="32">
        <v>16575</v>
      </c>
      <c r="L132" s="32">
        <v>16144</v>
      </c>
      <c r="M132" s="39" t="s">
        <v>355</v>
      </c>
      <c r="N132" s="39" t="s">
        <v>355</v>
      </c>
      <c r="O132" s="39" t="s">
        <v>355</v>
      </c>
      <c r="P132" s="39" t="s">
        <v>355</v>
      </c>
      <c r="Q132" s="39" t="s">
        <v>355</v>
      </c>
      <c r="R132" s="39" t="s">
        <v>355</v>
      </c>
      <c r="S132" s="39" t="s">
        <v>355</v>
      </c>
      <c r="T132" s="39" t="s">
        <v>355</v>
      </c>
      <c r="U132" s="39" t="s">
        <v>355</v>
      </c>
      <c r="V132" s="39" t="s">
        <v>355</v>
      </c>
      <c r="W132" s="39" t="s">
        <v>355</v>
      </c>
      <c r="X132" s="39" t="s">
        <v>355</v>
      </c>
      <c r="Y132" s="39" t="s">
        <v>355</v>
      </c>
      <c r="Z132" s="39" t="s">
        <v>355</v>
      </c>
      <c r="AA132" s="39" t="s">
        <v>355</v>
      </c>
      <c r="AB132" s="39" t="s">
        <v>355</v>
      </c>
      <c r="AC132" s="39" t="s">
        <v>355</v>
      </c>
      <c r="AD132" s="39" t="s">
        <v>355</v>
      </c>
      <c r="AE132" s="39" t="s">
        <v>355</v>
      </c>
      <c r="AF132" s="39" t="s">
        <v>355</v>
      </c>
      <c r="AG132" s="39" t="s">
        <v>355</v>
      </c>
      <c r="AH132" s="39" t="s">
        <v>355</v>
      </c>
      <c r="AI132" s="39" t="s">
        <v>355</v>
      </c>
      <c r="AJ132" s="39" t="s">
        <v>355</v>
      </c>
      <c r="AK132" s="39" t="s">
        <v>355</v>
      </c>
      <c r="AL132" s="39" t="s">
        <v>355</v>
      </c>
      <c r="AM132" s="39" t="s">
        <v>355</v>
      </c>
    </row>
    <row r="133" spans="1:39" x14ac:dyDescent="0.3">
      <c r="A133" s="30" t="s">
        <v>71</v>
      </c>
      <c r="B133" s="30" t="s">
        <v>240</v>
      </c>
      <c r="C133" s="30" t="s">
        <v>241</v>
      </c>
      <c r="D133" s="31" t="s">
        <v>103</v>
      </c>
      <c r="E133" s="31">
        <v>3</v>
      </c>
      <c r="F133" s="31">
        <v>3</v>
      </c>
      <c r="G133" s="32">
        <v>19094</v>
      </c>
      <c r="H133" s="39" t="s">
        <v>355</v>
      </c>
      <c r="I133" s="39" t="s">
        <v>355</v>
      </c>
      <c r="J133" s="39" t="s">
        <v>355</v>
      </c>
      <c r="K133" s="39" t="s">
        <v>355</v>
      </c>
      <c r="L133" s="39" t="s">
        <v>355</v>
      </c>
      <c r="M133" s="39" t="s">
        <v>355</v>
      </c>
      <c r="N133" s="39" t="s">
        <v>355</v>
      </c>
      <c r="O133" s="39" t="s">
        <v>355</v>
      </c>
      <c r="P133" s="39" t="s">
        <v>355</v>
      </c>
      <c r="Q133" s="39" t="s">
        <v>355</v>
      </c>
      <c r="R133" s="39" t="s">
        <v>355</v>
      </c>
      <c r="S133" s="39" t="s">
        <v>355</v>
      </c>
      <c r="T133" s="39" t="s">
        <v>355</v>
      </c>
      <c r="U133" s="39" t="s">
        <v>355</v>
      </c>
      <c r="V133" s="39" t="s">
        <v>355</v>
      </c>
      <c r="W133" s="39" t="s">
        <v>355</v>
      </c>
      <c r="X133" s="39" t="s">
        <v>355</v>
      </c>
      <c r="Y133" s="39" t="s">
        <v>355</v>
      </c>
      <c r="Z133" s="39" t="s">
        <v>355</v>
      </c>
      <c r="AA133" s="39" t="s">
        <v>355</v>
      </c>
      <c r="AB133" s="39" t="s">
        <v>355</v>
      </c>
      <c r="AC133" s="39" t="s">
        <v>355</v>
      </c>
      <c r="AD133" s="39" t="s">
        <v>355</v>
      </c>
      <c r="AE133" s="39" t="s">
        <v>355</v>
      </c>
      <c r="AF133" s="39" t="s">
        <v>355</v>
      </c>
      <c r="AG133" s="39" t="s">
        <v>355</v>
      </c>
      <c r="AH133" s="39" t="s">
        <v>355</v>
      </c>
      <c r="AI133" s="39" t="s">
        <v>355</v>
      </c>
      <c r="AJ133" s="39" t="s">
        <v>355</v>
      </c>
      <c r="AK133" s="39" t="s">
        <v>355</v>
      </c>
      <c r="AL133" s="39" t="s">
        <v>355</v>
      </c>
      <c r="AM133" s="39" t="s">
        <v>355</v>
      </c>
    </row>
    <row r="134" spans="1:39" x14ac:dyDescent="0.3">
      <c r="A134" s="30" t="s">
        <v>12</v>
      </c>
      <c r="B134" s="30" t="s">
        <v>13</v>
      </c>
      <c r="C134" s="30" t="s">
        <v>242</v>
      </c>
      <c r="D134" s="31" t="s">
        <v>103</v>
      </c>
      <c r="E134" s="31">
        <v>608</v>
      </c>
      <c r="F134" s="31">
        <v>608</v>
      </c>
      <c r="G134" s="32">
        <v>41214</v>
      </c>
      <c r="H134" s="32">
        <v>42124</v>
      </c>
      <c r="I134" s="32">
        <v>42950</v>
      </c>
      <c r="J134" s="32">
        <v>43352</v>
      </c>
      <c r="K134" s="32">
        <v>44940</v>
      </c>
      <c r="L134" s="32">
        <v>46529</v>
      </c>
      <c r="M134" s="32">
        <v>45322</v>
      </c>
      <c r="N134" s="32">
        <v>41156</v>
      </c>
      <c r="O134" s="32">
        <v>39920</v>
      </c>
      <c r="P134" s="32">
        <v>37235</v>
      </c>
      <c r="Q134" s="32">
        <v>43213</v>
      </c>
      <c r="R134" s="32">
        <v>33967</v>
      </c>
      <c r="S134" s="32">
        <v>34150</v>
      </c>
      <c r="T134" s="32">
        <v>33720</v>
      </c>
      <c r="U134" s="32">
        <v>35070</v>
      </c>
      <c r="V134" s="32">
        <v>34504</v>
      </c>
      <c r="W134" s="32">
        <v>34709</v>
      </c>
      <c r="X134" s="32">
        <v>36769</v>
      </c>
      <c r="Y134" s="32">
        <v>38360</v>
      </c>
      <c r="Z134" s="32">
        <v>39235</v>
      </c>
      <c r="AA134" s="32">
        <v>39372</v>
      </c>
      <c r="AB134" s="32">
        <v>36541</v>
      </c>
      <c r="AC134" s="32">
        <v>35340</v>
      </c>
      <c r="AD134" s="32">
        <v>28422</v>
      </c>
      <c r="AE134" s="32" t="s">
        <v>359</v>
      </c>
      <c r="AF134" s="32" t="s">
        <v>359</v>
      </c>
      <c r="AG134" s="32">
        <v>32951</v>
      </c>
      <c r="AH134" s="32">
        <v>33462</v>
      </c>
      <c r="AI134" s="32">
        <v>33947</v>
      </c>
      <c r="AJ134" s="32">
        <v>35872</v>
      </c>
      <c r="AK134" s="32">
        <v>36221</v>
      </c>
      <c r="AL134" s="32">
        <v>36249</v>
      </c>
      <c r="AM134" s="32">
        <v>33622</v>
      </c>
    </row>
    <row r="135" spans="1:39" x14ac:dyDescent="0.3">
      <c r="A135" s="30" t="s">
        <v>12</v>
      </c>
      <c r="B135" s="30" t="s">
        <v>13</v>
      </c>
      <c r="C135" s="30" t="s">
        <v>14</v>
      </c>
      <c r="D135" s="31" t="s">
        <v>15</v>
      </c>
      <c r="E135" s="31">
        <v>607</v>
      </c>
      <c r="F135" s="31">
        <v>295</v>
      </c>
      <c r="G135" s="32">
        <v>44429</v>
      </c>
      <c r="H135" s="32">
        <v>43766</v>
      </c>
      <c r="I135" s="32">
        <v>44685</v>
      </c>
      <c r="J135" s="32">
        <v>43454</v>
      </c>
      <c r="K135" s="32">
        <v>22500</v>
      </c>
      <c r="L135" s="32">
        <v>25690</v>
      </c>
      <c r="M135" s="32" t="s">
        <v>359</v>
      </c>
      <c r="N135" s="32">
        <v>25558</v>
      </c>
      <c r="O135" s="32">
        <v>24540</v>
      </c>
      <c r="P135" s="32">
        <v>23804</v>
      </c>
      <c r="Q135" s="32">
        <v>24039</v>
      </c>
      <c r="R135" s="32">
        <v>22982</v>
      </c>
      <c r="S135" s="32">
        <v>21440</v>
      </c>
      <c r="T135" s="32">
        <v>21263</v>
      </c>
      <c r="U135" s="32">
        <v>22888</v>
      </c>
      <c r="V135" s="32">
        <v>22972</v>
      </c>
      <c r="W135" s="32">
        <v>23221</v>
      </c>
      <c r="X135" s="32">
        <v>23971</v>
      </c>
      <c r="Y135" s="32">
        <v>25981</v>
      </c>
      <c r="Z135" s="32">
        <v>24426</v>
      </c>
      <c r="AA135" s="32">
        <v>26470</v>
      </c>
      <c r="AB135" s="32">
        <v>24756</v>
      </c>
      <c r="AC135" s="32">
        <v>24419</v>
      </c>
      <c r="AD135" s="32">
        <v>19123</v>
      </c>
      <c r="AE135" s="32" t="s">
        <v>359</v>
      </c>
      <c r="AF135" s="32" t="s">
        <v>359</v>
      </c>
      <c r="AG135" s="32">
        <v>20009</v>
      </c>
      <c r="AH135" s="32">
        <v>20117</v>
      </c>
      <c r="AI135" s="32">
        <v>20187</v>
      </c>
      <c r="AJ135" s="32">
        <v>29266</v>
      </c>
      <c r="AK135" s="32">
        <v>32652</v>
      </c>
      <c r="AL135" s="32">
        <v>30906</v>
      </c>
      <c r="AM135" s="32">
        <v>21031</v>
      </c>
    </row>
    <row r="136" spans="1:39" x14ac:dyDescent="0.3">
      <c r="A136" s="30" t="s">
        <v>12</v>
      </c>
      <c r="B136" s="30" t="s">
        <v>13</v>
      </c>
      <c r="C136" s="30" t="s">
        <v>18</v>
      </c>
      <c r="D136" s="31" t="s">
        <v>15</v>
      </c>
      <c r="E136" s="31">
        <v>620</v>
      </c>
      <c r="F136" s="31">
        <v>295</v>
      </c>
      <c r="G136" s="32">
        <v>44429</v>
      </c>
      <c r="H136" s="32">
        <v>43766</v>
      </c>
      <c r="I136" s="32">
        <v>44685</v>
      </c>
      <c r="J136" s="32">
        <v>43454</v>
      </c>
      <c r="K136" s="32">
        <v>31500</v>
      </c>
      <c r="L136" s="32">
        <v>36022</v>
      </c>
      <c r="M136" s="32">
        <v>35576</v>
      </c>
      <c r="N136" s="32">
        <v>34797</v>
      </c>
      <c r="O136" s="32">
        <v>34334</v>
      </c>
      <c r="P136" s="32">
        <v>33520</v>
      </c>
      <c r="Q136" s="32">
        <v>33464</v>
      </c>
      <c r="R136" s="32">
        <v>29827</v>
      </c>
      <c r="S136" s="32">
        <v>29188</v>
      </c>
      <c r="T136" s="32">
        <v>29133</v>
      </c>
      <c r="U136" s="32">
        <v>29243</v>
      </c>
      <c r="V136" s="32">
        <v>29765</v>
      </c>
      <c r="W136" s="32">
        <v>30338</v>
      </c>
      <c r="X136" s="32">
        <v>31427</v>
      </c>
      <c r="Y136" s="32">
        <v>34158</v>
      </c>
      <c r="Z136" s="32">
        <v>34384</v>
      </c>
      <c r="AA136" s="32">
        <v>33723</v>
      </c>
      <c r="AB136" s="32">
        <v>31095</v>
      </c>
      <c r="AC136" s="32">
        <v>30388</v>
      </c>
      <c r="AD136" s="32">
        <v>22950</v>
      </c>
      <c r="AE136" s="32" t="s">
        <v>359</v>
      </c>
      <c r="AF136" s="32" t="s">
        <v>359</v>
      </c>
      <c r="AG136" s="32">
        <v>30483</v>
      </c>
      <c r="AH136" s="32">
        <v>22402</v>
      </c>
      <c r="AI136" s="32">
        <v>22695</v>
      </c>
      <c r="AJ136" s="39" t="s">
        <v>355</v>
      </c>
      <c r="AK136" s="39" t="s">
        <v>355</v>
      </c>
      <c r="AL136" s="39" t="s">
        <v>355</v>
      </c>
      <c r="AM136" s="39" t="s">
        <v>355</v>
      </c>
    </row>
    <row r="137" spans="1:39" x14ac:dyDescent="0.3">
      <c r="A137" s="30" t="s">
        <v>12</v>
      </c>
      <c r="B137" s="30" t="s">
        <v>13</v>
      </c>
      <c r="C137" s="30" t="s">
        <v>19</v>
      </c>
      <c r="D137" s="31" t="s">
        <v>20</v>
      </c>
      <c r="E137" s="31">
        <v>621</v>
      </c>
      <c r="F137" s="31" t="s">
        <v>325</v>
      </c>
      <c r="G137" s="32">
        <v>44429</v>
      </c>
      <c r="H137" s="32">
        <v>43766</v>
      </c>
      <c r="I137" s="32">
        <v>44685</v>
      </c>
      <c r="J137" s="32">
        <v>45136</v>
      </c>
      <c r="K137" s="32">
        <v>42023</v>
      </c>
      <c r="L137" s="32">
        <v>38910</v>
      </c>
      <c r="M137" s="32">
        <v>45609</v>
      </c>
      <c r="N137" s="32">
        <v>45098</v>
      </c>
      <c r="O137" s="32">
        <v>45651</v>
      </c>
      <c r="P137" s="32">
        <v>41909</v>
      </c>
      <c r="Q137" s="32">
        <v>42004</v>
      </c>
      <c r="R137" s="32">
        <v>38728</v>
      </c>
      <c r="S137" s="32">
        <v>36104</v>
      </c>
      <c r="T137" s="32">
        <v>36292</v>
      </c>
      <c r="U137" s="32">
        <v>36886</v>
      </c>
      <c r="V137" s="32">
        <v>36970</v>
      </c>
      <c r="W137" s="32">
        <v>36789</v>
      </c>
      <c r="X137" s="32">
        <v>37088</v>
      </c>
      <c r="Y137" s="32">
        <v>41723</v>
      </c>
      <c r="Z137" s="32">
        <v>42813</v>
      </c>
      <c r="AA137" s="32">
        <v>40356</v>
      </c>
      <c r="AB137" s="32">
        <v>42068</v>
      </c>
      <c r="AC137" s="32">
        <v>39491</v>
      </c>
      <c r="AD137" s="32">
        <v>29103</v>
      </c>
      <c r="AE137" s="32" t="s">
        <v>359</v>
      </c>
      <c r="AF137" s="32" t="s">
        <v>359</v>
      </c>
      <c r="AG137" s="32">
        <v>34847</v>
      </c>
      <c r="AH137" s="32">
        <v>38659</v>
      </c>
      <c r="AI137" s="32">
        <v>37119</v>
      </c>
      <c r="AJ137" s="39" t="s">
        <v>355</v>
      </c>
      <c r="AK137" s="39" t="s">
        <v>355</v>
      </c>
      <c r="AL137" s="39" t="s">
        <v>355</v>
      </c>
      <c r="AM137" s="39" t="s">
        <v>355</v>
      </c>
    </row>
    <row r="138" spans="1:39" x14ac:dyDescent="0.3">
      <c r="A138" s="30" t="s">
        <v>12</v>
      </c>
      <c r="B138" s="30" t="s">
        <v>13</v>
      </c>
      <c r="C138" s="30" t="s">
        <v>21</v>
      </c>
      <c r="D138" s="31" t="s">
        <v>20</v>
      </c>
      <c r="E138" s="31">
        <v>622</v>
      </c>
      <c r="F138" s="31" t="s">
        <v>326</v>
      </c>
      <c r="G138" s="32">
        <v>56304</v>
      </c>
      <c r="H138" s="32">
        <v>56057</v>
      </c>
      <c r="I138" s="32">
        <v>59612</v>
      </c>
      <c r="J138" s="32">
        <v>57876</v>
      </c>
      <c r="K138" s="32">
        <v>56419</v>
      </c>
      <c r="L138" s="32">
        <v>54962</v>
      </c>
      <c r="M138" s="32">
        <v>57438</v>
      </c>
      <c r="N138" s="32">
        <v>56719</v>
      </c>
      <c r="O138" s="32">
        <v>57425</v>
      </c>
      <c r="P138" s="32">
        <v>56220</v>
      </c>
      <c r="Q138" s="32">
        <v>58406</v>
      </c>
      <c r="R138" s="32">
        <v>51843</v>
      </c>
      <c r="S138" s="32">
        <v>49818</v>
      </c>
      <c r="T138" s="32">
        <v>49679</v>
      </c>
      <c r="U138" s="32">
        <v>50188</v>
      </c>
      <c r="V138" s="32">
        <v>47989</v>
      </c>
      <c r="W138" s="32">
        <v>51421</v>
      </c>
      <c r="X138" s="32">
        <v>53464</v>
      </c>
      <c r="Y138" s="32">
        <v>55859</v>
      </c>
      <c r="Z138" s="32">
        <v>55942</v>
      </c>
      <c r="AA138" s="32">
        <v>48410</v>
      </c>
      <c r="AB138" s="32">
        <v>52339</v>
      </c>
      <c r="AC138" s="32">
        <v>50554</v>
      </c>
      <c r="AD138" s="32">
        <v>47838</v>
      </c>
      <c r="AE138" s="32">
        <v>47337</v>
      </c>
      <c r="AF138" s="32" t="s">
        <v>359</v>
      </c>
      <c r="AG138" s="32">
        <v>47710</v>
      </c>
      <c r="AH138" s="32">
        <v>47123</v>
      </c>
      <c r="AI138" s="32">
        <v>46426</v>
      </c>
      <c r="AJ138" s="39" t="s">
        <v>355</v>
      </c>
      <c r="AK138" s="39" t="s">
        <v>355</v>
      </c>
      <c r="AL138" s="39" t="s">
        <v>355</v>
      </c>
      <c r="AM138" s="39" t="s">
        <v>355</v>
      </c>
    </row>
    <row r="139" spans="1:39" x14ac:dyDescent="0.3">
      <c r="A139" s="30" t="s">
        <v>71</v>
      </c>
      <c r="B139" s="30" t="s">
        <v>230</v>
      </c>
      <c r="C139" s="30" t="s">
        <v>232</v>
      </c>
      <c r="D139" s="31" t="s">
        <v>103</v>
      </c>
      <c r="E139" s="31">
        <v>601</v>
      </c>
      <c r="F139" s="31">
        <v>601</v>
      </c>
      <c r="G139" s="32">
        <v>5175</v>
      </c>
      <c r="H139" s="32">
        <v>5075</v>
      </c>
      <c r="I139" s="32">
        <v>5278</v>
      </c>
      <c r="J139" s="32">
        <v>4860</v>
      </c>
      <c r="K139" s="32">
        <v>5540</v>
      </c>
      <c r="L139" s="32">
        <v>6220</v>
      </c>
      <c r="M139" s="32">
        <v>6219</v>
      </c>
      <c r="N139" s="32">
        <v>6220</v>
      </c>
      <c r="O139" s="32">
        <v>5880</v>
      </c>
      <c r="P139" s="32">
        <v>5597</v>
      </c>
      <c r="Q139" s="32">
        <v>5049</v>
      </c>
      <c r="R139" s="32">
        <v>5091</v>
      </c>
      <c r="S139" s="32">
        <v>4605</v>
      </c>
      <c r="T139" s="32">
        <v>5187</v>
      </c>
      <c r="U139" s="32">
        <v>5173</v>
      </c>
      <c r="V139" s="32">
        <v>4656</v>
      </c>
      <c r="W139" s="32">
        <v>4739</v>
      </c>
      <c r="X139" s="32">
        <v>5115</v>
      </c>
      <c r="Y139" s="32">
        <v>5340</v>
      </c>
      <c r="Z139" s="32">
        <v>5298</v>
      </c>
      <c r="AA139" s="32">
        <v>4981</v>
      </c>
      <c r="AB139" s="32">
        <v>4610</v>
      </c>
      <c r="AC139" s="32">
        <v>3436</v>
      </c>
      <c r="AD139" s="32">
        <v>3799</v>
      </c>
      <c r="AE139" s="32">
        <v>3660</v>
      </c>
      <c r="AF139" s="32">
        <v>3498</v>
      </c>
      <c r="AG139" s="32">
        <v>3668</v>
      </c>
      <c r="AH139" s="32">
        <v>2455</v>
      </c>
      <c r="AI139" s="32">
        <v>1713</v>
      </c>
      <c r="AJ139" s="39" t="s">
        <v>355</v>
      </c>
      <c r="AK139" s="39" t="s">
        <v>355</v>
      </c>
      <c r="AL139" s="39" t="s">
        <v>355</v>
      </c>
      <c r="AM139" s="39" t="s">
        <v>355</v>
      </c>
    </row>
    <row r="140" spans="1:39" x14ac:dyDescent="0.3">
      <c r="A140" s="30" t="s">
        <v>71</v>
      </c>
      <c r="B140" s="30" t="s">
        <v>230</v>
      </c>
      <c r="C140" s="30" t="s">
        <v>231</v>
      </c>
      <c r="D140" s="31" t="s">
        <v>103</v>
      </c>
      <c r="E140" s="31">
        <v>600</v>
      </c>
      <c r="F140" s="31">
        <v>600</v>
      </c>
      <c r="G140" s="32">
        <v>4129</v>
      </c>
      <c r="H140" s="32">
        <v>4027</v>
      </c>
      <c r="I140" s="32">
        <v>4199</v>
      </c>
      <c r="J140" s="32">
        <v>3863</v>
      </c>
      <c r="K140" s="32">
        <v>4386</v>
      </c>
      <c r="L140" s="32">
        <v>4910</v>
      </c>
      <c r="M140" s="32">
        <v>5088</v>
      </c>
      <c r="N140" s="32">
        <v>6111</v>
      </c>
      <c r="O140" s="32">
        <v>4868</v>
      </c>
      <c r="P140" s="32">
        <v>4738</v>
      </c>
      <c r="Q140" s="32">
        <v>3828</v>
      </c>
      <c r="R140" s="32">
        <v>4371</v>
      </c>
      <c r="S140" s="32">
        <v>3842</v>
      </c>
      <c r="T140" s="32">
        <v>4288</v>
      </c>
      <c r="U140" s="32">
        <v>4105</v>
      </c>
      <c r="V140" s="32">
        <v>3837</v>
      </c>
      <c r="W140" s="32">
        <v>3832</v>
      </c>
      <c r="X140" s="32">
        <v>4210</v>
      </c>
      <c r="Y140" s="32">
        <v>4391</v>
      </c>
      <c r="Z140" s="32">
        <v>4218</v>
      </c>
      <c r="AA140" s="32">
        <v>3796</v>
      </c>
      <c r="AB140" s="32">
        <v>3700</v>
      </c>
      <c r="AC140" s="32">
        <v>4280</v>
      </c>
      <c r="AD140" s="32">
        <v>3450</v>
      </c>
      <c r="AE140" s="32">
        <v>2829</v>
      </c>
      <c r="AF140" s="32">
        <v>2739</v>
      </c>
      <c r="AG140" s="32">
        <v>3114</v>
      </c>
      <c r="AH140" s="32">
        <v>2391</v>
      </c>
      <c r="AI140" s="32">
        <v>1614</v>
      </c>
      <c r="AJ140" s="39" t="s">
        <v>355</v>
      </c>
      <c r="AK140" s="39" t="s">
        <v>355</v>
      </c>
      <c r="AL140" s="39" t="s">
        <v>355</v>
      </c>
      <c r="AM140" s="39" t="s">
        <v>355</v>
      </c>
    </row>
    <row r="141" spans="1:39" x14ac:dyDescent="0.3">
      <c r="A141" s="30" t="s">
        <v>71</v>
      </c>
      <c r="B141" s="30" t="s">
        <v>233</v>
      </c>
      <c r="C141" s="30" t="s">
        <v>234</v>
      </c>
      <c r="D141" s="31" t="s">
        <v>103</v>
      </c>
      <c r="E141" s="31">
        <v>507</v>
      </c>
      <c r="F141" s="31">
        <v>507</v>
      </c>
      <c r="G141" s="32">
        <v>3864</v>
      </c>
      <c r="H141" s="32">
        <v>3736</v>
      </c>
      <c r="I141" s="32">
        <v>3598</v>
      </c>
      <c r="J141" s="32">
        <v>3543</v>
      </c>
      <c r="K141" s="32">
        <v>3296</v>
      </c>
      <c r="L141" s="32">
        <v>3050</v>
      </c>
      <c r="M141" s="32">
        <v>3140</v>
      </c>
      <c r="N141" s="32">
        <v>3139</v>
      </c>
      <c r="O141" s="32">
        <v>3202</v>
      </c>
      <c r="P141" s="32">
        <v>3718</v>
      </c>
      <c r="Q141" s="32">
        <v>3416</v>
      </c>
      <c r="R141" s="32">
        <v>2940</v>
      </c>
      <c r="S141" s="32">
        <v>2587</v>
      </c>
      <c r="T141" s="32">
        <v>2863</v>
      </c>
      <c r="U141" s="32">
        <v>2700</v>
      </c>
      <c r="V141" s="32">
        <v>2409</v>
      </c>
      <c r="W141" s="32" t="s">
        <v>359</v>
      </c>
      <c r="X141" s="32" t="s">
        <v>359</v>
      </c>
      <c r="Y141" s="32">
        <v>2164</v>
      </c>
      <c r="Z141" s="32">
        <v>2079</v>
      </c>
      <c r="AA141" s="32">
        <v>1373</v>
      </c>
      <c r="AB141" s="32">
        <v>1358</v>
      </c>
      <c r="AC141" s="32">
        <v>1204</v>
      </c>
      <c r="AD141" s="32">
        <v>600</v>
      </c>
      <c r="AE141" s="32">
        <v>1156</v>
      </c>
      <c r="AF141" s="32">
        <v>1231</v>
      </c>
      <c r="AG141" s="32">
        <v>1788</v>
      </c>
      <c r="AH141" s="32">
        <v>1717</v>
      </c>
      <c r="AI141" s="32">
        <v>1661</v>
      </c>
      <c r="AJ141" s="32">
        <v>1198</v>
      </c>
      <c r="AK141" s="32">
        <v>1355</v>
      </c>
      <c r="AL141" s="32">
        <v>1755</v>
      </c>
      <c r="AM141" s="32">
        <v>1123</v>
      </c>
    </row>
    <row r="142" spans="1:39" x14ac:dyDescent="0.3">
      <c r="A142" s="30" t="s">
        <v>71</v>
      </c>
      <c r="B142" s="30" t="s">
        <v>235</v>
      </c>
      <c r="C142" s="30" t="s">
        <v>236</v>
      </c>
      <c r="D142" s="31" t="s">
        <v>103</v>
      </c>
      <c r="E142" s="31">
        <v>701</v>
      </c>
      <c r="F142" s="31">
        <v>701</v>
      </c>
      <c r="G142" s="32">
        <v>2015</v>
      </c>
      <c r="H142" s="32">
        <v>1990</v>
      </c>
      <c r="I142" s="32">
        <v>1992</v>
      </c>
      <c r="J142" s="32">
        <v>1963</v>
      </c>
      <c r="K142" s="32">
        <v>1970</v>
      </c>
      <c r="L142" s="32">
        <v>1977</v>
      </c>
      <c r="M142" s="32">
        <v>2050</v>
      </c>
      <c r="N142" s="32">
        <v>2138</v>
      </c>
      <c r="O142" s="32">
        <v>2144</v>
      </c>
      <c r="P142" s="32">
        <v>2367</v>
      </c>
      <c r="Q142" s="32">
        <v>2151</v>
      </c>
      <c r="R142" s="32">
        <v>2030</v>
      </c>
      <c r="S142" s="32">
        <v>1995</v>
      </c>
      <c r="T142" s="32">
        <v>1883</v>
      </c>
      <c r="U142" s="32">
        <v>1832</v>
      </c>
      <c r="V142" s="32">
        <v>1870</v>
      </c>
      <c r="W142" s="32">
        <v>2170</v>
      </c>
      <c r="X142" s="32">
        <v>2061</v>
      </c>
      <c r="Y142" s="32">
        <v>2289</v>
      </c>
      <c r="Z142" s="32" t="s">
        <v>358</v>
      </c>
      <c r="AA142" s="32">
        <v>2387</v>
      </c>
      <c r="AB142" s="32">
        <v>2600</v>
      </c>
      <c r="AC142" s="32">
        <v>2373</v>
      </c>
      <c r="AD142" s="32" t="s">
        <v>358</v>
      </c>
      <c r="AE142" s="32">
        <v>2549</v>
      </c>
      <c r="AF142" s="32" t="s">
        <v>358</v>
      </c>
      <c r="AG142" s="32" t="s">
        <v>358</v>
      </c>
      <c r="AH142" s="32">
        <v>2477</v>
      </c>
      <c r="AI142" s="32">
        <v>2632</v>
      </c>
      <c r="AJ142" s="39" t="s">
        <v>355</v>
      </c>
      <c r="AK142" s="39" t="s">
        <v>355</v>
      </c>
      <c r="AL142" s="39" t="s">
        <v>355</v>
      </c>
      <c r="AM142" s="39" t="s">
        <v>355</v>
      </c>
    </row>
    <row r="143" spans="1:39" x14ac:dyDescent="0.3">
      <c r="A143" s="30" t="s">
        <v>36</v>
      </c>
      <c r="B143" s="30" t="s">
        <v>56</v>
      </c>
      <c r="C143" s="30" t="s">
        <v>49</v>
      </c>
      <c r="D143" s="31" t="s">
        <v>103</v>
      </c>
      <c r="E143" s="31">
        <v>656</v>
      </c>
      <c r="F143" s="31">
        <v>656</v>
      </c>
      <c r="G143" s="32">
        <v>8522</v>
      </c>
      <c r="H143" s="32">
        <v>8432</v>
      </c>
      <c r="I143" s="32">
        <v>8923</v>
      </c>
      <c r="J143" s="32">
        <v>7560</v>
      </c>
      <c r="K143" s="32">
        <v>9960</v>
      </c>
      <c r="L143" s="32">
        <v>12360</v>
      </c>
      <c r="M143" s="32">
        <v>10140</v>
      </c>
      <c r="N143" s="32">
        <v>7756</v>
      </c>
      <c r="O143" s="32">
        <v>6941</v>
      </c>
      <c r="P143" s="32">
        <v>6711</v>
      </c>
      <c r="Q143" s="32">
        <v>5155</v>
      </c>
      <c r="R143" s="32">
        <v>6011</v>
      </c>
      <c r="S143" s="32">
        <v>5696</v>
      </c>
      <c r="T143" s="32">
        <v>5707</v>
      </c>
      <c r="U143" s="32">
        <v>5443</v>
      </c>
      <c r="V143" s="32">
        <v>5042</v>
      </c>
      <c r="W143" s="32">
        <v>7339</v>
      </c>
      <c r="X143" s="32">
        <v>5608</v>
      </c>
      <c r="Y143" s="32">
        <v>8005</v>
      </c>
      <c r="Z143" s="32">
        <v>7013</v>
      </c>
      <c r="AA143" s="32">
        <v>6181</v>
      </c>
      <c r="AB143" s="32">
        <v>6118</v>
      </c>
      <c r="AC143" s="32">
        <v>8299</v>
      </c>
      <c r="AD143" s="32">
        <v>8148</v>
      </c>
      <c r="AE143" s="32">
        <v>7014</v>
      </c>
      <c r="AF143" s="32">
        <v>6225</v>
      </c>
      <c r="AG143" s="32">
        <v>8243</v>
      </c>
      <c r="AH143" s="32">
        <v>5308</v>
      </c>
      <c r="AI143" s="32">
        <v>5612</v>
      </c>
      <c r="AJ143" s="39" t="s">
        <v>355</v>
      </c>
      <c r="AK143" s="39" t="s">
        <v>355</v>
      </c>
      <c r="AL143" s="39" t="s">
        <v>355</v>
      </c>
      <c r="AM143" s="39" t="s">
        <v>355</v>
      </c>
    </row>
    <row r="144" spans="1:39" x14ac:dyDescent="0.3">
      <c r="A144" s="30" t="s">
        <v>36</v>
      </c>
      <c r="B144" s="30" t="s">
        <v>56</v>
      </c>
      <c r="C144" s="30" t="s">
        <v>57</v>
      </c>
      <c r="D144" s="31" t="s">
        <v>20</v>
      </c>
      <c r="E144" s="31">
        <v>7006</v>
      </c>
      <c r="F144" s="31" t="s">
        <v>327</v>
      </c>
      <c r="G144" s="32">
        <v>10417</v>
      </c>
      <c r="H144" s="32">
        <v>10142</v>
      </c>
      <c r="I144" s="32">
        <v>9957</v>
      </c>
      <c r="J144" s="32">
        <v>9667</v>
      </c>
      <c r="K144" s="32">
        <v>9443</v>
      </c>
      <c r="L144" s="32">
        <v>9219</v>
      </c>
      <c r="M144" s="32">
        <v>8023</v>
      </c>
      <c r="N144" s="32">
        <v>9654</v>
      </c>
      <c r="O144" s="32">
        <v>9650</v>
      </c>
      <c r="P144" s="32">
        <v>9087</v>
      </c>
      <c r="Q144" s="32">
        <v>8846</v>
      </c>
      <c r="R144" s="32">
        <v>8962</v>
      </c>
      <c r="S144" s="32">
        <v>8958</v>
      </c>
      <c r="T144" s="32">
        <v>9055</v>
      </c>
      <c r="U144" s="32">
        <v>7977</v>
      </c>
      <c r="V144" s="32">
        <v>8020</v>
      </c>
      <c r="W144" s="32">
        <v>8279</v>
      </c>
      <c r="X144" s="32">
        <v>9152</v>
      </c>
      <c r="Y144" s="32">
        <v>9747</v>
      </c>
      <c r="Z144" s="32">
        <v>9995</v>
      </c>
      <c r="AA144" s="32">
        <v>9488</v>
      </c>
      <c r="AB144" s="32">
        <v>10814</v>
      </c>
      <c r="AC144" s="32">
        <v>12594</v>
      </c>
      <c r="AD144" s="32">
        <v>10585</v>
      </c>
      <c r="AE144" s="32">
        <v>11808</v>
      </c>
      <c r="AF144" s="32">
        <v>10327</v>
      </c>
      <c r="AG144" s="32">
        <v>12296</v>
      </c>
      <c r="AH144" s="32">
        <v>11800</v>
      </c>
      <c r="AI144" s="32">
        <v>11778</v>
      </c>
      <c r="AJ144" s="32">
        <v>10370</v>
      </c>
      <c r="AK144" s="32">
        <v>11625</v>
      </c>
      <c r="AL144" s="32">
        <v>11561</v>
      </c>
      <c r="AM144" s="32">
        <v>8617</v>
      </c>
    </row>
    <row r="145" spans="1:39" x14ac:dyDescent="0.3">
      <c r="A145" s="30" t="s">
        <v>36</v>
      </c>
      <c r="B145" s="30" t="s">
        <v>56</v>
      </c>
      <c r="C145" s="30" t="s">
        <v>237</v>
      </c>
      <c r="D145" s="31" t="s">
        <v>103</v>
      </c>
      <c r="E145" s="31">
        <v>605</v>
      </c>
      <c r="F145" s="31">
        <v>605</v>
      </c>
      <c r="G145" s="32">
        <v>9915</v>
      </c>
      <c r="H145" s="32">
        <v>9766</v>
      </c>
      <c r="I145" s="32">
        <v>10052</v>
      </c>
      <c r="J145" s="32">
        <v>9609</v>
      </c>
      <c r="K145" s="32">
        <v>10335</v>
      </c>
      <c r="L145" s="32">
        <v>11061</v>
      </c>
      <c r="M145" s="32">
        <v>11625</v>
      </c>
      <c r="N145" s="32">
        <v>12073</v>
      </c>
      <c r="O145" s="32">
        <v>10677</v>
      </c>
      <c r="P145" s="32">
        <v>9168</v>
      </c>
      <c r="Q145" s="32">
        <v>9548</v>
      </c>
      <c r="R145" s="32">
        <v>9081</v>
      </c>
      <c r="S145" s="32">
        <v>9002</v>
      </c>
      <c r="T145" s="32">
        <v>8916</v>
      </c>
      <c r="U145" s="32">
        <v>9369</v>
      </c>
      <c r="V145" s="32">
        <v>9863</v>
      </c>
      <c r="W145" s="32">
        <v>9304</v>
      </c>
      <c r="X145" s="32">
        <v>11379</v>
      </c>
      <c r="Y145" s="32">
        <v>12242</v>
      </c>
      <c r="Z145" s="32">
        <v>11644</v>
      </c>
      <c r="AA145" s="32">
        <v>12257</v>
      </c>
      <c r="AB145" s="32">
        <v>11518</v>
      </c>
      <c r="AC145" s="32">
        <v>10915</v>
      </c>
      <c r="AD145" s="32">
        <v>12072</v>
      </c>
      <c r="AE145" s="32">
        <v>11122</v>
      </c>
      <c r="AF145" s="32">
        <v>11002</v>
      </c>
      <c r="AG145" s="32">
        <v>11278</v>
      </c>
      <c r="AH145" s="32">
        <v>10873</v>
      </c>
      <c r="AI145" s="32">
        <v>10601</v>
      </c>
      <c r="AJ145" s="32">
        <v>9650</v>
      </c>
      <c r="AK145" s="32">
        <v>10479</v>
      </c>
      <c r="AL145" s="32">
        <v>9653</v>
      </c>
      <c r="AM145" s="32">
        <v>9529</v>
      </c>
    </row>
    <row r="146" spans="1:39" x14ac:dyDescent="0.3">
      <c r="A146" s="30" t="s">
        <v>36</v>
      </c>
      <c r="B146" s="30" t="s">
        <v>56</v>
      </c>
      <c r="C146" s="30" t="s">
        <v>58</v>
      </c>
      <c r="D146" s="31" t="s">
        <v>20</v>
      </c>
      <c r="E146" s="31">
        <v>7007</v>
      </c>
      <c r="F146" s="31" t="s">
        <v>328</v>
      </c>
      <c r="G146" s="32">
        <v>11054</v>
      </c>
      <c r="H146" s="32">
        <v>9637</v>
      </c>
      <c r="I146" s="32">
        <v>9957</v>
      </c>
      <c r="J146" s="32">
        <v>9667</v>
      </c>
      <c r="K146" s="32">
        <v>10025</v>
      </c>
      <c r="L146" s="32">
        <v>10384</v>
      </c>
      <c r="M146" s="32">
        <v>10144</v>
      </c>
      <c r="N146" s="32">
        <v>9820</v>
      </c>
      <c r="O146" s="32">
        <v>9683</v>
      </c>
      <c r="P146" s="32">
        <v>9290</v>
      </c>
      <c r="Q146" s="32">
        <v>8944</v>
      </c>
      <c r="R146" s="32">
        <v>9368</v>
      </c>
      <c r="S146" s="32">
        <v>8476</v>
      </c>
      <c r="T146" s="32">
        <v>8634</v>
      </c>
      <c r="U146" s="32">
        <v>8188</v>
      </c>
      <c r="V146" s="32">
        <v>8360</v>
      </c>
      <c r="W146" s="32">
        <v>8546</v>
      </c>
      <c r="X146" s="32">
        <v>9377</v>
      </c>
      <c r="Y146" s="32">
        <v>10260</v>
      </c>
      <c r="Z146" s="32">
        <v>10520</v>
      </c>
      <c r="AA146" s="32">
        <v>9998</v>
      </c>
      <c r="AB146" s="32">
        <v>9965</v>
      </c>
      <c r="AC146" s="32">
        <v>12618</v>
      </c>
      <c r="AD146" s="32">
        <v>10989</v>
      </c>
      <c r="AE146" s="32">
        <v>10699</v>
      </c>
      <c r="AF146" s="32">
        <v>9126</v>
      </c>
      <c r="AG146" s="32">
        <v>10376</v>
      </c>
      <c r="AH146" s="32">
        <v>10614</v>
      </c>
      <c r="AI146" s="32">
        <v>10862</v>
      </c>
      <c r="AJ146" s="32">
        <v>9246</v>
      </c>
      <c r="AK146" s="32">
        <v>10833</v>
      </c>
      <c r="AL146" s="32">
        <v>9172</v>
      </c>
      <c r="AM146" s="32">
        <v>5566</v>
      </c>
    </row>
    <row r="147" spans="1:39" x14ac:dyDescent="0.3">
      <c r="A147" s="30" t="s">
        <v>71</v>
      </c>
      <c r="B147" s="30" t="s">
        <v>243</v>
      </c>
      <c r="C147" s="30" t="s">
        <v>244</v>
      </c>
      <c r="D147" s="31" t="s">
        <v>103</v>
      </c>
      <c r="E147" s="31">
        <v>521</v>
      </c>
      <c r="F147" s="31">
        <v>521</v>
      </c>
      <c r="G147" s="32">
        <v>3600</v>
      </c>
      <c r="H147" s="32">
        <v>3642</v>
      </c>
      <c r="I147" s="32">
        <v>3638</v>
      </c>
      <c r="J147" s="32">
        <v>3701</v>
      </c>
      <c r="K147" s="32">
        <v>3665</v>
      </c>
      <c r="L147" s="32">
        <v>3629</v>
      </c>
      <c r="M147" s="32">
        <v>3557</v>
      </c>
      <c r="N147" s="32">
        <v>2934</v>
      </c>
      <c r="O147" s="32">
        <v>3464</v>
      </c>
      <c r="P147" s="32">
        <v>3161</v>
      </c>
      <c r="Q147" s="32">
        <v>2377</v>
      </c>
      <c r="R147" s="32">
        <v>2652</v>
      </c>
      <c r="S147" s="32">
        <v>2542</v>
      </c>
      <c r="T147" s="32">
        <v>2628</v>
      </c>
      <c r="U147" s="32">
        <v>2223</v>
      </c>
      <c r="V147" s="32">
        <v>2494</v>
      </c>
      <c r="W147" s="32">
        <v>2535</v>
      </c>
      <c r="X147" s="32">
        <v>2465</v>
      </c>
      <c r="Y147" s="32" t="s">
        <v>358</v>
      </c>
      <c r="Z147" s="32" t="s">
        <v>358</v>
      </c>
      <c r="AA147" s="32">
        <v>2387</v>
      </c>
      <c r="AB147" s="32">
        <v>2289</v>
      </c>
      <c r="AC147" s="32">
        <v>2543</v>
      </c>
      <c r="AD147" s="32" t="s">
        <v>358</v>
      </c>
      <c r="AE147" s="32">
        <v>2523</v>
      </c>
      <c r="AF147" s="32" t="s">
        <v>358</v>
      </c>
      <c r="AG147" s="32" t="s">
        <v>358</v>
      </c>
      <c r="AH147" s="32">
        <v>2587</v>
      </c>
      <c r="AI147" s="32">
        <v>3201</v>
      </c>
      <c r="AJ147" s="39" t="s">
        <v>355</v>
      </c>
      <c r="AK147" s="39" t="s">
        <v>355</v>
      </c>
      <c r="AL147" s="39" t="s">
        <v>355</v>
      </c>
      <c r="AM147" s="39" t="s">
        <v>355</v>
      </c>
    </row>
    <row r="148" spans="1:39" x14ac:dyDescent="0.3">
      <c r="A148" s="30" t="s">
        <v>71</v>
      </c>
      <c r="B148" s="30" t="s">
        <v>245</v>
      </c>
      <c r="C148" s="30" t="s">
        <v>246</v>
      </c>
      <c r="D148" s="31" t="s">
        <v>103</v>
      </c>
      <c r="E148" s="31">
        <v>611</v>
      </c>
      <c r="F148" s="31">
        <v>611</v>
      </c>
      <c r="G148" s="32">
        <v>1044</v>
      </c>
      <c r="H148" s="32">
        <v>1005</v>
      </c>
      <c r="I148" s="32">
        <v>1042</v>
      </c>
      <c r="J148" s="32">
        <v>931</v>
      </c>
      <c r="K148" s="32">
        <v>1076</v>
      </c>
      <c r="L148" s="32">
        <v>1222</v>
      </c>
      <c r="M148" s="32">
        <v>1230</v>
      </c>
      <c r="N148" s="32">
        <v>1220</v>
      </c>
      <c r="O148" s="32">
        <v>1343</v>
      </c>
      <c r="P148" s="32">
        <v>1407</v>
      </c>
      <c r="Q148" s="32">
        <v>1358</v>
      </c>
      <c r="R148" s="32">
        <v>1222</v>
      </c>
      <c r="S148" s="32">
        <v>1063</v>
      </c>
      <c r="T148" s="32">
        <v>1330</v>
      </c>
      <c r="U148" s="32">
        <v>1205</v>
      </c>
      <c r="V148" s="32">
        <v>1286</v>
      </c>
      <c r="W148" s="32">
        <v>1426</v>
      </c>
      <c r="X148" s="32" t="s">
        <v>358</v>
      </c>
      <c r="Y148" s="32">
        <v>1374</v>
      </c>
      <c r="Z148" s="32" t="s">
        <v>358</v>
      </c>
      <c r="AA148" s="32">
        <v>1276</v>
      </c>
      <c r="AB148" s="32">
        <v>1847</v>
      </c>
      <c r="AC148" s="32">
        <v>1857</v>
      </c>
      <c r="AD148" s="32" t="s">
        <v>358</v>
      </c>
      <c r="AE148" s="32">
        <v>578</v>
      </c>
      <c r="AF148" s="32" t="s">
        <v>358</v>
      </c>
      <c r="AG148" s="32" t="s">
        <v>358</v>
      </c>
      <c r="AH148" s="32" t="s">
        <v>358</v>
      </c>
      <c r="AI148" s="32">
        <v>432</v>
      </c>
      <c r="AJ148" s="39" t="s">
        <v>355</v>
      </c>
      <c r="AK148" s="39" t="s">
        <v>355</v>
      </c>
      <c r="AL148" s="39" t="s">
        <v>355</v>
      </c>
      <c r="AM148" s="39" t="s">
        <v>355</v>
      </c>
    </row>
    <row r="149" spans="1:39" x14ac:dyDescent="0.3">
      <c r="A149" s="30" t="s">
        <v>71</v>
      </c>
      <c r="B149" s="30" t="s">
        <v>95</v>
      </c>
      <c r="C149" s="30" t="s">
        <v>62</v>
      </c>
      <c r="D149" s="31" t="s">
        <v>20</v>
      </c>
      <c r="E149" s="31">
        <v>24</v>
      </c>
      <c r="F149" s="31" t="s">
        <v>329</v>
      </c>
      <c r="G149" s="32">
        <v>11810</v>
      </c>
      <c r="H149" s="32">
        <v>11556</v>
      </c>
      <c r="I149" s="32">
        <v>11716</v>
      </c>
      <c r="J149" s="32">
        <v>11834</v>
      </c>
      <c r="K149" s="32">
        <v>11147</v>
      </c>
      <c r="L149" s="32">
        <v>10460</v>
      </c>
      <c r="M149" s="32">
        <v>12071</v>
      </c>
      <c r="N149" s="32">
        <v>11872</v>
      </c>
      <c r="O149" s="32">
        <v>9123</v>
      </c>
      <c r="P149" s="32">
        <v>10094</v>
      </c>
      <c r="Q149" s="32">
        <v>9975</v>
      </c>
      <c r="R149" s="32">
        <v>10004</v>
      </c>
      <c r="S149" s="32">
        <v>9235</v>
      </c>
      <c r="T149" s="32">
        <v>9112</v>
      </c>
      <c r="U149" s="32">
        <v>8581</v>
      </c>
      <c r="V149" s="32">
        <v>8778</v>
      </c>
      <c r="W149" s="32">
        <v>8491</v>
      </c>
      <c r="X149" s="32">
        <v>9498</v>
      </c>
      <c r="Y149" s="32">
        <v>9950</v>
      </c>
      <c r="Z149" s="32">
        <v>8912</v>
      </c>
      <c r="AA149" s="32">
        <v>9082</v>
      </c>
      <c r="AB149" s="32">
        <v>12129</v>
      </c>
      <c r="AC149" s="32">
        <v>8620</v>
      </c>
      <c r="AD149" s="32">
        <v>8679</v>
      </c>
      <c r="AE149" s="32">
        <v>7556</v>
      </c>
      <c r="AF149" s="32">
        <v>7874</v>
      </c>
      <c r="AG149" s="32">
        <v>8094</v>
      </c>
      <c r="AH149" s="32">
        <v>8462</v>
      </c>
      <c r="AI149" s="32">
        <v>8252</v>
      </c>
      <c r="AJ149" s="32">
        <v>9698</v>
      </c>
      <c r="AK149" s="32">
        <v>10576</v>
      </c>
      <c r="AL149" s="32">
        <v>9176</v>
      </c>
      <c r="AM149" s="32">
        <v>8126</v>
      </c>
    </row>
    <row r="150" spans="1:39" x14ac:dyDescent="0.3">
      <c r="A150" s="30" t="s">
        <v>71</v>
      </c>
      <c r="B150" s="30" t="s">
        <v>95</v>
      </c>
      <c r="C150" s="30" t="s">
        <v>60</v>
      </c>
      <c r="D150" s="31" t="s">
        <v>20</v>
      </c>
      <c r="E150" s="31">
        <v>429</v>
      </c>
      <c r="F150" s="31" t="s">
        <v>330</v>
      </c>
      <c r="G150" s="32">
        <v>10254</v>
      </c>
      <c r="H150" s="32">
        <v>10517</v>
      </c>
      <c r="I150" s="32">
        <v>10617</v>
      </c>
      <c r="J150" s="32">
        <v>10308</v>
      </c>
      <c r="K150" s="32">
        <v>10657</v>
      </c>
      <c r="L150" s="32">
        <v>11007</v>
      </c>
      <c r="M150" s="32">
        <v>11506</v>
      </c>
      <c r="N150" s="32">
        <v>9775</v>
      </c>
      <c r="O150" s="32">
        <v>9956</v>
      </c>
      <c r="P150" s="32">
        <v>10324</v>
      </c>
      <c r="Q150" s="32">
        <v>10046</v>
      </c>
      <c r="R150" s="32">
        <v>8507</v>
      </c>
      <c r="S150" s="32">
        <v>9491</v>
      </c>
      <c r="T150" s="32">
        <v>9258</v>
      </c>
      <c r="U150" s="32">
        <v>9087</v>
      </c>
      <c r="V150" s="32">
        <v>8053</v>
      </c>
      <c r="W150" s="32">
        <v>8586</v>
      </c>
      <c r="X150" s="32">
        <v>9235</v>
      </c>
      <c r="Y150" s="32">
        <v>9084</v>
      </c>
      <c r="Z150" s="32">
        <v>9676</v>
      </c>
      <c r="AA150" s="32">
        <v>8899</v>
      </c>
      <c r="AB150" s="32">
        <v>8583</v>
      </c>
      <c r="AC150" s="32">
        <v>8389</v>
      </c>
      <c r="AD150" s="32">
        <v>9305</v>
      </c>
      <c r="AE150" s="32">
        <v>7943</v>
      </c>
      <c r="AF150" s="32">
        <v>8106</v>
      </c>
      <c r="AG150" s="32">
        <v>3106</v>
      </c>
      <c r="AH150" s="32">
        <v>3671</v>
      </c>
      <c r="AI150" s="32">
        <v>4275</v>
      </c>
      <c r="AJ150" s="32">
        <v>7505</v>
      </c>
      <c r="AK150" s="32">
        <v>7870</v>
      </c>
      <c r="AL150" s="32">
        <v>7046</v>
      </c>
      <c r="AM150" s="32">
        <v>5792</v>
      </c>
    </row>
    <row r="151" spans="1:39" x14ac:dyDescent="0.3">
      <c r="A151" s="30" t="s">
        <v>12</v>
      </c>
      <c r="B151" s="30" t="s">
        <v>23</v>
      </c>
      <c r="C151" s="30" t="s">
        <v>212</v>
      </c>
      <c r="D151" s="31" t="s">
        <v>103</v>
      </c>
      <c r="E151" s="31">
        <v>552</v>
      </c>
      <c r="F151" s="31">
        <v>552</v>
      </c>
      <c r="G151" s="32">
        <v>39455</v>
      </c>
      <c r="H151" s="32">
        <v>42664</v>
      </c>
      <c r="I151" s="32">
        <v>42514</v>
      </c>
      <c r="J151" s="32">
        <v>47767</v>
      </c>
      <c r="K151" s="32">
        <v>44551</v>
      </c>
      <c r="L151" s="32">
        <v>41335</v>
      </c>
      <c r="M151" s="32">
        <v>38266</v>
      </c>
      <c r="N151" s="32">
        <v>33433</v>
      </c>
      <c r="O151" s="32">
        <v>37855</v>
      </c>
      <c r="P151" s="32">
        <v>34901</v>
      </c>
      <c r="Q151" s="32">
        <v>39072</v>
      </c>
      <c r="R151" s="32">
        <v>39450</v>
      </c>
      <c r="S151" s="32">
        <v>39900</v>
      </c>
      <c r="T151" s="32">
        <v>35561</v>
      </c>
      <c r="U151" s="32">
        <v>36478</v>
      </c>
      <c r="V151" s="32">
        <v>35755</v>
      </c>
      <c r="W151" s="32">
        <v>36964</v>
      </c>
      <c r="X151" s="32">
        <v>40548</v>
      </c>
      <c r="Y151" s="32">
        <v>43576</v>
      </c>
      <c r="Z151" s="32">
        <v>42183</v>
      </c>
      <c r="AA151" s="32">
        <v>43205</v>
      </c>
      <c r="AB151" s="32">
        <v>44467</v>
      </c>
      <c r="AC151" s="32">
        <v>40401</v>
      </c>
      <c r="AD151" s="32">
        <v>31789</v>
      </c>
      <c r="AE151" s="32">
        <v>39976</v>
      </c>
      <c r="AF151" s="32">
        <v>37794</v>
      </c>
      <c r="AG151" s="32">
        <v>34477</v>
      </c>
      <c r="AH151" s="32">
        <v>35634</v>
      </c>
      <c r="AI151" s="32">
        <v>34535</v>
      </c>
      <c r="AJ151" s="32">
        <v>32261</v>
      </c>
      <c r="AK151" s="32">
        <v>32147</v>
      </c>
      <c r="AL151" s="32">
        <v>39648</v>
      </c>
      <c r="AM151" s="32">
        <v>31050</v>
      </c>
    </row>
    <row r="152" spans="1:39" x14ac:dyDescent="0.3">
      <c r="A152" s="30" t="s">
        <v>12</v>
      </c>
      <c r="B152" s="30" t="s">
        <v>23</v>
      </c>
      <c r="C152" s="30" t="s">
        <v>28</v>
      </c>
      <c r="D152" s="31" t="s">
        <v>20</v>
      </c>
      <c r="E152" s="31">
        <v>82.1</v>
      </c>
      <c r="F152" s="31" t="s">
        <v>331</v>
      </c>
      <c r="G152" s="32">
        <v>35479</v>
      </c>
      <c r="H152" s="32">
        <v>34472</v>
      </c>
      <c r="I152" s="32">
        <v>33953</v>
      </c>
      <c r="J152" s="32">
        <v>33617</v>
      </c>
      <c r="K152" s="32">
        <v>31472</v>
      </c>
      <c r="L152" s="32">
        <v>29327</v>
      </c>
      <c r="M152" s="32">
        <v>30430</v>
      </c>
      <c r="N152" s="32">
        <v>30073</v>
      </c>
      <c r="O152" s="32">
        <v>29698</v>
      </c>
      <c r="P152" s="32">
        <v>28854</v>
      </c>
      <c r="Q152" s="32">
        <v>29279</v>
      </c>
      <c r="R152" s="32">
        <v>28391</v>
      </c>
      <c r="S152" s="32">
        <v>26706</v>
      </c>
      <c r="T152" s="32">
        <v>39208</v>
      </c>
      <c r="U152" s="32">
        <v>39459</v>
      </c>
      <c r="V152" s="32">
        <v>39694</v>
      </c>
      <c r="W152" s="32">
        <v>38653</v>
      </c>
      <c r="X152" s="32">
        <v>39638</v>
      </c>
      <c r="Y152" s="32">
        <v>42843</v>
      </c>
      <c r="Z152" s="32">
        <v>41095</v>
      </c>
      <c r="AA152" s="32">
        <v>42774</v>
      </c>
      <c r="AB152" s="32">
        <v>39707</v>
      </c>
      <c r="AC152" s="32">
        <v>54033</v>
      </c>
      <c r="AD152" s="32">
        <v>37688</v>
      </c>
      <c r="AE152" s="32">
        <v>35459</v>
      </c>
      <c r="AF152" s="32">
        <v>31870</v>
      </c>
      <c r="AG152" s="32">
        <v>32418</v>
      </c>
      <c r="AH152" s="32">
        <v>36645</v>
      </c>
      <c r="AI152" s="32">
        <v>36556</v>
      </c>
      <c r="AJ152" s="32">
        <v>31659</v>
      </c>
      <c r="AK152" s="32">
        <v>32571</v>
      </c>
      <c r="AL152" s="32">
        <v>30662</v>
      </c>
      <c r="AM152" s="32">
        <v>33754</v>
      </c>
    </row>
    <row r="153" spans="1:39" x14ac:dyDescent="0.3">
      <c r="A153" s="30" t="s">
        <v>12</v>
      </c>
      <c r="B153" s="30" t="s">
        <v>23</v>
      </c>
      <c r="C153" s="30" t="s">
        <v>247</v>
      </c>
      <c r="D153" s="31" t="s">
        <v>103</v>
      </c>
      <c r="E153" s="31">
        <v>661</v>
      </c>
      <c r="F153" s="31">
        <v>661</v>
      </c>
      <c r="G153" s="32">
        <v>24396</v>
      </c>
      <c r="H153" s="32">
        <v>23401</v>
      </c>
      <c r="I153" s="32">
        <v>24014</v>
      </c>
      <c r="J153" s="32">
        <v>22150</v>
      </c>
      <c r="K153" s="32">
        <v>24066</v>
      </c>
      <c r="L153" s="32">
        <v>25982</v>
      </c>
      <c r="M153" s="32">
        <v>28380</v>
      </c>
      <c r="N153" s="32">
        <v>27330</v>
      </c>
      <c r="O153" s="32">
        <v>22309</v>
      </c>
      <c r="P153" s="32">
        <v>26145</v>
      </c>
      <c r="Q153" s="32">
        <v>22442</v>
      </c>
      <c r="R153" s="32">
        <v>21478</v>
      </c>
      <c r="S153" s="32">
        <v>21783</v>
      </c>
      <c r="T153" s="32">
        <v>23826</v>
      </c>
      <c r="U153" s="32">
        <v>24069</v>
      </c>
      <c r="V153" s="32">
        <v>24016</v>
      </c>
      <c r="W153" s="32">
        <v>24259</v>
      </c>
      <c r="X153" s="32">
        <v>27473</v>
      </c>
      <c r="Y153" s="32">
        <v>29324</v>
      </c>
      <c r="Z153" s="32">
        <v>28292</v>
      </c>
      <c r="AA153" s="32">
        <v>35319</v>
      </c>
      <c r="AB153" s="32">
        <v>34659</v>
      </c>
      <c r="AC153" s="32">
        <v>38846</v>
      </c>
      <c r="AD153" s="32" t="s">
        <v>358</v>
      </c>
      <c r="AE153" s="32">
        <v>33764</v>
      </c>
      <c r="AF153" s="32">
        <v>28904</v>
      </c>
      <c r="AG153" s="32">
        <v>30326</v>
      </c>
      <c r="AH153" s="32">
        <v>27243</v>
      </c>
      <c r="AI153" s="32">
        <v>27295</v>
      </c>
      <c r="AJ153" s="32">
        <v>22524</v>
      </c>
      <c r="AK153" s="32">
        <v>26426</v>
      </c>
      <c r="AL153" s="32">
        <v>25706</v>
      </c>
      <c r="AM153" s="32">
        <v>23148</v>
      </c>
    </row>
    <row r="154" spans="1:39" x14ac:dyDescent="0.3">
      <c r="A154" s="30" t="s">
        <v>12</v>
      </c>
      <c r="B154" s="30" t="s">
        <v>23</v>
      </c>
      <c r="C154" s="30" t="s">
        <v>248</v>
      </c>
      <c r="D154" s="31" t="s">
        <v>103</v>
      </c>
      <c r="E154" s="31">
        <v>530</v>
      </c>
      <c r="F154" s="31">
        <v>530</v>
      </c>
      <c r="G154" s="32">
        <v>42264</v>
      </c>
      <c r="H154" s="32">
        <v>38928</v>
      </c>
      <c r="I154" s="32">
        <v>37998</v>
      </c>
      <c r="J154" s="32">
        <v>33531</v>
      </c>
      <c r="K154" s="32">
        <v>34298</v>
      </c>
      <c r="L154" s="32">
        <v>35066</v>
      </c>
      <c r="M154" s="32">
        <v>37394</v>
      </c>
      <c r="N154" s="32">
        <v>39359</v>
      </c>
      <c r="O154" s="32">
        <v>42949</v>
      </c>
      <c r="P154" s="32">
        <v>40598</v>
      </c>
      <c r="Q154" s="32">
        <v>41556</v>
      </c>
      <c r="R154" s="32">
        <v>34850</v>
      </c>
      <c r="S154" s="32">
        <v>32294</v>
      </c>
      <c r="T154" s="32">
        <v>29502</v>
      </c>
      <c r="U154" s="32">
        <v>29683</v>
      </c>
      <c r="V154" s="32">
        <v>30760</v>
      </c>
      <c r="W154" s="32">
        <v>33179</v>
      </c>
      <c r="X154" s="32">
        <v>31349</v>
      </c>
      <c r="Y154" s="32">
        <v>33724</v>
      </c>
      <c r="Z154" s="32">
        <v>35461</v>
      </c>
      <c r="AA154" s="32">
        <v>35165</v>
      </c>
      <c r="AB154" s="32">
        <v>35218</v>
      </c>
      <c r="AC154" s="32">
        <v>31800</v>
      </c>
      <c r="AD154" s="32">
        <v>30012</v>
      </c>
      <c r="AE154" s="32">
        <v>28560</v>
      </c>
      <c r="AF154" s="32">
        <v>35640</v>
      </c>
      <c r="AG154" s="32">
        <v>33085</v>
      </c>
      <c r="AH154" s="32">
        <v>32543</v>
      </c>
      <c r="AI154" s="32">
        <v>34475</v>
      </c>
      <c r="AJ154" s="39" t="s">
        <v>355</v>
      </c>
      <c r="AK154" s="39" t="s">
        <v>355</v>
      </c>
      <c r="AL154" s="39" t="s">
        <v>355</v>
      </c>
      <c r="AM154" s="39" t="s">
        <v>355</v>
      </c>
    </row>
    <row r="155" spans="1:39" x14ac:dyDescent="0.3">
      <c r="A155" s="30" t="s">
        <v>12</v>
      </c>
      <c r="B155" s="30" t="s">
        <v>23</v>
      </c>
      <c r="C155" s="30" t="s">
        <v>250</v>
      </c>
      <c r="D155" s="31" t="s">
        <v>103</v>
      </c>
      <c r="E155" s="31">
        <v>609</v>
      </c>
      <c r="F155" s="31">
        <v>609</v>
      </c>
      <c r="G155" s="32">
        <v>49066</v>
      </c>
      <c r="H155" s="32">
        <v>41984</v>
      </c>
      <c r="I155" s="32">
        <v>41886</v>
      </c>
      <c r="J155" s="32">
        <v>29182</v>
      </c>
      <c r="K155" s="32">
        <v>37517</v>
      </c>
      <c r="L155" s="32">
        <v>45851</v>
      </c>
      <c r="M155" s="32">
        <v>47029</v>
      </c>
      <c r="N155" s="32">
        <v>46921</v>
      </c>
      <c r="O155" s="32">
        <v>48366</v>
      </c>
      <c r="P155" s="32">
        <v>48366</v>
      </c>
      <c r="Q155" s="32">
        <v>45608</v>
      </c>
      <c r="R155" s="32">
        <v>43830</v>
      </c>
      <c r="S155" s="32">
        <v>41976</v>
      </c>
      <c r="T155" s="32">
        <v>43926</v>
      </c>
      <c r="U155" s="32">
        <v>44864</v>
      </c>
      <c r="V155" s="32">
        <v>45563</v>
      </c>
      <c r="W155" s="32">
        <v>45966</v>
      </c>
      <c r="X155" s="32">
        <v>45765</v>
      </c>
      <c r="Y155" s="32">
        <v>52363</v>
      </c>
      <c r="Z155" s="32">
        <v>50262</v>
      </c>
      <c r="AA155" s="32">
        <v>48598</v>
      </c>
      <c r="AB155" s="32">
        <v>53699</v>
      </c>
      <c r="AC155" s="32">
        <v>48155</v>
      </c>
      <c r="AD155" s="32">
        <v>41311</v>
      </c>
      <c r="AE155" s="32">
        <v>43696</v>
      </c>
      <c r="AF155" s="32">
        <v>42123</v>
      </c>
      <c r="AG155" s="32">
        <v>43786</v>
      </c>
      <c r="AH155" s="32">
        <v>45430</v>
      </c>
      <c r="AI155" s="32">
        <v>44205</v>
      </c>
      <c r="AJ155" s="39" t="s">
        <v>355</v>
      </c>
      <c r="AK155" s="39" t="s">
        <v>355</v>
      </c>
      <c r="AL155" s="39" t="s">
        <v>355</v>
      </c>
      <c r="AM155" s="39" t="s">
        <v>355</v>
      </c>
    </row>
    <row r="156" spans="1:39" x14ac:dyDescent="0.3">
      <c r="A156" s="30" t="s">
        <v>12</v>
      </c>
      <c r="B156" s="30" t="s">
        <v>23</v>
      </c>
      <c r="C156" s="30" t="s">
        <v>24</v>
      </c>
      <c r="D156" s="31" t="s">
        <v>20</v>
      </c>
      <c r="E156" s="31">
        <v>2.1</v>
      </c>
      <c r="F156" s="31" t="s">
        <v>332</v>
      </c>
      <c r="G156" s="32">
        <v>39309</v>
      </c>
      <c r="H156" s="32">
        <v>36259</v>
      </c>
      <c r="I156" s="32">
        <v>35621</v>
      </c>
      <c r="J156" s="32">
        <v>35268</v>
      </c>
      <c r="K156" s="32">
        <v>34750</v>
      </c>
      <c r="L156" s="32">
        <v>34231</v>
      </c>
      <c r="M156" s="32">
        <v>34225</v>
      </c>
      <c r="N156" s="32">
        <v>34459</v>
      </c>
      <c r="O156" s="32">
        <v>35151</v>
      </c>
      <c r="P156" s="32">
        <v>36687</v>
      </c>
      <c r="Q156" s="32">
        <v>34515</v>
      </c>
      <c r="R156" s="32">
        <v>33778</v>
      </c>
      <c r="S156" s="32">
        <v>30858</v>
      </c>
      <c r="T156" s="32">
        <v>28488</v>
      </c>
      <c r="U156" s="32">
        <v>32475</v>
      </c>
      <c r="V156" s="32">
        <v>29129</v>
      </c>
      <c r="W156" s="32">
        <v>28825</v>
      </c>
      <c r="X156" s="32">
        <v>29389</v>
      </c>
      <c r="Y156" s="32">
        <v>31553</v>
      </c>
      <c r="Z156" s="32">
        <v>31370</v>
      </c>
      <c r="AA156" s="32">
        <v>30939</v>
      </c>
      <c r="AB156" s="32">
        <v>30719</v>
      </c>
      <c r="AC156" s="32">
        <v>39990</v>
      </c>
      <c r="AD156" s="32" t="s">
        <v>357</v>
      </c>
      <c r="AE156" s="32">
        <v>28275</v>
      </c>
      <c r="AF156" s="32">
        <v>25573</v>
      </c>
      <c r="AG156" s="32">
        <v>26335</v>
      </c>
      <c r="AH156" s="32">
        <v>31892</v>
      </c>
      <c r="AI156" s="32">
        <v>26272</v>
      </c>
      <c r="AJ156" s="39" t="s">
        <v>355</v>
      </c>
      <c r="AK156" s="39" t="s">
        <v>355</v>
      </c>
      <c r="AL156" s="39" t="s">
        <v>355</v>
      </c>
      <c r="AM156" s="39" t="s">
        <v>355</v>
      </c>
    </row>
    <row r="157" spans="1:39" ht="15" customHeight="1" x14ac:dyDescent="0.3">
      <c r="A157" s="30" t="s">
        <v>12</v>
      </c>
      <c r="B157" s="30" t="s">
        <v>23</v>
      </c>
      <c r="C157" s="30" t="s">
        <v>26</v>
      </c>
      <c r="D157" s="31" t="s">
        <v>15</v>
      </c>
      <c r="E157" s="31">
        <v>940</v>
      </c>
      <c r="F157" s="31" t="s">
        <v>27</v>
      </c>
      <c r="G157" s="32">
        <v>40942.5</v>
      </c>
      <c r="H157" s="32">
        <v>38197</v>
      </c>
      <c r="I157" s="32">
        <v>35621</v>
      </c>
      <c r="J157" s="32">
        <v>34959</v>
      </c>
      <c r="K157" s="32">
        <v>25362</v>
      </c>
      <c r="L157" s="32">
        <v>26827</v>
      </c>
      <c r="M157" s="32">
        <v>25546</v>
      </c>
      <c r="N157" s="32">
        <v>27659</v>
      </c>
      <c r="O157" s="32">
        <v>25872</v>
      </c>
      <c r="P157" s="32">
        <v>23345</v>
      </c>
      <c r="Q157" s="32">
        <v>24974</v>
      </c>
      <c r="R157" s="32">
        <v>23070</v>
      </c>
      <c r="S157" s="32">
        <v>22697</v>
      </c>
      <c r="T157" s="32">
        <v>32452</v>
      </c>
      <c r="U157" s="32">
        <v>33470</v>
      </c>
      <c r="V157" s="32">
        <v>31997</v>
      </c>
      <c r="W157" s="32">
        <v>36321</v>
      </c>
      <c r="X157" s="32">
        <v>32843</v>
      </c>
      <c r="Y157" s="32">
        <v>34414</v>
      </c>
      <c r="Z157" s="32">
        <v>35461</v>
      </c>
      <c r="AA157" s="32">
        <v>35165</v>
      </c>
      <c r="AB157" s="32">
        <v>35218</v>
      </c>
      <c r="AC157" s="32">
        <v>31800</v>
      </c>
      <c r="AD157" s="32">
        <v>30012</v>
      </c>
      <c r="AE157" s="32">
        <v>28560</v>
      </c>
      <c r="AF157" s="32">
        <v>35640</v>
      </c>
      <c r="AG157" s="32">
        <v>33085</v>
      </c>
      <c r="AH157" s="32">
        <v>32543</v>
      </c>
      <c r="AI157" s="32">
        <v>34475</v>
      </c>
      <c r="AJ157" s="39" t="s">
        <v>355</v>
      </c>
      <c r="AK157" s="39" t="s">
        <v>355</v>
      </c>
      <c r="AL157" s="39" t="s">
        <v>355</v>
      </c>
      <c r="AM157" s="39" t="s">
        <v>355</v>
      </c>
    </row>
    <row r="158" spans="1:39" x14ac:dyDescent="0.3">
      <c r="A158" s="30" t="s">
        <v>12</v>
      </c>
      <c r="B158" s="30" t="s">
        <v>23</v>
      </c>
      <c r="C158" s="30" t="s">
        <v>199</v>
      </c>
      <c r="D158" s="31" t="s">
        <v>103</v>
      </c>
      <c r="E158" s="31">
        <v>531</v>
      </c>
      <c r="F158" s="31">
        <v>531</v>
      </c>
      <c r="G158" s="32">
        <v>40918</v>
      </c>
      <c r="H158" s="32">
        <v>42957</v>
      </c>
      <c r="I158" s="32">
        <v>42255</v>
      </c>
      <c r="J158" s="32">
        <v>46907</v>
      </c>
      <c r="K158" s="32">
        <v>42284</v>
      </c>
      <c r="L158" s="32">
        <v>37662</v>
      </c>
      <c r="M158" s="32">
        <v>37882</v>
      </c>
      <c r="N158" s="32">
        <v>37808</v>
      </c>
      <c r="O158" s="32">
        <v>35337</v>
      </c>
      <c r="P158" s="32">
        <v>35119</v>
      </c>
      <c r="Q158" s="32">
        <v>36704</v>
      </c>
      <c r="R158" s="32">
        <v>34988</v>
      </c>
      <c r="S158" s="32">
        <v>33853</v>
      </c>
      <c r="T158" s="32">
        <v>36048</v>
      </c>
      <c r="U158" s="32">
        <v>36640</v>
      </c>
      <c r="V158" s="32">
        <v>37163</v>
      </c>
      <c r="W158" s="32">
        <v>38286</v>
      </c>
      <c r="X158" s="32">
        <v>42337</v>
      </c>
      <c r="Y158" s="32">
        <v>45956</v>
      </c>
      <c r="Z158" s="32">
        <v>44570</v>
      </c>
      <c r="AA158" s="32">
        <v>42754</v>
      </c>
      <c r="AB158" s="32">
        <v>42641</v>
      </c>
      <c r="AC158" s="32">
        <v>40977</v>
      </c>
      <c r="AD158" s="32">
        <v>36686</v>
      </c>
      <c r="AE158" s="32">
        <v>40389</v>
      </c>
      <c r="AF158" s="32">
        <v>34481</v>
      </c>
      <c r="AG158" s="32">
        <v>33647</v>
      </c>
      <c r="AH158" s="32">
        <v>36406</v>
      </c>
      <c r="AI158" s="32">
        <v>33702</v>
      </c>
      <c r="AJ158" s="32">
        <v>33570</v>
      </c>
      <c r="AK158" s="32">
        <v>35022</v>
      </c>
      <c r="AL158" s="32">
        <v>36339</v>
      </c>
      <c r="AM158" s="32">
        <v>36264</v>
      </c>
    </row>
    <row r="159" spans="1:39" x14ac:dyDescent="0.3">
      <c r="A159" s="30" t="s">
        <v>12</v>
      </c>
      <c r="B159" s="30" t="s">
        <v>23</v>
      </c>
      <c r="C159" s="30" t="s">
        <v>29</v>
      </c>
      <c r="D159" s="31" t="s">
        <v>15</v>
      </c>
      <c r="E159" s="31">
        <v>551</v>
      </c>
      <c r="F159" s="31" t="s">
        <v>331</v>
      </c>
      <c r="G159" s="32">
        <v>35479</v>
      </c>
      <c r="H159" s="32">
        <v>34472</v>
      </c>
      <c r="I159" s="32">
        <v>33953</v>
      </c>
      <c r="J159" s="32">
        <v>28488</v>
      </c>
      <c r="K159" s="32">
        <v>32500</v>
      </c>
      <c r="L159" s="32">
        <v>42841</v>
      </c>
      <c r="M159" s="32">
        <v>40407</v>
      </c>
      <c r="N159" s="32">
        <v>37524</v>
      </c>
      <c r="O159" s="32">
        <v>38707</v>
      </c>
      <c r="P159" s="32">
        <v>35670</v>
      </c>
      <c r="Q159" s="32">
        <v>37365</v>
      </c>
      <c r="R159" s="32">
        <v>35685</v>
      </c>
      <c r="S159" s="32">
        <v>33849</v>
      </c>
      <c r="T159" s="32">
        <v>46591</v>
      </c>
      <c r="U159" s="32">
        <v>45495</v>
      </c>
      <c r="V159" s="32">
        <v>47466</v>
      </c>
      <c r="W159" s="32">
        <v>47192</v>
      </c>
      <c r="X159" s="32">
        <v>47120</v>
      </c>
      <c r="Y159" s="32">
        <v>48795</v>
      </c>
      <c r="Z159" s="32">
        <v>47538</v>
      </c>
      <c r="AA159" s="32">
        <v>49273</v>
      </c>
      <c r="AB159" s="32">
        <v>49359</v>
      </c>
      <c r="AC159" s="32">
        <v>42919</v>
      </c>
      <c r="AD159" s="32">
        <v>37639</v>
      </c>
      <c r="AE159" s="32">
        <v>40389</v>
      </c>
      <c r="AF159" s="32">
        <v>34481</v>
      </c>
      <c r="AG159" s="32">
        <v>33647</v>
      </c>
      <c r="AH159" s="32">
        <v>36406</v>
      </c>
      <c r="AI159" s="32">
        <v>33702</v>
      </c>
      <c r="AJ159" s="32">
        <v>33570</v>
      </c>
      <c r="AK159" s="32">
        <v>35022</v>
      </c>
      <c r="AL159" s="32">
        <v>36339</v>
      </c>
      <c r="AM159" s="32">
        <v>36264</v>
      </c>
    </row>
    <row r="160" spans="1:39" x14ac:dyDescent="0.3">
      <c r="A160" s="30" t="s">
        <v>12</v>
      </c>
      <c r="B160" s="30" t="s">
        <v>23</v>
      </c>
      <c r="C160" s="30" t="s">
        <v>32</v>
      </c>
      <c r="D160" s="31" t="s">
        <v>15</v>
      </c>
      <c r="E160" s="31">
        <v>5099</v>
      </c>
      <c r="F160" s="31" t="s">
        <v>333</v>
      </c>
      <c r="G160" s="32">
        <v>38855</v>
      </c>
      <c r="H160" s="32">
        <v>37823</v>
      </c>
      <c r="I160" s="32" t="s">
        <v>357</v>
      </c>
      <c r="J160" s="32">
        <v>38119</v>
      </c>
      <c r="K160" s="32">
        <v>31500</v>
      </c>
      <c r="L160" s="32">
        <v>41089</v>
      </c>
      <c r="M160" s="32">
        <v>39849</v>
      </c>
      <c r="N160" s="32">
        <v>37822</v>
      </c>
      <c r="O160" s="32">
        <v>38688</v>
      </c>
      <c r="P160" s="32">
        <v>35149</v>
      </c>
      <c r="Q160" s="32">
        <v>44735</v>
      </c>
      <c r="R160" s="32">
        <v>35286</v>
      </c>
      <c r="S160" s="32">
        <v>40366</v>
      </c>
      <c r="T160" s="32">
        <v>34333</v>
      </c>
      <c r="U160" s="32">
        <v>36870</v>
      </c>
      <c r="V160" s="32">
        <v>31667</v>
      </c>
      <c r="W160" s="32">
        <v>27147</v>
      </c>
      <c r="X160" s="32">
        <v>38847</v>
      </c>
      <c r="Y160" s="32">
        <v>43905</v>
      </c>
      <c r="Z160" s="32">
        <v>42974</v>
      </c>
      <c r="AA160" s="32">
        <v>45402</v>
      </c>
      <c r="AB160" s="32">
        <v>47870</v>
      </c>
      <c r="AC160" s="32">
        <v>43837</v>
      </c>
      <c r="AD160" s="32">
        <v>53199</v>
      </c>
      <c r="AE160" s="32">
        <v>36116</v>
      </c>
      <c r="AF160" s="32">
        <v>37693</v>
      </c>
      <c r="AG160" s="32" t="s">
        <v>359</v>
      </c>
      <c r="AH160" s="32">
        <v>42179</v>
      </c>
      <c r="AI160" s="32">
        <v>43084</v>
      </c>
      <c r="AJ160" s="32">
        <v>34240</v>
      </c>
      <c r="AK160" s="32">
        <v>41432</v>
      </c>
      <c r="AL160" s="32">
        <v>36908</v>
      </c>
      <c r="AM160" s="32">
        <v>36596</v>
      </c>
    </row>
    <row r="161" spans="1:39" x14ac:dyDescent="0.3">
      <c r="A161" s="30" t="s">
        <v>12</v>
      </c>
      <c r="B161" s="30" t="s">
        <v>23</v>
      </c>
      <c r="C161" s="30" t="s">
        <v>30</v>
      </c>
      <c r="D161" s="31" t="s">
        <v>15</v>
      </c>
      <c r="E161" s="31">
        <v>287</v>
      </c>
      <c r="F161" s="31" t="s">
        <v>333</v>
      </c>
      <c r="G161" s="32">
        <v>38855</v>
      </c>
      <c r="H161" s="32">
        <v>37823</v>
      </c>
      <c r="I161" s="32" t="s">
        <v>357</v>
      </c>
      <c r="J161" s="32">
        <v>38119</v>
      </c>
      <c r="K161" s="32">
        <v>27500</v>
      </c>
      <c r="L161" s="32">
        <v>46312</v>
      </c>
      <c r="M161" s="32">
        <v>43651</v>
      </c>
      <c r="N161" s="32">
        <v>35774</v>
      </c>
      <c r="O161" s="32">
        <v>36457</v>
      </c>
      <c r="P161" s="32">
        <v>37902</v>
      </c>
      <c r="Q161" s="32">
        <v>40802</v>
      </c>
      <c r="R161" s="32">
        <v>35256</v>
      </c>
      <c r="S161" s="32">
        <v>33589</v>
      </c>
      <c r="T161" s="32">
        <v>36195</v>
      </c>
      <c r="U161" s="32">
        <v>36758</v>
      </c>
      <c r="V161" s="32">
        <v>36227</v>
      </c>
      <c r="W161" s="32">
        <v>36348</v>
      </c>
      <c r="X161" s="32">
        <v>40860</v>
      </c>
      <c r="Y161" s="32">
        <v>42998</v>
      </c>
      <c r="Z161" s="32">
        <v>41957</v>
      </c>
      <c r="AA161" s="32">
        <v>43626</v>
      </c>
      <c r="AB161" s="32">
        <v>42242</v>
      </c>
      <c r="AC161" s="32">
        <v>44342</v>
      </c>
      <c r="AD161" s="32">
        <v>34899</v>
      </c>
      <c r="AE161" s="32">
        <v>38789</v>
      </c>
      <c r="AF161" s="32">
        <v>36603</v>
      </c>
      <c r="AG161" s="32">
        <v>34053</v>
      </c>
      <c r="AH161" s="32">
        <v>35949</v>
      </c>
      <c r="AI161" s="32">
        <v>35674</v>
      </c>
      <c r="AJ161" s="32">
        <v>33241</v>
      </c>
      <c r="AK161" s="32">
        <v>41260</v>
      </c>
      <c r="AL161" s="32">
        <v>37689</v>
      </c>
      <c r="AM161" s="32">
        <v>34407</v>
      </c>
    </row>
    <row r="162" spans="1:39" x14ac:dyDescent="0.3">
      <c r="A162" s="30" t="s">
        <v>12</v>
      </c>
      <c r="B162" s="30" t="s">
        <v>23</v>
      </c>
      <c r="C162" s="30" t="s">
        <v>21</v>
      </c>
      <c r="D162" s="31" t="s">
        <v>20</v>
      </c>
      <c r="E162" s="31">
        <v>33</v>
      </c>
      <c r="F162" s="31" t="s">
        <v>296</v>
      </c>
      <c r="G162" s="32">
        <v>35631</v>
      </c>
      <c r="H162" s="32">
        <v>27967</v>
      </c>
      <c r="I162" s="32">
        <v>31899</v>
      </c>
      <c r="J162" s="32">
        <v>31274</v>
      </c>
      <c r="K162" s="32">
        <v>32514</v>
      </c>
      <c r="L162" s="32">
        <v>33753</v>
      </c>
      <c r="M162" s="32" t="s">
        <v>359</v>
      </c>
      <c r="N162" s="32">
        <v>33297</v>
      </c>
      <c r="O162" s="32">
        <v>32706</v>
      </c>
      <c r="P162" s="32">
        <v>31703</v>
      </c>
      <c r="Q162" s="32">
        <v>32403</v>
      </c>
      <c r="R162" s="32">
        <v>32925</v>
      </c>
      <c r="S162" s="32">
        <v>32802</v>
      </c>
      <c r="T162" s="32">
        <v>33791</v>
      </c>
      <c r="U162" s="32">
        <v>33852</v>
      </c>
      <c r="V162" s="32">
        <v>34494</v>
      </c>
      <c r="W162" s="32">
        <v>34921</v>
      </c>
      <c r="X162" s="32">
        <v>39406</v>
      </c>
      <c r="Y162" s="32">
        <v>43339</v>
      </c>
      <c r="Z162" s="32">
        <v>43381</v>
      </c>
      <c r="AA162" s="32">
        <v>44643</v>
      </c>
      <c r="AB162" s="32">
        <v>46898</v>
      </c>
      <c r="AC162" s="32">
        <v>42538</v>
      </c>
      <c r="AD162" s="32">
        <v>45182</v>
      </c>
      <c r="AE162" s="32">
        <v>44947</v>
      </c>
      <c r="AF162" s="32">
        <v>40917</v>
      </c>
      <c r="AG162" s="32">
        <v>38332</v>
      </c>
      <c r="AH162" s="32">
        <v>37939</v>
      </c>
      <c r="AI162" s="32">
        <v>35738</v>
      </c>
      <c r="AJ162" s="39" t="s">
        <v>355</v>
      </c>
      <c r="AK162" s="39" t="s">
        <v>355</v>
      </c>
      <c r="AL162" s="39" t="s">
        <v>355</v>
      </c>
      <c r="AM162" s="39" t="s">
        <v>355</v>
      </c>
    </row>
    <row r="163" spans="1:39" x14ac:dyDescent="0.3">
      <c r="A163" s="30" t="s">
        <v>12</v>
      </c>
      <c r="B163" s="30" t="s">
        <v>23</v>
      </c>
      <c r="C163" s="30" t="s">
        <v>19</v>
      </c>
      <c r="D163" s="31" t="s">
        <v>20</v>
      </c>
      <c r="E163" s="31">
        <v>660</v>
      </c>
      <c r="F163" s="31" t="s">
        <v>334</v>
      </c>
      <c r="G163" s="32">
        <v>30210</v>
      </c>
      <c r="H163" s="32">
        <v>27729</v>
      </c>
      <c r="I163" s="32">
        <v>30641</v>
      </c>
      <c r="J163" s="32">
        <v>29182</v>
      </c>
      <c r="K163" s="32">
        <v>28397</v>
      </c>
      <c r="L163" s="32">
        <v>27613</v>
      </c>
      <c r="M163" s="32">
        <v>28652</v>
      </c>
      <c r="N163" s="32">
        <v>27686</v>
      </c>
      <c r="O163" s="32">
        <v>28579</v>
      </c>
      <c r="P163" s="32">
        <v>27601</v>
      </c>
      <c r="Q163" s="32">
        <v>27859</v>
      </c>
      <c r="R163" s="32">
        <v>27647</v>
      </c>
      <c r="S163" s="32">
        <v>28434</v>
      </c>
      <c r="T163" s="32">
        <v>28545</v>
      </c>
      <c r="U163" s="32">
        <v>29095</v>
      </c>
      <c r="V163" s="32">
        <v>30100</v>
      </c>
      <c r="W163" s="32">
        <v>30172</v>
      </c>
      <c r="X163" s="32">
        <v>33283</v>
      </c>
      <c r="Y163" s="32">
        <v>33347</v>
      </c>
      <c r="Z163" s="32">
        <v>35291</v>
      </c>
      <c r="AA163" s="32">
        <v>34812</v>
      </c>
      <c r="AB163" s="32">
        <v>36692</v>
      </c>
      <c r="AC163" s="32">
        <v>34052</v>
      </c>
      <c r="AD163" s="32">
        <v>30822</v>
      </c>
      <c r="AE163" s="32">
        <v>33588</v>
      </c>
      <c r="AF163" s="32">
        <v>30826</v>
      </c>
      <c r="AG163" s="32">
        <v>29584</v>
      </c>
      <c r="AH163" s="32">
        <v>30753</v>
      </c>
      <c r="AI163" s="32">
        <v>27147</v>
      </c>
      <c r="AJ163" s="39" t="s">
        <v>355</v>
      </c>
      <c r="AK163" s="39" t="s">
        <v>355</v>
      </c>
      <c r="AL163" s="39" t="s">
        <v>355</v>
      </c>
      <c r="AM163" s="39" t="s">
        <v>355</v>
      </c>
    </row>
    <row r="164" spans="1:39" x14ac:dyDescent="0.3">
      <c r="A164" s="30" t="s">
        <v>12</v>
      </c>
      <c r="B164" s="30" t="s">
        <v>23</v>
      </c>
      <c r="C164" s="30" t="s">
        <v>249</v>
      </c>
      <c r="D164" s="31" t="s">
        <v>103</v>
      </c>
      <c r="E164" s="31">
        <v>550</v>
      </c>
      <c r="F164" s="31">
        <v>550</v>
      </c>
      <c r="G164" s="32">
        <v>28844</v>
      </c>
      <c r="H164" s="32">
        <v>28749</v>
      </c>
      <c r="I164" s="32">
        <v>28181</v>
      </c>
      <c r="J164" s="32">
        <v>28817</v>
      </c>
      <c r="K164" s="32">
        <v>27152</v>
      </c>
      <c r="L164" s="32">
        <v>25487</v>
      </c>
      <c r="M164" s="32">
        <v>26060</v>
      </c>
      <c r="N164" s="32">
        <v>25532</v>
      </c>
      <c r="O164" s="32">
        <v>26313</v>
      </c>
      <c r="P164" s="32">
        <v>24281</v>
      </c>
      <c r="Q164" s="32">
        <v>28506</v>
      </c>
      <c r="R164" s="32">
        <v>23487</v>
      </c>
      <c r="S164" s="32">
        <v>23657</v>
      </c>
      <c r="T164" s="32">
        <v>35967</v>
      </c>
      <c r="U164" s="32">
        <v>36875</v>
      </c>
      <c r="V164" s="32">
        <v>36650</v>
      </c>
      <c r="W164" s="32">
        <v>37592</v>
      </c>
      <c r="X164" s="32">
        <v>38023</v>
      </c>
      <c r="Y164" s="32">
        <v>40147</v>
      </c>
      <c r="Z164" s="32">
        <v>38854</v>
      </c>
      <c r="AA164" s="32">
        <v>39197</v>
      </c>
      <c r="AB164" s="32">
        <v>41183</v>
      </c>
      <c r="AC164" s="32">
        <v>37189</v>
      </c>
      <c r="AD164" s="32">
        <v>33372</v>
      </c>
      <c r="AE164" s="32">
        <v>36148</v>
      </c>
      <c r="AF164" s="32">
        <v>35242</v>
      </c>
      <c r="AG164" s="32">
        <v>31295</v>
      </c>
      <c r="AH164" s="32">
        <v>34335</v>
      </c>
      <c r="AI164" s="32">
        <v>30370</v>
      </c>
      <c r="AJ164" s="39" t="s">
        <v>355</v>
      </c>
      <c r="AK164" s="39" t="s">
        <v>355</v>
      </c>
      <c r="AL164" s="39" t="s">
        <v>355</v>
      </c>
      <c r="AM164" s="39" t="s">
        <v>355</v>
      </c>
    </row>
    <row r="165" spans="1:39" x14ac:dyDescent="0.3">
      <c r="A165" s="30" t="s">
        <v>12</v>
      </c>
      <c r="B165" s="30" t="s">
        <v>23</v>
      </c>
      <c r="C165" s="30" t="s">
        <v>34</v>
      </c>
      <c r="D165" s="31" t="s">
        <v>15</v>
      </c>
      <c r="E165" s="31">
        <v>5096</v>
      </c>
      <c r="F165" s="31" t="s">
        <v>335</v>
      </c>
      <c r="G165" s="32">
        <v>47947</v>
      </c>
      <c r="H165" s="32">
        <v>44982</v>
      </c>
      <c r="I165" s="32">
        <v>45873</v>
      </c>
      <c r="J165" s="32">
        <v>43207</v>
      </c>
      <c r="K165" s="32">
        <v>42992</v>
      </c>
      <c r="L165" s="32">
        <v>46209</v>
      </c>
      <c r="M165" s="32" t="s">
        <v>359</v>
      </c>
      <c r="N165" s="32">
        <v>47080</v>
      </c>
      <c r="O165" s="32">
        <v>43364</v>
      </c>
      <c r="P165" s="32">
        <v>47184</v>
      </c>
      <c r="Q165" s="32">
        <v>41306</v>
      </c>
      <c r="R165" s="32">
        <v>44981</v>
      </c>
      <c r="S165" s="32">
        <v>42309</v>
      </c>
      <c r="T165" s="32">
        <v>45191</v>
      </c>
      <c r="U165" s="32">
        <v>45258</v>
      </c>
      <c r="V165" s="32">
        <v>46273</v>
      </c>
      <c r="W165" s="32">
        <v>45399</v>
      </c>
      <c r="X165" s="32">
        <v>50045</v>
      </c>
      <c r="Y165" s="32">
        <v>54389</v>
      </c>
      <c r="Z165" s="32">
        <v>50673</v>
      </c>
      <c r="AA165" s="32">
        <v>53706</v>
      </c>
      <c r="AB165" s="32">
        <v>54619</v>
      </c>
      <c r="AC165" s="32">
        <v>51469</v>
      </c>
      <c r="AD165" s="32">
        <v>50385</v>
      </c>
      <c r="AE165" s="32">
        <v>47631</v>
      </c>
      <c r="AF165" s="32">
        <v>45494</v>
      </c>
      <c r="AG165" s="32">
        <v>44447</v>
      </c>
      <c r="AH165" s="32">
        <v>45286</v>
      </c>
      <c r="AI165" s="32">
        <v>50316</v>
      </c>
      <c r="AJ165" s="32">
        <v>50285</v>
      </c>
      <c r="AK165" s="32">
        <v>45703</v>
      </c>
      <c r="AL165" s="32">
        <v>44734</v>
      </c>
      <c r="AM165" s="32">
        <v>45632</v>
      </c>
    </row>
    <row r="166" spans="1:39" x14ac:dyDescent="0.3">
      <c r="A166" s="30" t="s">
        <v>12</v>
      </c>
      <c r="B166" s="30" t="s">
        <v>23</v>
      </c>
      <c r="C166" s="30" t="s">
        <v>33</v>
      </c>
      <c r="D166" s="31" t="s">
        <v>20</v>
      </c>
      <c r="E166" s="31">
        <v>5098</v>
      </c>
      <c r="F166" s="31" t="s">
        <v>335</v>
      </c>
      <c r="G166" s="32">
        <v>47947</v>
      </c>
      <c r="H166" s="32">
        <v>44982</v>
      </c>
      <c r="I166" s="32">
        <v>45873</v>
      </c>
      <c r="J166" s="32">
        <v>44537</v>
      </c>
      <c r="K166" s="32">
        <v>50579</v>
      </c>
      <c r="L166" s="32">
        <v>56621</v>
      </c>
      <c r="M166" s="32">
        <v>52398</v>
      </c>
      <c r="N166" s="32">
        <v>41568</v>
      </c>
      <c r="O166" s="32">
        <v>45758</v>
      </c>
      <c r="P166" s="32">
        <v>42433</v>
      </c>
      <c r="Q166" s="32">
        <v>41575</v>
      </c>
      <c r="R166" s="32">
        <v>39614</v>
      </c>
      <c r="S166" s="32">
        <v>41019</v>
      </c>
      <c r="T166" s="32">
        <v>41427</v>
      </c>
      <c r="U166" s="32">
        <v>43018</v>
      </c>
      <c r="V166" s="32">
        <v>44118</v>
      </c>
      <c r="W166" s="32">
        <v>43282</v>
      </c>
      <c r="X166" s="32">
        <v>45884</v>
      </c>
      <c r="Y166" s="32">
        <v>53212</v>
      </c>
      <c r="Z166" s="32">
        <v>47438</v>
      </c>
      <c r="AA166" s="32">
        <v>52563</v>
      </c>
      <c r="AB166" s="32">
        <v>51453</v>
      </c>
      <c r="AC166" s="32">
        <v>49717</v>
      </c>
      <c r="AD166" s="32">
        <v>44045</v>
      </c>
      <c r="AE166" s="32">
        <v>44543</v>
      </c>
      <c r="AF166" s="32">
        <v>41966</v>
      </c>
      <c r="AG166" s="32">
        <v>41951</v>
      </c>
      <c r="AH166" s="32">
        <v>47193</v>
      </c>
      <c r="AI166" s="32">
        <v>48203</v>
      </c>
      <c r="AJ166" s="32">
        <v>42599</v>
      </c>
      <c r="AK166" s="32">
        <v>46883</v>
      </c>
      <c r="AL166" s="32">
        <v>46688</v>
      </c>
      <c r="AM166" s="32">
        <v>41451</v>
      </c>
    </row>
    <row r="167" spans="1:39" x14ac:dyDescent="0.3">
      <c r="A167" s="30" t="s">
        <v>12</v>
      </c>
      <c r="B167" s="30" t="s">
        <v>23</v>
      </c>
      <c r="C167" s="30" t="s">
        <v>35</v>
      </c>
      <c r="D167" s="31" t="s">
        <v>20</v>
      </c>
      <c r="E167" s="31">
        <v>7075</v>
      </c>
      <c r="F167" s="31" t="s">
        <v>336</v>
      </c>
      <c r="G167" s="32">
        <v>29446</v>
      </c>
      <c r="H167" s="32">
        <v>26558</v>
      </c>
      <c r="I167" s="32">
        <v>27169</v>
      </c>
      <c r="J167" s="32">
        <v>26636</v>
      </c>
      <c r="K167" s="32">
        <v>25075</v>
      </c>
      <c r="L167" s="32">
        <v>23514</v>
      </c>
      <c r="M167" s="32">
        <v>22021</v>
      </c>
      <c r="N167" s="32">
        <v>22421</v>
      </c>
      <c r="O167" s="32">
        <v>27030</v>
      </c>
      <c r="P167" s="32">
        <v>22631</v>
      </c>
      <c r="Q167" s="32">
        <v>26266</v>
      </c>
      <c r="R167" s="32">
        <v>26408</v>
      </c>
      <c r="S167" s="32">
        <v>26912</v>
      </c>
      <c r="T167" s="32">
        <v>28215</v>
      </c>
      <c r="U167" s="32">
        <v>26334</v>
      </c>
      <c r="V167" s="32">
        <v>28017</v>
      </c>
      <c r="W167" s="32">
        <v>28319</v>
      </c>
      <c r="X167" s="32">
        <v>32032</v>
      </c>
      <c r="Y167" s="32">
        <v>33164</v>
      </c>
      <c r="Z167" s="32">
        <v>33319</v>
      </c>
      <c r="AA167" s="32">
        <v>34610</v>
      </c>
      <c r="AB167" s="32">
        <v>34948</v>
      </c>
      <c r="AC167" s="32">
        <v>32499</v>
      </c>
      <c r="AD167" s="32">
        <v>30544</v>
      </c>
      <c r="AE167" s="32">
        <v>33720</v>
      </c>
      <c r="AF167" s="32">
        <v>30460</v>
      </c>
      <c r="AG167" s="32">
        <v>30304</v>
      </c>
      <c r="AH167" s="32">
        <v>28344</v>
      </c>
      <c r="AI167" s="32">
        <v>27909</v>
      </c>
      <c r="AJ167" s="32">
        <v>28019</v>
      </c>
      <c r="AK167" s="32">
        <v>23190</v>
      </c>
      <c r="AL167" s="32">
        <v>26346</v>
      </c>
      <c r="AM167" s="32">
        <v>27153</v>
      </c>
    </row>
    <row r="168" spans="1:39" x14ac:dyDescent="0.3">
      <c r="A168" s="30" t="s">
        <v>71</v>
      </c>
      <c r="B168" s="30" t="s">
        <v>251</v>
      </c>
      <c r="C168" s="30" t="s">
        <v>46</v>
      </c>
      <c r="D168" s="31" t="s">
        <v>103</v>
      </c>
      <c r="E168" s="31">
        <v>610</v>
      </c>
      <c r="F168" s="31">
        <v>610</v>
      </c>
      <c r="G168" s="32">
        <v>1072</v>
      </c>
      <c r="H168" s="32">
        <v>947</v>
      </c>
      <c r="I168" s="32">
        <v>899</v>
      </c>
      <c r="J168" s="32">
        <v>728</v>
      </c>
      <c r="K168" s="32">
        <v>748</v>
      </c>
      <c r="L168" s="32">
        <v>768</v>
      </c>
      <c r="M168" s="32">
        <v>786</v>
      </c>
      <c r="N168" s="32">
        <v>752</v>
      </c>
      <c r="O168" s="32">
        <v>794</v>
      </c>
      <c r="P168" s="32">
        <v>911</v>
      </c>
      <c r="Q168" s="32">
        <v>778</v>
      </c>
      <c r="R168" s="32">
        <v>973</v>
      </c>
      <c r="S168" s="32">
        <v>743</v>
      </c>
      <c r="T168" s="32">
        <v>902</v>
      </c>
      <c r="U168" s="32">
        <v>922</v>
      </c>
      <c r="V168" s="32">
        <v>915</v>
      </c>
      <c r="W168" s="32">
        <v>848</v>
      </c>
      <c r="X168" s="32">
        <v>953</v>
      </c>
      <c r="Y168" s="32">
        <v>1146</v>
      </c>
      <c r="Z168" s="32">
        <v>912</v>
      </c>
      <c r="AA168" s="32">
        <v>977</v>
      </c>
      <c r="AB168" s="32">
        <v>1526</v>
      </c>
      <c r="AC168" s="32">
        <v>991</v>
      </c>
      <c r="AD168" s="32">
        <v>946</v>
      </c>
      <c r="AE168" s="32">
        <v>902</v>
      </c>
      <c r="AF168" s="32">
        <v>964</v>
      </c>
      <c r="AG168" s="32">
        <v>1011</v>
      </c>
      <c r="AH168" s="32">
        <v>715</v>
      </c>
      <c r="AI168" s="32">
        <v>780</v>
      </c>
      <c r="AJ168" s="39" t="s">
        <v>355</v>
      </c>
      <c r="AK168" s="39" t="s">
        <v>355</v>
      </c>
      <c r="AL168" s="39" t="s">
        <v>355</v>
      </c>
      <c r="AM168" s="39" t="s">
        <v>355</v>
      </c>
    </row>
    <row r="169" spans="1:39" x14ac:dyDescent="0.3">
      <c r="A169" s="30" t="s">
        <v>71</v>
      </c>
      <c r="B169" s="30" t="s">
        <v>251</v>
      </c>
      <c r="C169" s="30" t="s">
        <v>252</v>
      </c>
      <c r="D169" s="31" t="s">
        <v>103</v>
      </c>
      <c r="E169" s="31">
        <v>612</v>
      </c>
      <c r="F169" s="31">
        <v>612</v>
      </c>
      <c r="G169" s="32">
        <v>669</v>
      </c>
      <c r="H169" s="32">
        <v>798</v>
      </c>
      <c r="I169" s="32">
        <v>893</v>
      </c>
      <c r="J169" s="32">
        <v>1068</v>
      </c>
      <c r="K169" s="32">
        <v>1094</v>
      </c>
      <c r="L169" s="32">
        <v>1119</v>
      </c>
      <c r="M169" s="39" t="s">
        <v>355</v>
      </c>
      <c r="N169" s="39" t="s">
        <v>355</v>
      </c>
      <c r="O169" s="39" t="s">
        <v>355</v>
      </c>
      <c r="P169" s="39" t="s">
        <v>355</v>
      </c>
      <c r="Q169" s="39" t="s">
        <v>355</v>
      </c>
      <c r="R169" s="39" t="s">
        <v>355</v>
      </c>
      <c r="S169" s="39" t="s">
        <v>355</v>
      </c>
      <c r="T169" s="39" t="s">
        <v>355</v>
      </c>
      <c r="U169" s="39" t="s">
        <v>355</v>
      </c>
      <c r="V169" s="39" t="s">
        <v>355</v>
      </c>
      <c r="W169" s="39" t="s">
        <v>355</v>
      </c>
      <c r="X169" s="39" t="s">
        <v>355</v>
      </c>
      <c r="Y169" s="39" t="s">
        <v>355</v>
      </c>
      <c r="Z169" s="39" t="s">
        <v>355</v>
      </c>
      <c r="AA169" s="39" t="s">
        <v>355</v>
      </c>
      <c r="AB169" s="39" t="s">
        <v>355</v>
      </c>
      <c r="AC169" s="39" t="s">
        <v>355</v>
      </c>
      <c r="AD169" s="39" t="s">
        <v>355</v>
      </c>
      <c r="AE169" s="39" t="s">
        <v>355</v>
      </c>
      <c r="AF169" s="39" t="s">
        <v>355</v>
      </c>
      <c r="AG169" s="39" t="s">
        <v>355</v>
      </c>
      <c r="AH169" s="39" t="s">
        <v>355</v>
      </c>
      <c r="AI169" s="39" t="s">
        <v>355</v>
      </c>
      <c r="AJ169" s="39" t="s">
        <v>355</v>
      </c>
      <c r="AK169" s="39" t="s">
        <v>355</v>
      </c>
      <c r="AL169" s="39" t="s">
        <v>355</v>
      </c>
      <c r="AM169" s="39" t="s">
        <v>355</v>
      </c>
    </row>
    <row r="170" spans="1:39" x14ac:dyDescent="0.3">
      <c r="A170" s="30" t="s">
        <v>71</v>
      </c>
      <c r="B170" s="30" t="s">
        <v>96</v>
      </c>
      <c r="C170" s="30" t="s">
        <v>253</v>
      </c>
      <c r="D170" s="31" t="s">
        <v>103</v>
      </c>
      <c r="E170" s="31">
        <v>502</v>
      </c>
      <c r="F170" s="31">
        <v>502</v>
      </c>
      <c r="G170" s="32">
        <v>13133</v>
      </c>
      <c r="H170" s="32">
        <v>13074</v>
      </c>
      <c r="I170" s="32">
        <v>12957</v>
      </c>
      <c r="J170" s="32">
        <v>12962</v>
      </c>
      <c r="K170" s="32">
        <v>12749</v>
      </c>
      <c r="L170" s="32">
        <v>12535</v>
      </c>
      <c r="M170" s="32">
        <v>12470</v>
      </c>
      <c r="N170" s="32">
        <v>12163</v>
      </c>
      <c r="O170" s="32">
        <v>14246</v>
      </c>
      <c r="P170" s="32">
        <v>13841</v>
      </c>
      <c r="Q170" s="32">
        <v>11510</v>
      </c>
      <c r="R170" s="32">
        <v>10804</v>
      </c>
      <c r="S170" s="32">
        <v>9640</v>
      </c>
      <c r="T170" s="32">
        <v>9898</v>
      </c>
      <c r="U170" s="32">
        <v>8406</v>
      </c>
      <c r="V170" s="32">
        <v>9532</v>
      </c>
      <c r="W170" s="32">
        <v>8130</v>
      </c>
      <c r="X170" s="32">
        <v>9777</v>
      </c>
      <c r="Y170" s="32">
        <v>9234</v>
      </c>
      <c r="Z170" s="32">
        <v>7870</v>
      </c>
      <c r="AA170" s="32">
        <v>7568</v>
      </c>
      <c r="AB170" s="32">
        <v>6665</v>
      </c>
      <c r="AC170" s="32">
        <v>5638</v>
      </c>
      <c r="AD170" s="32">
        <v>5690</v>
      </c>
      <c r="AE170" s="32">
        <v>4202</v>
      </c>
      <c r="AF170" s="32">
        <v>3238</v>
      </c>
      <c r="AG170" s="32">
        <v>2098</v>
      </c>
      <c r="AH170" s="32">
        <v>791</v>
      </c>
      <c r="AI170" s="32">
        <v>320</v>
      </c>
      <c r="AJ170" s="39" t="s">
        <v>355</v>
      </c>
      <c r="AK170" s="39" t="s">
        <v>355</v>
      </c>
      <c r="AL170" s="39" t="s">
        <v>355</v>
      </c>
      <c r="AM170" s="39" t="s">
        <v>355</v>
      </c>
    </row>
    <row r="171" spans="1:39" x14ac:dyDescent="0.3">
      <c r="A171" s="30" t="s">
        <v>71</v>
      </c>
      <c r="B171" s="30" t="s">
        <v>96</v>
      </c>
      <c r="C171" s="30" t="s">
        <v>97</v>
      </c>
      <c r="D171" s="31" t="s">
        <v>20</v>
      </c>
      <c r="E171" s="31">
        <v>8150</v>
      </c>
      <c r="F171" s="31" t="s">
        <v>337</v>
      </c>
      <c r="G171" s="32">
        <v>17324</v>
      </c>
      <c r="H171" s="32">
        <v>16715</v>
      </c>
      <c r="I171" s="32">
        <v>16394</v>
      </c>
      <c r="J171" s="32">
        <v>16560</v>
      </c>
      <c r="K171" s="32">
        <v>15534</v>
      </c>
      <c r="L171" s="32">
        <v>14509</v>
      </c>
      <c r="M171" s="32">
        <v>15928</v>
      </c>
      <c r="N171" s="32">
        <v>16163</v>
      </c>
      <c r="O171" s="32">
        <v>16121</v>
      </c>
      <c r="P171" s="32">
        <v>16450</v>
      </c>
      <c r="Q171" s="39" t="s">
        <v>355</v>
      </c>
      <c r="R171" s="39" t="s">
        <v>355</v>
      </c>
      <c r="S171" s="39" t="s">
        <v>355</v>
      </c>
      <c r="T171" s="39" t="s">
        <v>355</v>
      </c>
      <c r="U171" s="39" t="s">
        <v>355</v>
      </c>
      <c r="V171" s="39" t="s">
        <v>355</v>
      </c>
      <c r="W171" s="39" t="s">
        <v>355</v>
      </c>
      <c r="X171" s="39" t="s">
        <v>355</v>
      </c>
      <c r="Y171" s="39" t="s">
        <v>355</v>
      </c>
      <c r="Z171" s="39" t="s">
        <v>355</v>
      </c>
      <c r="AA171" s="39" t="s">
        <v>355</v>
      </c>
      <c r="AB171" s="39" t="s">
        <v>355</v>
      </c>
      <c r="AC171" s="39" t="s">
        <v>355</v>
      </c>
      <c r="AD171" s="39" t="s">
        <v>355</v>
      </c>
      <c r="AE171" s="39" t="s">
        <v>355</v>
      </c>
      <c r="AF171" s="39" t="s">
        <v>355</v>
      </c>
      <c r="AG171" s="39" t="s">
        <v>355</v>
      </c>
      <c r="AH171" s="39" t="s">
        <v>355</v>
      </c>
      <c r="AI171" s="39" t="s">
        <v>355</v>
      </c>
      <c r="AJ171" s="39" t="s">
        <v>355</v>
      </c>
      <c r="AK171" s="39" t="s">
        <v>355</v>
      </c>
      <c r="AL171" s="39" t="s">
        <v>355</v>
      </c>
      <c r="AM171" s="39" t="s">
        <v>355</v>
      </c>
    </row>
    <row r="172" spans="1:39" x14ac:dyDescent="0.3">
      <c r="A172" s="30" t="s">
        <v>71</v>
      </c>
      <c r="B172" s="30" t="s">
        <v>96</v>
      </c>
      <c r="C172" s="30" t="s">
        <v>98</v>
      </c>
      <c r="D172" s="31" t="s">
        <v>20</v>
      </c>
      <c r="E172" s="31">
        <v>8151</v>
      </c>
      <c r="F172" s="31" t="s">
        <v>338</v>
      </c>
      <c r="G172" s="32">
        <v>5577</v>
      </c>
      <c r="H172" s="32">
        <v>5793</v>
      </c>
      <c r="I172" s="32">
        <v>4868</v>
      </c>
      <c r="J172" s="32">
        <v>4917</v>
      </c>
      <c r="K172" s="32">
        <v>4946</v>
      </c>
      <c r="L172" s="32">
        <v>4975</v>
      </c>
      <c r="M172" s="32">
        <v>5173</v>
      </c>
      <c r="N172" s="32">
        <v>5171</v>
      </c>
      <c r="O172" s="32">
        <v>6392</v>
      </c>
      <c r="P172" s="32">
        <v>6500</v>
      </c>
      <c r="Q172" s="32">
        <v>4868</v>
      </c>
      <c r="R172" s="32">
        <v>4600</v>
      </c>
      <c r="S172" s="32">
        <v>2681</v>
      </c>
      <c r="T172" s="32">
        <v>4019</v>
      </c>
      <c r="U172" s="32">
        <v>3499</v>
      </c>
      <c r="V172" s="32">
        <v>3809</v>
      </c>
      <c r="W172" s="32">
        <v>3523</v>
      </c>
      <c r="X172" s="32">
        <v>3649</v>
      </c>
      <c r="Y172" s="32">
        <v>3396</v>
      </c>
      <c r="Z172" s="32">
        <v>3127</v>
      </c>
      <c r="AA172" s="32">
        <v>2477</v>
      </c>
      <c r="AB172" s="32">
        <v>1945</v>
      </c>
      <c r="AC172" s="32">
        <v>994</v>
      </c>
      <c r="AD172" s="32">
        <v>1406</v>
      </c>
      <c r="AE172" s="39" t="s">
        <v>355</v>
      </c>
      <c r="AF172" s="39" t="s">
        <v>355</v>
      </c>
      <c r="AG172" s="39" t="s">
        <v>355</v>
      </c>
      <c r="AH172" s="39" t="s">
        <v>355</v>
      </c>
      <c r="AI172" s="39" t="s">
        <v>355</v>
      </c>
      <c r="AJ172" s="39" t="s">
        <v>355</v>
      </c>
      <c r="AK172" s="39" t="s">
        <v>355</v>
      </c>
      <c r="AL172" s="39" t="s">
        <v>355</v>
      </c>
      <c r="AM172" s="39" t="s">
        <v>355</v>
      </c>
    </row>
    <row r="173" spans="1:39" x14ac:dyDescent="0.3">
      <c r="A173" s="30" t="s">
        <v>71</v>
      </c>
      <c r="B173" s="30" t="s">
        <v>96</v>
      </c>
      <c r="C173" s="30" t="s">
        <v>255</v>
      </c>
      <c r="D173" s="31" t="s">
        <v>103</v>
      </c>
      <c r="E173" s="31">
        <v>503</v>
      </c>
      <c r="F173" s="31">
        <v>503</v>
      </c>
      <c r="G173" s="32">
        <v>12213</v>
      </c>
      <c r="H173" s="32">
        <v>11907</v>
      </c>
      <c r="I173" s="32">
        <v>11592</v>
      </c>
      <c r="J173" s="32">
        <v>11782</v>
      </c>
      <c r="K173" s="32">
        <v>10722</v>
      </c>
      <c r="L173" s="32">
        <v>9662</v>
      </c>
      <c r="M173" s="32">
        <v>11059</v>
      </c>
      <c r="N173" s="32">
        <v>11059</v>
      </c>
      <c r="O173" s="32">
        <v>11359</v>
      </c>
      <c r="P173" s="32">
        <v>11181</v>
      </c>
      <c r="Q173" s="32">
        <v>10107</v>
      </c>
      <c r="R173" s="32">
        <v>10224</v>
      </c>
      <c r="S173" s="32">
        <v>11178</v>
      </c>
      <c r="T173" s="32">
        <v>10881</v>
      </c>
      <c r="U173" s="32">
        <v>11415</v>
      </c>
      <c r="V173" s="32">
        <v>11078</v>
      </c>
      <c r="W173" s="32">
        <v>11147</v>
      </c>
      <c r="X173" s="32">
        <v>11329</v>
      </c>
      <c r="Y173" s="32">
        <v>10531</v>
      </c>
      <c r="Z173" s="32">
        <v>10568</v>
      </c>
      <c r="AA173" s="32">
        <v>9561</v>
      </c>
      <c r="AB173" s="32">
        <v>8197</v>
      </c>
      <c r="AC173" s="32">
        <v>6982</v>
      </c>
      <c r="AD173" s="32">
        <v>7442</v>
      </c>
      <c r="AE173" s="32">
        <v>5734</v>
      </c>
      <c r="AF173" s="32">
        <v>5011</v>
      </c>
      <c r="AG173" s="32">
        <v>3908</v>
      </c>
      <c r="AH173" s="32">
        <v>4505</v>
      </c>
      <c r="AI173" s="32">
        <v>3752</v>
      </c>
      <c r="AJ173" s="39" t="s">
        <v>355</v>
      </c>
      <c r="AK173" s="39" t="s">
        <v>355</v>
      </c>
      <c r="AL173" s="39" t="s">
        <v>355</v>
      </c>
      <c r="AM173" s="39" t="s">
        <v>355</v>
      </c>
    </row>
    <row r="174" spans="1:39" x14ac:dyDescent="0.3">
      <c r="A174" s="30" t="s">
        <v>71</v>
      </c>
      <c r="B174" s="30" t="s">
        <v>96</v>
      </c>
      <c r="C174" s="30" t="s">
        <v>256</v>
      </c>
      <c r="D174" s="31" t="s">
        <v>103</v>
      </c>
      <c r="E174" s="31">
        <v>532</v>
      </c>
      <c r="F174" s="31">
        <v>532</v>
      </c>
      <c r="G174" s="32">
        <v>14883</v>
      </c>
      <c r="H174" s="32">
        <v>14680</v>
      </c>
      <c r="I174" s="32">
        <v>14673</v>
      </c>
      <c r="J174" s="32">
        <v>14656</v>
      </c>
      <c r="K174" s="32">
        <v>14369</v>
      </c>
      <c r="L174" s="32">
        <v>14081</v>
      </c>
      <c r="M174" s="32">
        <v>15318</v>
      </c>
      <c r="N174" s="32">
        <v>16163</v>
      </c>
      <c r="O174" s="32">
        <v>15958</v>
      </c>
      <c r="P174" s="32">
        <v>14293</v>
      </c>
      <c r="Q174" s="32">
        <v>12674</v>
      </c>
      <c r="R174" s="32">
        <v>11980</v>
      </c>
      <c r="S174" s="32">
        <v>10908</v>
      </c>
      <c r="T174" s="32">
        <v>10022</v>
      </c>
      <c r="U174" s="32">
        <v>9096</v>
      </c>
      <c r="V174" s="32">
        <v>9217</v>
      </c>
      <c r="W174" s="32">
        <v>8981</v>
      </c>
      <c r="X174" s="32">
        <v>9022</v>
      </c>
      <c r="Y174" s="32">
        <v>8934</v>
      </c>
      <c r="Z174" s="32">
        <v>8261</v>
      </c>
      <c r="AA174" s="32">
        <v>8450</v>
      </c>
      <c r="AB174" s="32">
        <v>7087</v>
      </c>
      <c r="AC174" s="32">
        <v>5740</v>
      </c>
      <c r="AD174" s="32">
        <v>6180</v>
      </c>
      <c r="AE174" s="32" t="s">
        <v>358</v>
      </c>
      <c r="AF174" s="32">
        <v>3511</v>
      </c>
      <c r="AG174" s="39" t="s">
        <v>355</v>
      </c>
      <c r="AH174" s="39" t="s">
        <v>355</v>
      </c>
      <c r="AI174" s="39" t="s">
        <v>355</v>
      </c>
      <c r="AJ174" s="39" t="s">
        <v>355</v>
      </c>
      <c r="AK174" s="39" t="s">
        <v>355</v>
      </c>
      <c r="AL174" s="39" t="s">
        <v>355</v>
      </c>
      <c r="AM174" s="39" t="s">
        <v>355</v>
      </c>
    </row>
    <row r="175" spans="1:39" x14ac:dyDescent="0.3">
      <c r="A175" s="30" t="s">
        <v>71</v>
      </c>
      <c r="B175" s="30" t="s">
        <v>96</v>
      </c>
      <c r="C175" s="30" t="s">
        <v>257</v>
      </c>
      <c r="D175" s="31" t="s">
        <v>103</v>
      </c>
      <c r="E175" s="31">
        <v>533</v>
      </c>
      <c r="F175" s="31">
        <v>533</v>
      </c>
      <c r="G175" s="32">
        <v>8294</v>
      </c>
      <c r="H175" s="32">
        <v>8329</v>
      </c>
      <c r="I175" s="32">
        <v>8241</v>
      </c>
      <c r="J175" s="32">
        <v>8694</v>
      </c>
      <c r="K175" s="32">
        <v>7979</v>
      </c>
      <c r="L175" s="32">
        <v>7264</v>
      </c>
      <c r="M175" s="32">
        <v>8270</v>
      </c>
      <c r="N175" s="32">
        <v>7941</v>
      </c>
      <c r="O175" s="32">
        <v>8054</v>
      </c>
      <c r="P175" s="32">
        <v>8341</v>
      </c>
      <c r="Q175" s="32">
        <v>7264</v>
      </c>
      <c r="R175" s="32">
        <v>6754</v>
      </c>
      <c r="S175" s="32">
        <v>6853</v>
      </c>
      <c r="T175" s="32">
        <v>7945</v>
      </c>
      <c r="U175" s="32">
        <v>7550</v>
      </c>
      <c r="V175" s="32">
        <v>7925</v>
      </c>
      <c r="W175" s="32">
        <v>8055</v>
      </c>
      <c r="X175" s="32">
        <v>8013</v>
      </c>
      <c r="Y175" s="32">
        <v>7599</v>
      </c>
      <c r="Z175" s="32">
        <v>6737</v>
      </c>
      <c r="AA175" s="32">
        <v>5846</v>
      </c>
      <c r="AB175" s="32">
        <v>4306</v>
      </c>
      <c r="AC175" s="32">
        <v>3219</v>
      </c>
      <c r="AD175" s="32">
        <v>3500</v>
      </c>
      <c r="AE175" s="39" t="s">
        <v>355</v>
      </c>
      <c r="AF175" s="39" t="s">
        <v>355</v>
      </c>
      <c r="AG175" s="39" t="s">
        <v>355</v>
      </c>
      <c r="AH175" s="39" t="s">
        <v>355</v>
      </c>
      <c r="AI175" s="39" t="s">
        <v>355</v>
      </c>
      <c r="AJ175" s="39" t="s">
        <v>355</v>
      </c>
      <c r="AK175" s="39" t="s">
        <v>355</v>
      </c>
      <c r="AL175" s="39" t="s">
        <v>355</v>
      </c>
      <c r="AM175" s="39" t="s">
        <v>355</v>
      </c>
    </row>
    <row r="176" spans="1:39" x14ac:dyDescent="0.3">
      <c r="A176" s="30" t="s">
        <v>71</v>
      </c>
      <c r="B176" s="30" t="s">
        <v>96</v>
      </c>
      <c r="C176" s="30" t="s">
        <v>258</v>
      </c>
      <c r="D176" s="31" t="s">
        <v>103</v>
      </c>
      <c r="E176" s="31">
        <v>525</v>
      </c>
      <c r="F176" s="31">
        <v>525</v>
      </c>
      <c r="G176" s="32">
        <v>16163</v>
      </c>
      <c r="H176" s="32">
        <v>14992</v>
      </c>
      <c r="I176" s="32">
        <v>15376</v>
      </c>
      <c r="J176" s="32">
        <v>13756</v>
      </c>
      <c r="K176" s="32">
        <v>14813</v>
      </c>
      <c r="L176" s="32">
        <v>15870</v>
      </c>
      <c r="M176" s="32">
        <v>19346</v>
      </c>
      <c r="N176" s="32">
        <v>18162</v>
      </c>
      <c r="O176" s="32">
        <v>16843</v>
      </c>
      <c r="P176" s="32">
        <v>12438</v>
      </c>
      <c r="Q176" s="32">
        <v>16387</v>
      </c>
      <c r="R176" s="32">
        <v>11069</v>
      </c>
      <c r="S176" s="32">
        <v>8746</v>
      </c>
      <c r="T176" s="39" t="s">
        <v>355</v>
      </c>
      <c r="U176" s="39" t="s">
        <v>355</v>
      </c>
      <c r="V176" s="39" t="s">
        <v>355</v>
      </c>
      <c r="W176" s="39" t="s">
        <v>355</v>
      </c>
      <c r="X176" s="39" t="s">
        <v>355</v>
      </c>
      <c r="Y176" s="39" t="s">
        <v>355</v>
      </c>
      <c r="Z176" s="39" t="s">
        <v>355</v>
      </c>
      <c r="AA176" s="39" t="s">
        <v>355</v>
      </c>
      <c r="AB176" s="39" t="s">
        <v>355</v>
      </c>
      <c r="AC176" s="39" t="s">
        <v>355</v>
      </c>
      <c r="AD176" s="39" t="s">
        <v>355</v>
      </c>
      <c r="AE176" s="39" t="s">
        <v>355</v>
      </c>
      <c r="AF176" s="39" t="s">
        <v>355</v>
      </c>
      <c r="AG176" s="39" t="s">
        <v>355</v>
      </c>
      <c r="AH176" s="39" t="s">
        <v>355</v>
      </c>
      <c r="AI176" s="39" t="s">
        <v>355</v>
      </c>
      <c r="AJ176" s="39" t="s">
        <v>355</v>
      </c>
      <c r="AK176" s="39" t="s">
        <v>355</v>
      </c>
      <c r="AL176" s="39" t="s">
        <v>355</v>
      </c>
      <c r="AM176" s="39" t="s">
        <v>355</v>
      </c>
    </row>
    <row r="177" spans="1:39" x14ac:dyDescent="0.3">
      <c r="A177" s="30" t="s">
        <v>71</v>
      </c>
      <c r="B177" s="30" t="s">
        <v>259</v>
      </c>
      <c r="C177" s="30" t="s">
        <v>260</v>
      </c>
      <c r="D177" s="31" t="s">
        <v>103</v>
      </c>
      <c r="E177" s="31">
        <v>534</v>
      </c>
      <c r="F177" s="31">
        <v>534</v>
      </c>
      <c r="G177" s="32">
        <v>6498</v>
      </c>
      <c r="H177" s="39" t="s">
        <v>355</v>
      </c>
      <c r="I177" s="39" t="s">
        <v>355</v>
      </c>
      <c r="J177" s="39" t="s">
        <v>355</v>
      </c>
      <c r="K177" s="39" t="s">
        <v>355</v>
      </c>
      <c r="L177" s="39" t="s">
        <v>355</v>
      </c>
      <c r="M177" s="39" t="s">
        <v>355</v>
      </c>
      <c r="N177" s="39" t="s">
        <v>355</v>
      </c>
      <c r="O177" s="39" t="s">
        <v>355</v>
      </c>
      <c r="P177" s="39" t="s">
        <v>355</v>
      </c>
      <c r="Q177" s="39" t="s">
        <v>355</v>
      </c>
      <c r="R177" s="39" t="s">
        <v>355</v>
      </c>
      <c r="S177" s="39" t="s">
        <v>355</v>
      </c>
      <c r="T177" s="39" t="s">
        <v>355</v>
      </c>
      <c r="U177" s="39" t="s">
        <v>355</v>
      </c>
      <c r="V177" s="39" t="s">
        <v>355</v>
      </c>
      <c r="W177" s="39" t="s">
        <v>355</v>
      </c>
      <c r="X177" s="39" t="s">
        <v>355</v>
      </c>
      <c r="Y177" s="39" t="s">
        <v>355</v>
      </c>
      <c r="Z177" s="39" t="s">
        <v>355</v>
      </c>
      <c r="AA177" s="39" t="s">
        <v>355</v>
      </c>
      <c r="AB177" s="39" t="s">
        <v>355</v>
      </c>
      <c r="AC177" s="39" t="s">
        <v>355</v>
      </c>
      <c r="AD177" s="39" t="s">
        <v>355</v>
      </c>
      <c r="AE177" s="39" t="s">
        <v>355</v>
      </c>
      <c r="AF177" s="39" t="s">
        <v>355</v>
      </c>
      <c r="AG177" s="39" t="s">
        <v>355</v>
      </c>
      <c r="AH177" s="39" t="s">
        <v>355</v>
      </c>
      <c r="AI177" s="39" t="s">
        <v>355</v>
      </c>
      <c r="AJ177" s="39" t="s">
        <v>355</v>
      </c>
      <c r="AK177" s="39" t="s">
        <v>355</v>
      </c>
      <c r="AL177" s="39" t="s">
        <v>355</v>
      </c>
      <c r="AM177" s="39" t="s">
        <v>355</v>
      </c>
    </row>
    <row r="178" spans="1:39" x14ac:dyDescent="0.3">
      <c r="A178" s="30" t="s">
        <v>71</v>
      </c>
      <c r="B178" s="30" t="s">
        <v>261</v>
      </c>
      <c r="C178" s="30" t="s">
        <v>70</v>
      </c>
      <c r="D178" s="31" t="s">
        <v>103</v>
      </c>
      <c r="E178" s="31">
        <v>627</v>
      </c>
      <c r="F178" s="31">
        <v>627</v>
      </c>
      <c r="G178" s="32">
        <v>8699</v>
      </c>
      <c r="H178" s="32">
        <v>8733</v>
      </c>
      <c r="I178" s="32">
        <v>8893</v>
      </c>
      <c r="J178" s="32">
        <v>9149</v>
      </c>
      <c r="K178" s="32">
        <v>8977</v>
      </c>
      <c r="L178" s="32">
        <v>8804</v>
      </c>
      <c r="M178" s="32">
        <v>10121</v>
      </c>
      <c r="N178" s="32">
        <v>9892</v>
      </c>
      <c r="O178" s="32">
        <v>7888</v>
      </c>
      <c r="P178" s="32">
        <v>9016</v>
      </c>
      <c r="Q178" s="32">
        <v>8412</v>
      </c>
      <c r="R178" s="32">
        <v>8594</v>
      </c>
      <c r="S178" s="32">
        <v>6969</v>
      </c>
      <c r="T178" s="32">
        <v>7668</v>
      </c>
      <c r="U178" s="32">
        <v>7011</v>
      </c>
      <c r="V178" s="32">
        <v>7098</v>
      </c>
      <c r="W178" s="32">
        <v>7860</v>
      </c>
      <c r="X178" s="32">
        <v>8024</v>
      </c>
      <c r="Y178" s="32">
        <v>8334</v>
      </c>
      <c r="Z178" s="32">
        <v>8520</v>
      </c>
      <c r="AA178" s="32">
        <v>7661</v>
      </c>
      <c r="AB178" s="32">
        <v>7812</v>
      </c>
      <c r="AC178" s="32">
        <v>9408</v>
      </c>
      <c r="AD178" s="32">
        <v>9315</v>
      </c>
      <c r="AE178" s="32" t="s">
        <v>358</v>
      </c>
      <c r="AF178" s="32">
        <v>10110</v>
      </c>
      <c r="AG178" s="32">
        <v>10341</v>
      </c>
      <c r="AH178" s="32">
        <v>8013</v>
      </c>
      <c r="AI178" s="32">
        <v>7918</v>
      </c>
      <c r="AJ178" s="32">
        <v>6728</v>
      </c>
      <c r="AK178" s="32">
        <v>7404</v>
      </c>
      <c r="AL178" s="32">
        <v>6144</v>
      </c>
      <c r="AM178" s="32">
        <v>5834</v>
      </c>
    </row>
    <row r="179" spans="1:39" x14ac:dyDescent="0.3">
      <c r="A179" s="30" t="s">
        <v>71</v>
      </c>
      <c r="B179" s="30" t="s">
        <v>261</v>
      </c>
      <c r="C179" s="30" t="s">
        <v>263</v>
      </c>
      <c r="D179" s="31" t="s">
        <v>103</v>
      </c>
      <c r="E179" s="31">
        <v>626</v>
      </c>
      <c r="F179" s="31">
        <v>626</v>
      </c>
      <c r="G179" s="32">
        <v>7770</v>
      </c>
      <c r="H179" s="32">
        <v>7694</v>
      </c>
      <c r="I179" s="32">
        <v>7793</v>
      </c>
      <c r="J179" s="32">
        <v>7643</v>
      </c>
      <c r="K179" s="32">
        <v>7854</v>
      </c>
      <c r="L179" s="32">
        <v>8064</v>
      </c>
      <c r="M179" s="32">
        <v>8426</v>
      </c>
      <c r="N179" s="32">
        <v>8358</v>
      </c>
      <c r="O179" s="32">
        <v>7892</v>
      </c>
      <c r="P179" s="32">
        <v>7886</v>
      </c>
      <c r="Q179" s="32">
        <v>7857</v>
      </c>
      <c r="R179" s="32">
        <v>7398</v>
      </c>
      <c r="S179" s="32">
        <v>6328</v>
      </c>
      <c r="T179" s="32">
        <v>6837</v>
      </c>
      <c r="U179" s="32">
        <v>6713</v>
      </c>
      <c r="V179" s="32">
        <v>6336</v>
      </c>
      <c r="W179" s="32">
        <v>7244</v>
      </c>
      <c r="X179" s="32">
        <v>7333</v>
      </c>
      <c r="Y179" s="32">
        <v>7702</v>
      </c>
      <c r="Z179" s="32">
        <v>7997</v>
      </c>
      <c r="AA179" s="32">
        <v>7711</v>
      </c>
      <c r="AB179" s="32">
        <v>8276</v>
      </c>
      <c r="AC179" s="32">
        <v>7386</v>
      </c>
      <c r="AD179" s="32">
        <v>7953</v>
      </c>
      <c r="AE179" s="32" t="s">
        <v>358</v>
      </c>
      <c r="AF179" s="32">
        <v>7113</v>
      </c>
      <c r="AG179" s="32">
        <v>8278</v>
      </c>
      <c r="AH179" s="32">
        <v>8152</v>
      </c>
      <c r="AI179" s="32">
        <v>8752</v>
      </c>
      <c r="AJ179" s="32">
        <v>7022</v>
      </c>
      <c r="AK179" s="32">
        <v>8571</v>
      </c>
      <c r="AL179" s="32">
        <v>7437</v>
      </c>
      <c r="AM179" s="32">
        <v>6473</v>
      </c>
    </row>
    <row r="180" spans="1:39" x14ac:dyDescent="0.3">
      <c r="A180" s="30" t="s">
        <v>71</v>
      </c>
      <c r="B180" s="30" t="s">
        <v>261</v>
      </c>
      <c r="C180" s="30" t="s">
        <v>262</v>
      </c>
      <c r="D180" s="31" t="s">
        <v>103</v>
      </c>
      <c r="E180" s="31">
        <v>625</v>
      </c>
      <c r="F180" s="31">
        <v>625</v>
      </c>
      <c r="G180" s="32">
        <v>7721</v>
      </c>
      <c r="H180" s="32">
        <v>7690</v>
      </c>
      <c r="I180" s="32">
        <v>7742</v>
      </c>
      <c r="J180" s="32">
        <v>7933</v>
      </c>
      <c r="K180" s="32">
        <v>7653</v>
      </c>
      <c r="L180" s="32">
        <v>7372</v>
      </c>
      <c r="M180" s="32">
        <v>8453</v>
      </c>
      <c r="N180" s="32">
        <v>8384</v>
      </c>
      <c r="O180" s="32">
        <v>7418</v>
      </c>
      <c r="P180" s="32">
        <v>7824</v>
      </c>
      <c r="Q180" s="32">
        <v>7588</v>
      </c>
      <c r="R180" s="32">
        <v>7097</v>
      </c>
      <c r="S180" s="32">
        <v>7155</v>
      </c>
      <c r="T180" s="32">
        <v>6966</v>
      </c>
      <c r="U180" s="32">
        <v>6736</v>
      </c>
      <c r="V180" s="32">
        <v>6501</v>
      </c>
      <c r="W180" s="32">
        <v>7294</v>
      </c>
      <c r="X180" s="32">
        <v>7594</v>
      </c>
      <c r="Y180" s="32">
        <v>8018</v>
      </c>
      <c r="Z180" s="32">
        <v>8113</v>
      </c>
      <c r="AA180" s="32">
        <v>7584</v>
      </c>
      <c r="AB180" s="32">
        <v>7058</v>
      </c>
      <c r="AC180" s="32">
        <v>7438</v>
      </c>
      <c r="AD180" s="32">
        <v>8113</v>
      </c>
      <c r="AE180" s="32" t="s">
        <v>358</v>
      </c>
      <c r="AF180" s="32">
        <v>7113</v>
      </c>
      <c r="AG180" s="32">
        <v>8278</v>
      </c>
      <c r="AH180" s="32">
        <v>8152</v>
      </c>
      <c r="AI180" s="32">
        <v>8752</v>
      </c>
      <c r="AJ180" s="32">
        <v>7022</v>
      </c>
      <c r="AK180" s="32">
        <v>8571</v>
      </c>
      <c r="AL180" s="32">
        <v>7437</v>
      </c>
      <c r="AM180" s="32">
        <v>6473</v>
      </c>
    </row>
    <row r="181" spans="1:39" x14ac:dyDescent="0.3">
      <c r="A181" s="30" t="s">
        <v>36</v>
      </c>
      <c r="B181" s="30" t="s">
        <v>59</v>
      </c>
      <c r="C181" s="30" t="s">
        <v>265</v>
      </c>
      <c r="D181" s="31" t="s">
        <v>103</v>
      </c>
      <c r="E181" s="31">
        <v>606</v>
      </c>
      <c r="F181" s="31">
        <v>606</v>
      </c>
      <c r="G181" s="32">
        <v>32915</v>
      </c>
      <c r="H181" s="32">
        <v>30659</v>
      </c>
      <c r="I181" s="32">
        <v>30260</v>
      </c>
      <c r="J181" s="32">
        <v>27116</v>
      </c>
      <c r="K181" s="32">
        <v>28050</v>
      </c>
      <c r="L181" s="32">
        <v>28984</v>
      </c>
      <c r="M181" s="32">
        <v>31052</v>
      </c>
      <c r="N181" s="32">
        <v>32369</v>
      </c>
      <c r="O181" s="32">
        <v>32128</v>
      </c>
      <c r="P181" s="32">
        <v>27448</v>
      </c>
      <c r="Q181" s="32">
        <v>28809</v>
      </c>
      <c r="R181" s="32">
        <v>26659</v>
      </c>
      <c r="S181" s="32">
        <v>25717</v>
      </c>
      <c r="T181" s="32">
        <v>24710</v>
      </c>
      <c r="U181" s="32">
        <v>24696</v>
      </c>
      <c r="V181" s="32">
        <v>25093</v>
      </c>
      <c r="W181" s="32">
        <v>27367</v>
      </c>
      <c r="X181" s="32">
        <v>25503</v>
      </c>
      <c r="Y181" s="32">
        <v>27361</v>
      </c>
      <c r="Z181" s="32">
        <v>28218</v>
      </c>
      <c r="AA181" s="32">
        <v>28326</v>
      </c>
      <c r="AB181" s="32">
        <v>28074</v>
      </c>
      <c r="AC181" s="32">
        <v>26585</v>
      </c>
      <c r="AD181" s="32">
        <v>25170</v>
      </c>
      <c r="AE181" s="32">
        <v>24622</v>
      </c>
      <c r="AF181" s="32">
        <v>24644</v>
      </c>
      <c r="AG181" s="32">
        <v>23255</v>
      </c>
      <c r="AH181" s="32">
        <v>20783</v>
      </c>
      <c r="AI181" s="32">
        <v>21798</v>
      </c>
      <c r="AJ181" s="32">
        <v>13883</v>
      </c>
      <c r="AK181" s="32" t="s">
        <v>360</v>
      </c>
      <c r="AL181" s="32">
        <v>14485</v>
      </c>
      <c r="AM181" s="32">
        <v>6009</v>
      </c>
    </row>
    <row r="182" spans="1:39" x14ac:dyDescent="0.3">
      <c r="A182" s="30" t="s">
        <v>36</v>
      </c>
      <c r="B182" s="30" t="s">
        <v>59</v>
      </c>
      <c r="C182" s="30" t="s">
        <v>60</v>
      </c>
      <c r="D182" s="31" t="s">
        <v>20</v>
      </c>
      <c r="E182" s="31">
        <v>799</v>
      </c>
      <c r="F182" s="31" t="s">
        <v>339</v>
      </c>
      <c r="G182" s="32">
        <v>12883.5</v>
      </c>
      <c r="H182" s="32">
        <v>12721.5</v>
      </c>
      <c r="I182" s="32">
        <v>12995</v>
      </c>
      <c r="J182" s="32">
        <v>10883</v>
      </c>
      <c r="K182" s="32">
        <v>11579</v>
      </c>
      <c r="L182" s="32">
        <v>12275</v>
      </c>
      <c r="M182" s="32">
        <v>12254</v>
      </c>
      <c r="N182" s="32">
        <v>10728</v>
      </c>
      <c r="O182" s="32">
        <v>12053</v>
      </c>
      <c r="P182" s="32">
        <v>11920</v>
      </c>
      <c r="Q182" s="32">
        <v>11507</v>
      </c>
      <c r="R182" s="32">
        <v>15729</v>
      </c>
      <c r="S182" s="32">
        <v>11662</v>
      </c>
      <c r="T182" s="32">
        <v>11692</v>
      </c>
      <c r="U182" s="32">
        <v>11441</v>
      </c>
      <c r="V182" s="32">
        <v>11933</v>
      </c>
      <c r="W182" s="32">
        <v>16667</v>
      </c>
      <c r="X182" s="32">
        <v>16928</v>
      </c>
      <c r="Y182" s="32">
        <v>17468</v>
      </c>
      <c r="Z182" s="32" t="s">
        <v>358</v>
      </c>
      <c r="AA182" s="32">
        <v>16238</v>
      </c>
      <c r="AB182" s="32">
        <v>19246</v>
      </c>
      <c r="AC182" s="32">
        <v>19297</v>
      </c>
      <c r="AD182" s="32">
        <v>18200</v>
      </c>
      <c r="AE182" s="32">
        <v>15308</v>
      </c>
      <c r="AF182" s="32">
        <v>15930</v>
      </c>
      <c r="AG182" s="32">
        <v>17302</v>
      </c>
      <c r="AH182" s="32">
        <v>14034</v>
      </c>
      <c r="AI182" s="32">
        <v>12514</v>
      </c>
      <c r="AJ182" s="32">
        <v>8746</v>
      </c>
      <c r="AK182" s="32">
        <v>12227</v>
      </c>
      <c r="AL182" s="32">
        <v>11594</v>
      </c>
      <c r="AM182" s="32">
        <v>6160</v>
      </c>
    </row>
    <row r="183" spans="1:39" x14ac:dyDescent="0.3">
      <c r="A183" s="30" t="s">
        <v>36</v>
      </c>
      <c r="B183" s="30" t="s">
        <v>59</v>
      </c>
      <c r="C183" s="30" t="s">
        <v>62</v>
      </c>
      <c r="D183" s="31" t="s">
        <v>20</v>
      </c>
      <c r="E183" s="31">
        <v>25</v>
      </c>
      <c r="F183" s="31" t="s">
        <v>340</v>
      </c>
      <c r="G183" s="32">
        <v>25310</v>
      </c>
      <c r="H183" s="32">
        <v>22033</v>
      </c>
      <c r="I183" s="32">
        <v>21929</v>
      </c>
      <c r="J183" s="32">
        <v>22151</v>
      </c>
      <c r="K183" s="32">
        <v>21573</v>
      </c>
      <c r="L183" s="32">
        <v>20996</v>
      </c>
      <c r="M183" s="32">
        <v>24363</v>
      </c>
      <c r="N183" s="32">
        <v>24116</v>
      </c>
      <c r="O183" s="32">
        <v>24702</v>
      </c>
      <c r="P183" s="32">
        <v>23546</v>
      </c>
      <c r="Q183" s="32">
        <v>23591</v>
      </c>
      <c r="R183" s="32">
        <v>22487</v>
      </c>
      <c r="S183" s="32">
        <v>23835</v>
      </c>
      <c r="T183" s="32">
        <v>22219</v>
      </c>
      <c r="U183" s="32">
        <v>22287</v>
      </c>
      <c r="V183" s="32">
        <v>22871</v>
      </c>
      <c r="W183" s="32">
        <v>23672</v>
      </c>
      <c r="X183" s="32">
        <v>24174</v>
      </c>
      <c r="Y183" s="32">
        <v>26284</v>
      </c>
      <c r="Z183" s="32">
        <v>26315</v>
      </c>
      <c r="AA183" s="32">
        <v>25301</v>
      </c>
      <c r="AB183" s="32">
        <v>25869</v>
      </c>
      <c r="AC183" s="32">
        <v>26185</v>
      </c>
      <c r="AD183" s="32">
        <v>25357</v>
      </c>
      <c r="AE183" s="32">
        <v>25742</v>
      </c>
      <c r="AF183" s="32">
        <v>26809</v>
      </c>
      <c r="AG183" s="32">
        <v>24239</v>
      </c>
      <c r="AH183" s="32">
        <v>24435</v>
      </c>
      <c r="AI183" s="32">
        <v>23680</v>
      </c>
      <c r="AJ183" s="32" t="s">
        <v>360</v>
      </c>
      <c r="AK183" s="32">
        <v>17559</v>
      </c>
      <c r="AL183" s="32">
        <v>17228</v>
      </c>
      <c r="AM183" s="32">
        <v>12443</v>
      </c>
    </row>
    <row r="184" spans="1:39" x14ac:dyDescent="0.3">
      <c r="A184" s="30" t="s">
        <v>36</v>
      </c>
      <c r="B184" s="30" t="s">
        <v>59</v>
      </c>
      <c r="C184" s="30" t="s">
        <v>63</v>
      </c>
      <c r="D184" s="31" t="s">
        <v>20</v>
      </c>
      <c r="E184" s="31">
        <v>330</v>
      </c>
      <c r="F184" s="31" t="s">
        <v>341</v>
      </c>
      <c r="G184" s="32">
        <v>31493</v>
      </c>
      <c r="H184" s="32">
        <v>28256</v>
      </c>
      <c r="I184" s="32">
        <v>29785</v>
      </c>
      <c r="J184" s="32">
        <v>29201</v>
      </c>
      <c r="K184" s="32">
        <v>30340</v>
      </c>
      <c r="L184" s="32">
        <v>31479</v>
      </c>
      <c r="M184" s="32">
        <v>32053</v>
      </c>
      <c r="N184" s="32">
        <v>31343</v>
      </c>
      <c r="O184" s="32">
        <v>30428</v>
      </c>
      <c r="P184" s="32">
        <v>29098</v>
      </c>
      <c r="Q184" s="32">
        <v>26964</v>
      </c>
      <c r="R184" s="32">
        <v>26376</v>
      </c>
      <c r="S184" s="32">
        <v>25972</v>
      </c>
      <c r="T184" s="32">
        <v>26006</v>
      </c>
      <c r="U184" s="32">
        <v>26275</v>
      </c>
      <c r="V184" s="32">
        <v>26585</v>
      </c>
      <c r="W184" s="32">
        <v>26416</v>
      </c>
      <c r="X184" s="32">
        <v>26553</v>
      </c>
      <c r="Y184" s="32">
        <v>28897</v>
      </c>
      <c r="Z184" s="32">
        <v>28934</v>
      </c>
      <c r="AA184" s="32">
        <v>27963</v>
      </c>
      <c r="AB184" s="32">
        <v>28602</v>
      </c>
      <c r="AC184" s="32">
        <v>27918</v>
      </c>
      <c r="AD184" s="32">
        <v>24914</v>
      </c>
      <c r="AE184" s="32">
        <v>25260</v>
      </c>
      <c r="AF184" s="32">
        <v>23977</v>
      </c>
      <c r="AG184" s="32">
        <v>26323</v>
      </c>
      <c r="AH184" s="32">
        <v>21697</v>
      </c>
      <c r="AI184" s="32">
        <v>20914</v>
      </c>
      <c r="AJ184" s="32">
        <v>19043</v>
      </c>
      <c r="AK184" s="32" t="s">
        <v>360</v>
      </c>
      <c r="AL184" s="32">
        <v>14060</v>
      </c>
      <c r="AM184" s="32">
        <v>10996</v>
      </c>
    </row>
    <row r="185" spans="1:39" x14ac:dyDescent="0.3">
      <c r="A185" s="30" t="s">
        <v>36</v>
      </c>
      <c r="B185" s="30" t="s">
        <v>59</v>
      </c>
      <c r="C185" s="30" t="s">
        <v>64</v>
      </c>
      <c r="D185" s="31" t="s">
        <v>20</v>
      </c>
      <c r="E185" s="31">
        <v>331</v>
      </c>
      <c r="F185" s="31" t="s">
        <v>342</v>
      </c>
      <c r="G185" s="32">
        <v>25735</v>
      </c>
      <c r="H185" s="32">
        <v>26107</v>
      </c>
      <c r="I185" s="32">
        <v>23088</v>
      </c>
      <c r="J185" s="32">
        <v>22416</v>
      </c>
      <c r="K185" s="32">
        <v>23566</v>
      </c>
      <c r="L185" s="32">
        <v>24716</v>
      </c>
      <c r="M185" s="32">
        <v>23012</v>
      </c>
      <c r="N185" s="32">
        <v>22767</v>
      </c>
      <c r="O185" s="32">
        <v>21969</v>
      </c>
      <c r="P185" s="32">
        <v>20691</v>
      </c>
      <c r="Q185" s="32">
        <v>23571</v>
      </c>
      <c r="R185" s="32">
        <v>18794</v>
      </c>
      <c r="S185" s="32">
        <v>18089</v>
      </c>
      <c r="T185" s="32">
        <v>17489</v>
      </c>
      <c r="U185" s="32">
        <v>18095</v>
      </c>
      <c r="V185" s="32">
        <v>15408</v>
      </c>
      <c r="W185" s="32">
        <v>20117</v>
      </c>
      <c r="X185" s="32">
        <v>19948</v>
      </c>
      <c r="Y185" s="32">
        <v>20786</v>
      </c>
      <c r="Z185" s="32">
        <v>26085</v>
      </c>
      <c r="AA185" s="32">
        <v>20827</v>
      </c>
      <c r="AB185" s="32">
        <v>20762</v>
      </c>
      <c r="AC185" s="32">
        <v>21609</v>
      </c>
      <c r="AD185" s="32">
        <v>15467</v>
      </c>
      <c r="AE185" s="32">
        <v>13360</v>
      </c>
      <c r="AF185" s="32">
        <v>12518</v>
      </c>
      <c r="AG185" s="32">
        <v>11274</v>
      </c>
      <c r="AH185" s="32">
        <v>9573</v>
      </c>
      <c r="AI185" s="32">
        <v>9084</v>
      </c>
      <c r="AJ185" s="32">
        <v>8514</v>
      </c>
      <c r="AK185" s="32">
        <v>6711</v>
      </c>
      <c r="AL185" s="32">
        <v>6480</v>
      </c>
      <c r="AM185" s="32">
        <v>3635</v>
      </c>
    </row>
    <row r="186" spans="1:39" x14ac:dyDescent="0.3">
      <c r="A186" s="30" t="s">
        <v>36</v>
      </c>
      <c r="B186" s="30" t="s">
        <v>59</v>
      </c>
      <c r="C186" s="30" t="s">
        <v>65</v>
      </c>
      <c r="D186" s="31" t="s">
        <v>20</v>
      </c>
      <c r="E186" s="31">
        <v>222</v>
      </c>
      <c r="F186" s="31" t="s">
        <v>343</v>
      </c>
      <c r="G186" s="32">
        <v>23156</v>
      </c>
      <c r="H186" s="32">
        <v>22295</v>
      </c>
      <c r="I186" s="32">
        <v>22550</v>
      </c>
      <c r="J186" s="32">
        <v>21893</v>
      </c>
      <c r="K186" s="32">
        <v>20831</v>
      </c>
      <c r="L186" s="32">
        <v>19769</v>
      </c>
      <c r="M186" s="32">
        <v>22136</v>
      </c>
      <c r="N186" s="32">
        <v>22268</v>
      </c>
      <c r="O186" s="32">
        <v>20675</v>
      </c>
      <c r="P186" s="32">
        <v>19021</v>
      </c>
      <c r="Q186" s="32">
        <v>19336</v>
      </c>
      <c r="R186" s="32">
        <v>16396</v>
      </c>
      <c r="S186" s="32">
        <v>16384</v>
      </c>
      <c r="T186" s="32">
        <v>17309</v>
      </c>
      <c r="U186" s="32">
        <v>14291</v>
      </c>
      <c r="V186" s="32">
        <v>15326</v>
      </c>
      <c r="W186" s="32">
        <v>18264</v>
      </c>
      <c r="X186" s="32">
        <v>17881</v>
      </c>
      <c r="Y186" s="32">
        <v>21253</v>
      </c>
      <c r="Z186" s="32" t="s">
        <v>358</v>
      </c>
      <c r="AA186" s="32">
        <v>16286</v>
      </c>
      <c r="AB186" s="32">
        <v>16251</v>
      </c>
      <c r="AC186" s="32">
        <v>2341</v>
      </c>
      <c r="AD186" s="39" t="s">
        <v>355</v>
      </c>
      <c r="AE186" s="39" t="s">
        <v>355</v>
      </c>
      <c r="AF186" s="39" t="s">
        <v>355</v>
      </c>
      <c r="AG186" s="39" t="s">
        <v>355</v>
      </c>
      <c r="AH186" s="39" t="s">
        <v>355</v>
      </c>
      <c r="AI186" s="39" t="s">
        <v>355</v>
      </c>
      <c r="AJ186" s="39" t="s">
        <v>355</v>
      </c>
      <c r="AK186" s="39" t="s">
        <v>355</v>
      </c>
      <c r="AL186" s="39" t="s">
        <v>355</v>
      </c>
      <c r="AM186" s="39" t="s">
        <v>355</v>
      </c>
    </row>
    <row r="187" spans="1:39" x14ac:dyDescent="0.3">
      <c r="A187" s="30" t="s">
        <v>36</v>
      </c>
      <c r="B187" s="30" t="s">
        <v>59</v>
      </c>
      <c r="C187" s="30" t="s">
        <v>66</v>
      </c>
      <c r="D187" s="31" t="s">
        <v>20</v>
      </c>
      <c r="E187" s="31">
        <v>65</v>
      </c>
      <c r="F187" s="31" t="s">
        <v>344</v>
      </c>
      <c r="G187" s="32">
        <v>24930</v>
      </c>
      <c r="H187" s="32">
        <v>26790</v>
      </c>
      <c r="I187" s="32">
        <v>24020</v>
      </c>
      <c r="J187" s="32">
        <v>23320</v>
      </c>
      <c r="K187" s="32">
        <v>23400</v>
      </c>
      <c r="L187" s="32">
        <v>23480</v>
      </c>
      <c r="M187" s="32">
        <v>24423</v>
      </c>
      <c r="N187" s="32">
        <v>23936</v>
      </c>
      <c r="O187" s="32">
        <v>23138</v>
      </c>
      <c r="P187" s="32">
        <v>22474</v>
      </c>
      <c r="Q187" s="32">
        <v>22484</v>
      </c>
      <c r="R187" s="32">
        <v>19931</v>
      </c>
      <c r="S187" s="32">
        <v>18830</v>
      </c>
      <c r="T187" s="32">
        <v>19381</v>
      </c>
      <c r="U187" s="32">
        <v>19182</v>
      </c>
      <c r="V187" s="32">
        <v>20009</v>
      </c>
      <c r="W187" s="32">
        <v>19759</v>
      </c>
      <c r="X187" s="32">
        <v>18969</v>
      </c>
      <c r="Y187" s="32">
        <v>16873</v>
      </c>
      <c r="Z187" s="32">
        <v>20518</v>
      </c>
      <c r="AA187" s="32">
        <v>22747</v>
      </c>
      <c r="AB187" s="32">
        <v>19147</v>
      </c>
      <c r="AC187" s="32">
        <v>2341</v>
      </c>
      <c r="AD187" s="39" t="s">
        <v>355</v>
      </c>
      <c r="AE187" s="39" t="s">
        <v>355</v>
      </c>
      <c r="AF187" s="39" t="s">
        <v>355</v>
      </c>
      <c r="AG187" s="39" t="s">
        <v>355</v>
      </c>
      <c r="AH187" s="39" t="s">
        <v>355</v>
      </c>
      <c r="AI187" s="39" t="s">
        <v>355</v>
      </c>
      <c r="AJ187" s="39" t="s">
        <v>355</v>
      </c>
      <c r="AK187" s="39" t="s">
        <v>355</v>
      </c>
      <c r="AL187" s="39" t="s">
        <v>355</v>
      </c>
      <c r="AM187" s="39" t="s">
        <v>355</v>
      </c>
    </row>
    <row r="188" spans="1:39" x14ac:dyDescent="0.3">
      <c r="A188" s="30" t="s">
        <v>36</v>
      </c>
      <c r="B188" s="30" t="s">
        <v>59</v>
      </c>
      <c r="C188" s="30" t="s">
        <v>264</v>
      </c>
      <c r="D188" s="31" t="s">
        <v>103</v>
      </c>
      <c r="E188" s="31">
        <v>223</v>
      </c>
      <c r="F188" s="31">
        <v>223</v>
      </c>
      <c r="G188" s="32">
        <v>25932</v>
      </c>
      <c r="H188" s="32">
        <v>25724</v>
      </c>
      <c r="I188" s="32">
        <v>25664</v>
      </c>
      <c r="J188" s="32">
        <v>24350</v>
      </c>
      <c r="K188" s="32">
        <v>25949</v>
      </c>
      <c r="L188" s="32">
        <v>27547</v>
      </c>
      <c r="M188" s="32">
        <v>24062</v>
      </c>
      <c r="N188" s="32">
        <v>23277</v>
      </c>
      <c r="O188" s="32">
        <v>22573</v>
      </c>
      <c r="P188" s="32">
        <v>21180</v>
      </c>
      <c r="Q188" s="32">
        <v>21460</v>
      </c>
      <c r="R188" s="32">
        <v>19572</v>
      </c>
      <c r="S188" s="32">
        <v>16384</v>
      </c>
      <c r="T188" s="32">
        <v>17309</v>
      </c>
      <c r="U188" s="32">
        <v>14291</v>
      </c>
      <c r="V188" s="32">
        <v>15326</v>
      </c>
      <c r="W188" s="32">
        <v>18264</v>
      </c>
      <c r="X188" s="32">
        <v>17881</v>
      </c>
      <c r="Y188" s="32">
        <v>21253</v>
      </c>
      <c r="Z188" s="32" t="s">
        <v>358</v>
      </c>
      <c r="AA188" s="32">
        <v>16286</v>
      </c>
      <c r="AB188" s="32">
        <v>16251</v>
      </c>
      <c r="AC188" s="32">
        <v>2341</v>
      </c>
      <c r="AD188" s="39" t="s">
        <v>355</v>
      </c>
      <c r="AE188" s="39" t="s">
        <v>355</v>
      </c>
      <c r="AF188" s="39" t="s">
        <v>355</v>
      </c>
      <c r="AG188" s="39" t="s">
        <v>355</v>
      </c>
      <c r="AH188" s="39" t="s">
        <v>355</v>
      </c>
      <c r="AI188" s="39" t="s">
        <v>355</v>
      </c>
      <c r="AJ188" s="39" t="s">
        <v>355</v>
      </c>
      <c r="AK188" s="39" t="s">
        <v>355</v>
      </c>
      <c r="AL188" s="39" t="s">
        <v>355</v>
      </c>
      <c r="AM188" s="39" t="s">
        <v>355</v>
      </c>
    </row>
    <row r="189" spans="1:39" x14ac:dyDescent="0.3">
      <c r="A189" s="30" t="s">
        <v>36</v>
      </c>
      <c r="B189" s="30" t="s">
        <v>67</v>
      </c>
      <c r="C189" s="30" t="s">
        <v>69</v>
      </c>
      <c r="D189" s="31" t="s">
        <v>20</v>
      </c>
      <c r="E189" s="31">
        <v>7049</v>
      </c>
      <c r="F189" s="31" t="s">
        <v>345</v>
      </c>
      <c r="G189" s="32">
        <v>18967</v>
      </c>
      <c r="H189" s="32">
        <v>18366</v>
      </c>
      <c r="I189" s="32">
        <v>17935</v>
      </c>
      <c r="J189" s="32">
        <v>18116</v>
      </c>
      <c r="K189" s="32">
        <v>17433</v>
      </c>
      <c r="L189" s="32">
        <v>16750</v>
      </c>
      <c r="M189" s="32">
        <v>18301</v>
      </c>
      <c r="N189" s="32">
        <v>17576</v>
      </c>
      <c r="O189" s="32">
        <v>17587</v>
      </c>
      <c r="P189" s="32">
        <v>17305</v>
      </c>
      <c r="Q189" s="32">
        <v>16277</v>
      </c>
      <c r="R189" s="32">
        <v>16437</v>
      </c>
      <c r="S189" s="32">
        <v>16028</v>
      </c>
      <c r="T189" s="32">
        <v>15314</v>
      </c>
      <c r="U189" s="32">
        <v>16010</v>
      </c>
      <c r="V189" s="32">
        <v>15836</v>
      </c>
      <c r="W189" s="32">
        <v>16596</v>
      </c>
      <c r="X189" s="32">
        <v>16445</v>
      </c>
      <c r="Y189" s="32">
        <v>17555</v>
      </c>
      <c r="Z189" s="32">
        <v>18100</v>
      </c>
      <c r="AA189" s="32">
        <v>17278</v>
      </c>
      <c r="AB189" s="32">
        <v>17005</v>
      </c>
      <c r="AC189" s="32">
        <v>15611</v>
      </c>
      <c r="AD189" s="32">
        <v>17651</v>
      </c>
      <c r="AE189" s="32">
        <v>14972</v>
      </c>
      <c r="AF189" s="32">
        <v>15089</v>
      </c>
      <c r="AG189" s="32">
        <v>13736</v>
      </c>
      <c r="AH189" s="32">
        <v>13781</v>
      </c>
      <c r="AI189" s="32">
        <v>13792</v>
      </c>
      <c r="AJ189" s="32">
        <v>7898</v>
      </c>
      <c r="AK189" s="32">
        <v>8916</v>
      </c>
      <c r="AL189" s="32">
        <v>8955</v>
      </c>
      <c r="AM189" s="32">
        <v>5604</v>
      </c>
    </row>
    <row r="190" spans="1:39" x14ac:dyDescent="0.3">
      <c r="A190" s="30" t="s">
        <v>36</v>
      </c>
      <c r="B190" s="30" t="s">
        <v>67</v>
      </c>
      <c r="C190" s="30" t="s">
        <v>68</v>
      </c>
      <c r="D190" s="31" t="s">
        <v>20</v>
      </c>
      <c r="E190" s="31">
        <v>501</v>
      </c>
      <c r="F190" s="31" t="s">
        <v>346</v>
      </c>
      <c r="G190" s="32">
        <v>11922</v>
      </c>
      <c r="H190" s="32">
        <v>11259</v>
      </c>
      <c r="I190" s="32">
        <v>11729</v>
      </c>
      <c r="J190" s="32">
        <v>11170</v>
      </c>
      <c r="K190" s="32">
        <v>10532</v>
      </c>
      <c r="L190" s="32">
        <v>9894</v>
      </c>
      <c r="M190" s="32">
        <v>11210</v>
      </c>
      <c r="N190" s="32">
        <v>10958</v>
      </c>
      <c r="O190" s="32">
        <v>11047</v>
      </c>
      <c r="P190" s="32">
        <v>10780</v>
      </c>
      <c r="Q190" s="32">
        <v>10312</v>
      </c>
      <c r="R190" s="32">
        <v>10155</v>
      </c>
      <c r="S190" s="32">
        <v>11239</v>
      </c>
      <c r="T190" s="32">
        <v>11301</v>
      </c>
      <c r="U190" s="32">
        <v>11424</v>
      </c>
      <c r="V190" s="32">
        <v>11789</v>
      </c>
      <c r="W190" s="32">
        <v>11630</v>
      </c>
      <c r="X190" s="32">
        <v>12091</v>
      </c>
      <c r="Y190" s="32">
        <v>11737</v>
      </c>
      <c r="Z190" s="32">
        <v>12092</v>
      </c>
      <c r="AA190" s="32">
        <v>10994</v>
      </c>
      <c r="AB190" s="32">
        <v>9470</v>
      </c>
      <c r="AC190" s="32">
        <v>8526</v>
      </c>
      <c r="AD190" s="32">
        <v>10480</v>
      </c>
      <c r="AE190" s="32">
        <v>6658</v>
      </c>
      <c r="AF190" s="32">
        <v>6263</v>
      </c>
      <c r="AG190" s="32">
        <v>4824</v>
      </c>
      <c r="AH190" s="32">
        <v>4624</v>
      </c>
      <c r="AI190" s="32">
        <v>3666</v>
      </c>
      <c r="AJ190" s="39" t="s">
        <v>355</v>
      </c>
      <c r="AK190" s="39" t="s">
        <v>355</v>
      </c>
      <c r="AL190" s="39" t="s">
        <v>355</v>
      </c>
      <c r="AM190" s="39" t="s">
        <v>355</v>
      </c>
    </row>
    <row r="191" spans="1:39" x14ac:dyDescent="0.3">
      <c r="A191" s="30" t="s">
        <v>36</v>
      </c>
      <c r="B191" s="30" t="s">
        <v>67</v>
      </c>
      <c r="C191" s="30" t="s">
        <v>70</v>
      </c>
      <c r="D191" s="31" t="s">
        <v>20</v>
      </c>
      <c r="E191" s="31">
        <v>22</v>
      </c>
      <c r="F191" s="31" t="s">
        <v>345</v>
      </c>
      <c r="G191" s="32">
        <v>18967</v>
      </c>
      <c r="H191" s="32">
        <v>18366</v>
      </c>
      <c r="I191" s="32">
        <v>17935</v>
      </c>
      <c r="J191" s="32">
        <v>16195</v>
      </c>
      <c r="K191" s="32">
        <v>15679</v>
      </c>
      <c r="L191" s="32">
        <v>15163</v>
      </c>
      <c r="M191" s="32">
        <v>15785</v>
      </c>
      <c r="N191" s="32">
        <v>15405</v>
      </c>
      <c r="O191" s="32">
        <v>15480</v>
      </c>
      <c r="P191" s="32">
        <v>15066</v>
      </c>
      <c r="Q191" s="32">
        <v>14605</v>
      </c>
      <c r="R191" s="32">
        <v>13943</v>
      </c>
      <c r="S191" s="32">
        <v>14094</v>
      </c>
      <c r="T191" s="32">
        <v>13886</v>
      </c>
      <c r="U191" s="32">
        <v>13577</v>
      </c>
      <c r="V191" s="32">
        <v>14627</v>
      </c>
      <c r="W191" s="32">
        <v>15471</v>
      </c>
      <c r="X191" s="32">
        <v>15550</v>
      </c>
      <c r="Y191" s="32">
        <v>16409</v>
      </c>
      <c r="Z191" s="32">
        <v>16805</v>
      </c>
      <c r="AA191" s="32">
        <v>16635</v>
      </c>
      <c r="AB191" s="32">
        <v>15966</v>
      </c>
      <c r="AC191" s="32">
        <v>15172</v>
      </c>
      <c r="AD191" s="32">
        <v>17807</v>
      </c>
      <c r="AE191" s="32">
        <v>14029</v>
      </c>
      <c r="AF191" s="32">
        <v>12521</v>
      </c>
      <c r="AG191" s="32">
        <v>12339</v>
      </c>
      <c r="AH191" s="32">
        <v>12164</v>
      </c>
      <c r="AI191" s="32">
        <v>12139</v>
      </c>
      <c r="AJ191" s="32">
        <v>8302</v>
      </c>
      <c r="AK191" s="32">
        <v>7746</v>
      </c>
      <c r="AL191" s="32">
        <v>6650</v>
      </c>
      <c r="AM191" s="32">
        <v>4622</v>
      </c>
    </row>
    <row r="192" spans="1:39" x14ac:dyDescent="0.3">
      <c r="A192" s="30" t="s">
        <v>36</v>
      </c>
      <c r="B192" s="30" t="s">
        <v>67</v>
      </c>
      <c r="C192" s="30" t="s">
        <v>266</v>
      </c>
      <c r="D192" s="31" t="s">
        <v>103</v>
      </c>
      <c r="E192" s="31">
        <v>624</v>
      </c>
      <c r="F192" s="31">
        <v>624</v>
      </c>
      <c r="G192" s="32">
        <v>18612</v>
      </c>
      <c r="H192" s="32">
        <v>18487</v>
      </c>
      <c r="I192" s="32">
        <v>18699</v>
      </c>
      <c r="J192" s="32">
        <v>18304</v>
      </c>
      <c r="K192" s="32">
        <v>18920</v>
      </c>
      <c r="L192" s="32">
        <v>19536</v>
      </c>
      <c r="M192" s="32">
        <v>19816</v>
      </c>
      <c r="N192" s="32">
        <v>17595</v>
      </c>
      <c r="O192" s="32">
        <v>17690</v>
      </c>
      <c r="P192" s="32">
        <v>17946</v>
      </c>
      <c r="Q192" s="32">
        <v>16707</v>
      </c>
      <c r="R192" s="32">
        <v>16042</v>
      </c>
      <c r="S192" s="32">
        <v>16631</v>
      </c>
      <c r="T192" s="32">
        <v>16642</v>
      </c>
      <c r="U192" s="32">
        <v>15698</v>
      </c>
      <c r="V192" s="32">
        <v>15930</v>
      </c>
      <c r="W192" s="32">
        <v>17082</v>
      </c>
      <c r="X192" s="32">
        <v>15744</v>
      </c>
      <c r="Y192" s="32">
        <v>17490</v>
      </c>
      <c r="Z192" s="32">
        <v>18941</v>
      </c>
      <c r="AA192" s="32">
        <v>14772</v>
      </c>
      <c r="AB192" s="32">
        <v>17815</v>
      </c>
      <c r="AC192" s="32">
        <v>16884</v>
      </c>
      <c r="AD192" s="32">
        <v>18004</v>
      </c>
      <c r="AE192" s="32">
        <v>14972</v>
      </c>
      <c r="AF192" s="32">
        <v>15089</v>
      </c>
      <c r="AG192" s="32">
        <v>13736</v>
      </c>
      <c r="AH192" s="32">
        <v>13781</v>
      </c>
      <c r="AI192" s="32">
        <v>13792</v>
      </c>
      <c r="AJ192" s="32">
        <v>7898</v>
      </c>
      <c r="AK192" s="32">
        <v>8916</v>
      </c>
      <c r="AL192" s="32">
        <v>8955</v>
      </c>
      <c r="AM192" s="32">
        <v>5604</v>
      </c>
    </row>
    <row r="193" spans="1:39" x14ac:dyDescent="0.3">
      <c r="A193" s="30" t="s">
        <v>71</v>
      </c>
      <c r="B193" s="30" t="s">
        <v>267</v>
      </c>
      <c r="C193" s="30" t="s">
        <v>268</v>
      </c>
      <c r="D193" s="31" t="s">
        <v>103</v>
      </c>
      <c r="E193" s="31">
        <v>700</v>
      </c>
      <c r="F193" s="31">
        <v>700</v>
      </c>
      <c r="G193" s="32">
        <v>702</v>
      </c>
      <c r="H193" s="32">
        <v>679</v>
      </c>
      <c r="I193" s="32">
        <v>692</v>
      </c>
      <c r="J193" s="32">
        <v>593</v>
      </c>
      <c r="K193" s="32">
        <v>721</v>
      </c>
      <c r="L193" s="32">
        <v>849</v>
      </c>
      <c r="M193" s="32">
        <v>701</v>
      </c>
      <c r="N193" s="32">
        <v>939</v>
      </c>
      <c r="O193" s="32">
        <v>778</v>
      </c>
      <c r="P193" s="32">
        <v>761</v>
      </c>
      <c r="Q193" s="32">
        <v>761</v>
      </c>
      <c r="R193" s="32">
        <v>705</v>
      </c>
      <c r="S193" s="32">
        <v>793</v>
      </c>
      <c r="T193" s="32">
        <v>776</v>
      </c>
      <c r="U193" s="32">
        <v>929</v>
      </c>
      <c r="V193" s="32">
        <v>679</v>
      </c>
      <c r="W193" s="32" t="s">
        <v>358</v>
      </c>
      <c r="X193" s="32" t="s">
        <v>358</v>
      </c>
      <c r="Y193" s="32">
        <v>904</v>
      </c>
      <c r="Z193" s="39" t="s">
        <v>355</v>
      </c>
      <c r="AA193" s="39" t="s">
        <v>355</v>
      </c>
      <c r="AB193" s="39" t="s">
        <v>355</v>
      </c>
      <c r="AC193" s="39" t="s">
        <v>355</v>
      </c>
      <c r="AD193" s="39" t="s">
        <v>355</v>
      </c>
      <c r="AE193" s="39" t="s">
        <v>355</v>
      </c>
      <c r="AF193" s="39" t="s">
        <v>355</v>
      </c>
      <c r="AG193" s="39" t="s">
        <v>355</v>
      </c>
      <c r="AH193" s="39" t="s">
        <v>355</v>
      </c>
      <c r="AI193" s="39" t="s">
        <v>355</v>
      </c>
      <c r="AJ193" s="39" t="s">
        <v>355</v>
      </c>
      <c r="AK193" s="39" t="s">
        <v>355</v>
      </c>
      <c r="AL193" s="39" t="s">
        <v>355</v>
      </c>
      <c r="AM193" s="39" t="s">
        <v>355</v>
      </c>
    </row>
    <row r="194" spans="1:39" x14ac:dyDescent="0.3">
      <c r="A194" s="30" t="s">
        <v>71</v>
      </c>
      <c r="B194" s="30" t="s">
        <v>99</v>
      </c>
      <c r="C194" s="30" t="s">
        <v>100</v>
      </c>
      <c r="D194" s="31" t="s">
        <v>20</v>
      </c>
      <c r="E194" s="31">
        <v>8152</v>
      </c>
      <c r="F194" s="31" t="s">
        <v>347</v>
      </c>
      <c r="G194" s="32">
        <v>3917</v>
      </c>
      <c r="H194" s="32">
        <v>3592</v>
      </c>
      <c r="I194" s="32">
        <v>3374</v>
      </c>
      <c r="J194" s="32">
        <v>3408</v>
      </c>
      <c r="K194" s="32">
        <v>3451</v>
      </c>
      <c r="L194" s="32">
        <v>3495</v>
      </c>
      <c r="M194" s="32">
        <v>2772</v>
      </c>
      <c r="N194" s="32">
        <v>2171</v>
      </c>
      <c r="O194" s="32">
        <v>1947</v>
      </c>
      <c r="P194" s="32">
        <v>1051</v>
      </c>
      <c r="Q194" s="39" t="s">
        <v>355</v>
      </c>
      <c r="R194" s="39" t="s">
        <v>355</v>
      </c>
      <c r="S194" s="39" t="s">
        <v>355</v>
      </c>
      <c r="T194" s="39" t="s">
        <v>355</v>
      </c>
      <c r="U194" s="39" t="s">
        <v>355</v>
      </c>
      <c r="V194" s="39" t="s">
        <v>355</v>
      </c>
      <c r="W194" s="39" t="s">
        <v>355</v>
      </c>
      <c r="X194" s="39" t="s">
        <v>355</v>
      </c>
      <c r="Y194" s="39" t="s">
        <v>355</v>
      </c>
      <c r="Z194" s="39" t="s">
        <v>355</v>
      </c>
      <c r="AA194" s="39" t="s">
        <v>355</v>
      </c>
      <c r="AB194" s="39" t="s">
        <v>355</v>
      </c>
      <c r="AC194" s="39" t="s">
        <v>355</v>
      </c>
      <c r="AD194" s="39" t="s">
        <v>355</v>
      </c>
      <c r="AE194" s="39" t="s">
        <v>355</v>
      </c>
      <c r="AF194" s="39" t="s">
        <v>355</v>
      </c>
      <c r="AG194" s="39" t="s">
        <v>355</v>
      </c>
      <c r="AH194" s="39" t="s">
        <v>355</v>
      </c>
      <c r="AI194" s="39" t="s">
        <v>355</v>
      </c>
      <c r="AJ194" s="39" t="s">
        <v>355</v>
      </c>
      <c r="AK194" s="39" t="s">
        <v>355</v>
      </c>
      <c r="AL194" s="39" t="s">
        <v>355</v>
      </c>
      <c r="AM194" s="39" t="s">
        <v>355</v>
      </c>
    </row>
    <row r="195" spans="1:39" x14ac:dyDescent="0.3">
      <c r="A195" s="30" t="s">
        <v>71</v>
      </c>
      <c r="B195" s="30" t="s">
        <v>99</v>
      </c>
      <c r="C195" s="30" t="s">
        <v>269</v>
      </c>
      <c r="D195" s="31" t="s">
        <v>103</v>
      </c>
      <c r="E195" s="31">
        <v>800</v>
      </c>
      <c r="F195" s="31">
        <v>800</v>
      </c>
      <c r="G195" s="32">
        <v>2374</v>
      </c>
      <c r="H195" s="32">
        <v>2222</v>
      </c>
      <c r="I195" s="32">
        <v>2129</v>
      </c>
      <c r="J195" s="32">
        <v>2031</v>
      </c>
      <c r="K195" s="32">
        <v>1856</v>
      </c>
      <c r="L195" s="32">
        <v>1682</v>
      </c>
      <c r="M195" s="32">
        <v>1959</v>
      </c>
      <c r="N195" s="32">
        <v>2169</v>
      </c>
      <c r="O195" s="32">
        <v>1243</v>
      </c>
      <c r="P195" s="32">
        <v>1050</v>
      </c>
      <c r="Q195" s="32">
        <v>1592</v>
      </c>
      <c r="R195" s="32">
        <v>1635</v>
      </c>
      <c r="S195" s="32">
        <v>1280</v>
      </c>
      <c r="T195" s="32">
        <v>1203</v>
      </c>
      <c r="U195" s="32">
        <v>746</v>
      </c>
      <c r="V195" s="32">
        <v>652</v>
      </c>
      <c r="W195" s="32">
        <v>1072</v>
      </c>
      <c r="X195" s="32">
        <v>574</v>
      </c>
      <c r="Y195" s="32">
        <v>904</v>
      </c>
      <c r="Z195" s="32">
        <v>845</v>
      </c>
      <c r="AA195" s="32">
        <v>962</v>
      </c>
      <c r="AB195" s="32">
        <v>1120</v>
      </c>
      <c r="AC195" s="32">
        <v>998</v>
      </c>
      <c r="AD195" s="32" t="s">
        <v>358</v>
      </c>
      <c r="AE195" s="32">
        <v>974</v>
      </c>
      <c r="AF195" s="32" t="s">
        <v>358</v>
      </c>
      <c r="AG195" s="32" t="s">
        <v>358</v>
      </c>
      <c r="AH195" s="32">
        <v>1627</v>
      </c>
      <c r="AI195" s="32">
        <v>877</v>
      </c>
      <c r="AJ195" s="39" t="s">
        <v>355</v>
      </c>
      <c r="AK195" s="39" t="s">
        <v>355</v>
      </c>
      <c r="AL195" s="39" t="s">
        <v>355</v>
      </c>
      <c r="AM195" s="39" t="s">
        <v>355</v>
      </c>
    </row>
    <row r="196" spans="1:39" s="23" customFormat="1" x14ac:dyDescent="0.3">
      <c r="A196" s="33" t="s">
        <v>348</v>
      </c>
      <c r="B196" s="33"/>
      <c r="C196" s="40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</row>
    <row r="197" spans="1:39" x14ac:dyDescent="0.3">
      <c r="A197" s="33" t="s">
        <v>354</v>
      </c>
      <c r="B197" s="42"/>
      <c r="C197" s="40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</row>
    <row r="198" spans="1:39" x14ac:dyDescent="0.3">
      <c r="A198" s="33" t="s">
        <v>366</v>
      </c>
      <c r="B198" s="40"/>
      <c r="C198" s="40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</row>
  </sheetData>
  <sheetProtection algorithmName="SHA-512" hashValue="LOxNXs+9cNt43bcQmJdtLQ12ltzY12PtNfFeky4lmq5G+x3iYbrHhQ9EANobL4c2rLyHRjfzmlgQjTzjtEkflw==" saltValue="2S7YLodK72Eoh2s969P8Ow==" spinCount="100000" sheet="1" objects="1" scenarios="1"/>
  <mergeCells count="7">
    <mergeCell ref="G1:AM1"/>
    <mergeCell ref="A1:A2"/>
    <mergeCell ref="B1:B2"/>
    <mergeCell ref="C1:C2"/>
    <mergeCell ref="D1:D2"/>
    <mergeCell ref="E1:E2"/>
    <mergeCell ref="F1:F2"/>
  </mergeCells>
  <phoneticPr fontId="6" type="noConversion"/>
  <pageMargins left="0.75" right="0.75" top="1" bottom="1" header="0.5" footer="0.5"/>
  <pageSetup scale="27" fitToHeight="0" orientation="landscape" horizontalDpi="1200" verticalDpi="1200" r:id="rId1"/>
  <headerFooter>
    <oddHeader>&amp;C&amp;"Arial,Bold"&amp;12City of Apopka
2025 CMS Tables
Historical ADT Volumes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198"/>
  <sheetViews>
    <sheetView workbookViewId="0">
      <selection activeCell="L3" sqref="L3"/>
    </sheetView>
  </sheetViews>
  <sheetFormatPr defaultRowHeight="14.4" x14ac:dyDescent="0.3"/>
  <cols>
    <col min="1" max="1" width="11.5546875" style="3" customWidth="1"/>
    <col min="2" max="2" width="62.33203125" style="3" customWidth="1"/>
    <col min="3" max="3" width="55.88671875" style="3" customWidth="1"/>
    <col min="4" max="4" width="11.44140625" customWidth="1"/>
    <col min="5" max="6" width="11.5546875" customWidth="1"/>
    <col min="7" max="11" width="8.88671875" bestFit="1" customWidth="1"/>
    <col min="12" max="12" width="11.5546875" style="10" customWidth="1"/>
    <col min="13" max="14" width="9.44140625" customWidth="1"/>
    <col min="15" max="15" width="13" bestFit="1" customWidth="1"/>
  </cols>
  <sheetData>
    <row r="1" spans="1:15" x14ac:dyDescent="0.3">
      <c r="A1" s="85" t="s">
        <v>0</v>
      </c>
      <c r="B1" s="85" t="s">
        <v>1</v>
      </c>
      <c r="C1" s="85" t="s">
        <v>2</v>
      </c>
      <c r="D1" s="87" t="s">
        <v>3</v>
      </c>
      <c r="E1" s="87" t="s">
        <v>4</v>
      </c>
      <c r="F1" s="87" t="s">
        <v>5</v>
      </c>
      <c r="G1" s="83" t="s">
        <v>285</v>
      </c>
      <c r="H1" s="111"/>
      <c r="I1" s="111"/>
      <c r="J1" s="111"/>
      <c r="K1" s="84"/>
      <c r="L1" s="4" t="s">
        <v>291</v>
      </c>
      <c r="M1" s="83" t="s">
        <v>287</v>
      </c>
      <c r="N1" s="111"/>
      <c r="O1" s="84"/>
    </row>
    <row r="2" spans="1:15" x14ac:dyDescent="0.3">
      <c r="A2" s="86"/>
      <c r="B2" s="86"/>
      <c r="C2" s="86"/>
      <c r="D2" s="88"/>
      <c r="E2" s="88"/>
      <c r="F2" s="88"/>
      <c r="G2" s="4">
        <v>2025</v>
      </c>
      <c r="H2" s="4">
        <v>2024</v>
      </c>
      <c r="I2" s="4">
        <v>2023</v>
      </c>
      <c r="J2" s="4">
        <v>2022</v>
      </c>
      <c r="K2" s="4">
        <v>2021</v>
      </c>
      <c r="L2" s="4" t="s">
        <v>292</v>
      </c>
      <c r="M2" s="4" t="s">
        <v>290</v>
      </c>
      <c r="N2" s="4" t="s">
        <v>288</v>
      </c>
      <c r="O2" s="4" t="s">
        <v>289</v>
      </c>
    </row>
    <row r="3" spans="1:15" x14ac:dyDescent="0.3">
      <c r="A3" s="2" t="s">
        <v>71</v>
      </c>
      <c r="B3" s="2" t="s">
        <v>101</v>
      </c>
      <c r="C3" s="2" t="s">
        <v>102</v>
      </c>
      <c r="D3" s="1" t="s">
        <v>103</v>
      </c>
      <c r="E3" s="1">
        <v>411</v>
      </c>
      <c r="F3" s="1">
        <v>411</v>
      </c>
      <c r="G3" s="26">
        <v>467</v>
      </c>
      <c r="H3" s="26">
        <v>469</v>
      </c>
      <c r="I3" s="26">
        <v>475</v>
      </c>
      <c r="J3" s="26">
        <v>471</v>
      </c>
      <c r="K3" s="26">
        <v>485</v>
      </c>
      <c r="L3" s="27">
        <v>-0.81370449678826495</v>
      </c>
      <c r="M3" s="1">
        <v>0.71060000000000001</v>
      </c>
      <c r="N3" s="1">
        <v>-3.8000000000012002</v>
      </c>
      <c r="O3" s="26">
        <v>8160.8000000024203</v>
      </c>
    </row>
    <row r="4" spans="1:15" x14ac:dyDescent="0.3">
      <c r="A4" s="2" t="s">
        <v>71</v>
      </c>
      <c r="B4" s="2" t="s">
        <v>104</v>
      </c>
      <c r="C4" s="2" t="s">
        <v>105</v>
      </c>
      <c r="D4" s="1" t="s">
        <v>103</v>
      </c>
      <c r="E4" s="1">
        <v>840</v>
      </c>
      <c r="F4" s="1">
        <v>840</v>
      </c>
      <c r="G4" s="26">
        <v>3017</v>
      </c>
      <c r="H4" s="26">
        <v>2871</v>
      </c>
      <c r="I4" s="26">
        <v>2771</v>
      </c>
      <c r="J4" s="26">
        <v>2697</v>
      </c>
      <c r="K4" s="26">
        <v>2488</v>
      </c>
      <c r="L4" s="27">
        <v>4.0835266821357399</v>
      </c>
      <c r="M4" s="1">
        <v>0.97260000000000002</v>
      </c>
      <c r="N4" s="1">
        <v>123.200000000035</v>
      </c>
      <c r="O4" s="26">
        <v>-246464.800000071</v>
      </c>
    </row>
    <row r="5" spans="1:15" x14ac:dyDescent="0.3">
      <c r="A5" s="2" t="s">
        <v>71</v>
      </c>
      <c r="B5" s="2" t="s">
        <v>104</v>
      </c>
      <c r="C5" s="2" t="s">
        <v>106</v>
      </c>
      <c r="D5" s="1" t="s">
        <v>103</v>
      </c>
      <c r="E5" s="1">
        <v>841</v>
      </c>
      <c r="F5" s="1">
        <v>841</v>
      </c>
      <c r="G5" s="26">
        <v>3788</v>
      </c>
      <c r="H5" s="26">
        <v>3692</v>
      </c>
      <c r="I5" s="26">
        <v>3642</v>
      </c>
      <c r="J5" s="26">
        <v>3639</v>
      </c>
      <c r="K5" s="26">
        <v>3450</v>
      </c>
      <c r="L5" s="27">
        <v>1.92449841605123</v>
      </c>
      <c r="M5" s="1">
        <v>0.87570000000000003</v>
      </c>
      <c r="N5" s="1">
        <v>72.900000000020896</v>
      </c>
      <c r="O5" s="26">
        <v>-143834.500000042</v>
      </c>
    </row>
    <row r="6" spans="1:15" x14ac:dyDescent="0.3">
      <c r="A6" s="2" t="s">
        <v>71</v>
      </c>
      <c r="B6" s="2" t="s">
        <v>107</v>
      </c>
      <c r="C6" s="2" t="s">
        <v>32</v>
      </c>
      <c r="D6" s="1" t="s">
        <v>103</v>
      </c>
      <c r="E6" s="1">
        <v>401</v>
      </c>
      <c r="F6" s="1">
        <v>401</v>
      </c>
      <c r="G6" s="26">
        <v>897</v>
      </c>
      <c r="H6" s="26">
        <v>947</v>
      </c>
      <c r="I6" s="26">
        <v>994</v>
      </c>
      <c r="J6" s="26">
        <v>1025</v>
      </c>
      <c r="K6" s="26">
        <v>1100</v>
      </c>
      <c r="L6" s="27">
        <v>-5.39576365663478</v>
      </c>
      <c r="M6" s="1">
        <v>0.98409999999999997</v>
      </c>
      <c r="N6" s="1">
        <v>-48.400000000014003</v>
      </c>
      <c r="O6" s="26">
        <v>98905.800000028306</v>
      </c>
    </row>
    <row r="7" spans="1:15" x14ac:dyDescent="0.3">
      <c r="A7" s="2" t="s">
        <v>71</v>
      </c>
      <c r="B7" s="2" t="s">
        <v>108</v>
      </c>
      <c r="C7" s="2" t="s">
        <v>33</v>
      </c>
      <c r="D7" s="1" t="s">
        <v>103</v>
      </c>
      <c r="E7" s="1">
        <v>403</v>
      </c>
      <c r="F7" s="1">
        <v>403</v>
      </c>
      <c r="G7" s="26">
        <v>1778</v>
      </c>
      <c r="H7" s="26">
        <v>2708</v>
      </c>
      <c r="I7" s="26">
        <v>2836</v>
      </c>
      <c r="J7" s="26">
        <v>3921</v>
      </c>
      <c r="K7" s="26">
        <v>3818</v>
      </c>
      <c r="L7" s="27">
        <v>-29.769403824529501</v>
      </c>
      <c r="M7" s="1">
        <v>0.89739999999999998</v>
      </c>
      <c r="N7" s="1">
        <v>-529.30000000013501</v>
      </c>
      <c r="O7" s="26">
        <v>1073786.1000002699</v>
      </c>
    </row>
    <row r="8" spans="1:15" x14ac:dyDescent="0.3">
      <c r="A8" s="2" t="s">
        <v>71</v>
      </c>
      <c r="B8" s="2" t="s">
        <v>109</v>
      </c>
      <c r="C8" s="2" t="s">
        <v>110</v>
      </c>
      <c r="D8" s="1" t="s">
        <v>103</v>
      </c>
      <c r="E8" s="1">
        <v>650</v>
      </c>
      <c r="F8" s="1">
        <v>650</v>
      </c>
      <c r="G8" s="26">
        <v>2283</v>
      </c>
      <c r="H8" s="26">
        <v>3126</v>
      </c>
      <c r="I8" s="26">
        <v>3084</v>
      </c>
      <c r="J8" s="26">
        <v>4585</v>
      </c>
      <c r="K8" s="26">
        <v>3556</v>
      </c>
      <c r="L8" s="27">
        <v>-17.542706964524399</v>
      </c>
      <c r="M8" s="1">
        <v>0.56789999999999996</v>
      </c>
      <c r="N8" s="1">
        <v>-400.50000000009197</v>
      </c>
      <c r="O8" s="26">
        <v>813538.30000018596</v>
      </c>
    </row>
    <row r="9" spans="1:15" x14ac:dyDescent="0.3">
      <c r="A9" s="2" t="s">
        <v>71</v>
      </c>
      <c r="B9" s="2" t="s">
        <v>109</v>
      </c>
      <c r="C9" s="2" t="s">
        <v>111</v>
      </c>
      <c r="D9" s="1" t="s">
        <v>103</v>
      </c>
      <c r="E9" s="1">
        <v>410</v>
      </c>
      <c r="F9" s="1">
        <v>410</v>
      </c>
      <c r="G9" s="26">
        <v>1435</v>
      </c>
      <c r="H9" s="26">
        <v>1848</v>
      </c>
      <c r="I9" s="26">
        <v>1699</v>
      </c>
      <c r="J9" s="26">
        <v>2560</v>
      </c>
      <c r="K9" s="26">
        <v>1674</v>
      </c>
      <c r="L9" s="27">
        <v>-8.2926829268305209</v>
      </c>
      <c r="M9" s="1">
        <v>0.19400000000000001</v>
      </c>
      <c r="N9" s="1">
        <v>-119.00000000001801</v>
      </c>
      <c r="O9" s="26">
        <v>242580.20000003601</v>
      </c>
    </row>
    <row r="10" spans="1:15" x14ac:dyDescent="0.3">
      <c r="A10" s="2" t="s">
        <v>71</v>
      </c>
      <c r="B10" s="2" t="s">
        <v>112</v>
      </c>
      <c r="C10" s="2" t="s">
        <v>33</v>
      </c>
      <c r="D10" s="1" t="s">
        <v>103</v>
      </c>
      <c r="E10" s="1">
        <v>404</v>
      </c>
      <c r="F10" s="1">
        <v>404</v>
      </c>
      <c r="G10" s="26">
        <v>3069</v>
      </c>
      <c r="H10" s="26">
        <v>4231</v>
      </c>
      <c r="I10" s="26">
        <v>4097</v>
      </c>
      <c r="J10" s="26">
        <v>6389</v>
      </c>
      <c r="K10" s="26">
        <v>4559</v>
      </c>
      <c r="L10" s="27">
        <v>-16.741609644839102</v>
      </c>
      <c r="M10" s="1">
        <v>0.45129999999999998</v>
      </c>
      <c r="N10" s="1">
        <v>-513.80000000011205</v>
      </c>
      <c r="O10" s="26">
        <v>1043886.40000022</v>
      </c>
    </row>
    <row r="11" spans="1:15" x14ac:dyDescent="0.3">
      <c r="A11" s="2" t="s">
        <v>71</v>
      </c>
      <c r="B11" s="2" t="s">
        <v>113</v>
      </c>
      <c r="C11" s="2" t="s">
        <v>32</v>
      </c>
      <c r="D11" s="1" t="s">
        <v>103</v>
      </c>
      <c r="E11" s="1">
        <v>333</v>
      </c>
      <c r="F11" s="1">
        <v>333</v>
      </c>
      <c r="G11" s="26">
        <v>3797</v>
      </c>
      <c r="H11" s="26">
        <v>4081</v>
      </c>
      <c r="I11" s="26">
        <v>4264</v>
      </c>
      <c r="J11" s="26">
        <v>4461</v>
      </c>
      <c r="K11" s="26">
        <v>4773</v>
      </c>
      <c r="L11" s="27">
        <v>-6.1416908085347899</v>
      </c>
      <c r="M11" s="1">
        <v>0.9909</v>
      </c>
      <c r="N11" s="1">
        <v>-233.20000000006601</v>
      </c>
      <c r="O11" s="26">
        <v>476038.80000013299</v>
      </c>
    </row>
    <row r="12" spans="1:15" x14ac:dyDescent="0.3">
      <c r="A12" s="2" t="s">
        <v>71</v>
      </c>
      <c r="B12" s="2" t="s">
        <v>114</v>
      </c>
      <c r="C12" s="2" t="s">
        <v>115</v>
      </c>
      <c r="D12" s="1" t="s">
        <v>103</v>
      </c>
      <c r="E12" s="1">
        <v>409</v>
      </c>
      <c r="F12" s="1">
        <v>409</v>
      </c>
      <c r="G12" s="26">
        <v>297</v>
      </c>
      <c r="H12" s="26">
        <v>336</v>
      </c>
      <c r="I12" s="26">
        <v>353</v>
      </c>
      <c r="J12" s="26">
        <v>366</v>
      </c>
      <c r="K12" s="26">
        <v>422</v>
      </c>
      <c r="L12" s="27">
        <v>-9.4276094276120794</v>
      </c>
      <c r="M12" s="1">
        <v>0.94020000000000004</v>
      </c>
      <c r="N12" s="1">
        <v>-28.000000000007901</v>
      </c>
      <c r="O12" s="26">
        <v>56998.800000015901</v>
      </c>
    </row>
    <row r="13" spans="1:15" ht="15" customHeight="1" x14ac:dyDescent="0.3">
      <c r="A13" s="2" t="s">
        <v>71</v>
      </c>
      <c r="B13" s="2" t="s">
        <v>116</v>
      </c>
      <c r="C13" s="2" t="s">
        <v>117</v>
      </c>
      <c r="D13" s="1" t="s">
        <v>103</v>
      </c>
      <c r="E13" s="1">
        <v>971</v>
      </c>
      <c r="F13" s="1">
        <v>971</v>
      </c>
      <c r="G13" s="26">
        <v>1224</v>
      </c>
      <c r="H13" s="26">
        <v>1328</v>
      </c>
      <c r="I13" s="26">
        <v>1297</v>
      </c>
      <c r="J13" s="26">
        <v>1513</v>
      </c>
      <c r="K13" s="26">
        <v>1315</v>
      </c>
      <c r="L13" s="27">
        <v>-2.9983660130724501</v>
      </c>
      <c r="M13" s="1">
        <v>0.29349999999999998</v>
      </c>
      <c r="N13" s="1">
        <v>-36.700000000006803</v>
      </c>
      <c r="O13" s="26">
        <v>75579.500000013795</v>
      </c>
    </row>
    <row r="14" spans="1:15" x14ac:dyDescent="0.3">
      <c r="A14" s="2" t="s">
        <v>71</v>
      </c>
      <c r="B14" s="2" t="s">
        <v>72</v>
      </c>
      <c r="C14" s="2" t="s">
        <v>75</v>
      </c>
      <c r="D14" s="1" t="s">
        <v>20</v>
      </c>
      <c r="E14" s="1">
        <v>554</v>
      </c>
      <c r="F14" s="1" t="s">
        <v>294</v>
      </c>
      <c r="G14" s="26">
        <v>6099</v>
      </c>
      <c r="H14" s="26">
        <v>5661</v>
      </c>
      <c r="I14" s="26">
        <v>5482</v>
      </c>
      <c r="J14" s="26">
        <v>5371</v>
      </c>
      <c r="K14" s="26">
        <v>5035</v>
      </c>
      <c r="L14" s="27">
        <v>3.9645843580925</v>
      </c>
      <c r="M14" s="1">
        <v>0.95299999999999996</v>
      </c>
      <c r="N14" s="1">
        <v>241.800000000061</v>
      </c>
      <c r="O14" s="26">
        <v>-483631.80000012403</v>
      </c>
    </row>
    <row r="15" spans="1:15" x14ac:dyDescent="0.3">
      <c r="A15" s="2" t="s">
        <v>71</v>
      </c>
      <c r="B15" s="2" t="s">
        <v>72</v>
      </c>
      <c r="C15" s="2" t="s">
        <v>74</v>
      </c>
      <c r="D15" s="1" t="s">
        <v>20</v>
      </c>
      <c r="E15" s="1">
        <v>553</v>
      </c>
      <c r="F15" s="1" t="s">
        <v>293</v>
      </c>
      <c r="G15" s="26">
        <v>8813</v>
      </c>
      <c r="H15" s="26">
        <v>6768.5</v>
      </c>
      <c r="I15" s="26">
        <v>6579</v>
      </c>
      <c r="J15" s="26">
        <v>7452</v>
      </c>
      <c r="K15" s="26">
        <v>7061</v>
      </c>
      <c r="L15" s="27">
        <v>3.2003857937137701</v>
      </c>
      <c r="M15" s="1">
        <v>0.25130000000000002</v>
      </c>
      <c r="N15" s="1">
        <v>282.04999999999399</v>
      </c>
      <c r="O15" s="26">
        <v>-563252.44999998901</v>
      </c>
    </row>
    <row r="16" spans="1:15" x14ac:dyDescent="0.3">
      <c r="A16" s="2" t="s">
        <v>71</v>
      </c>
      <c r="B16" s="2" t="s">
        <v>72</v>
      </c>
      <c r="C16" s="2" t="s">
        <v>73</v>
      </c>
      <c r="D16" s="1" t="s">
        <v>20</v>
      </c>
      <c r="E16" s="1">
        <v>28</v>
      </c>
      <c r="F16" s="1" t="s">
        <v>295</v>
      </c>
      <c r="G16" s="26">
        <v>7282</v>
      </c>
      <c r="H16" s="26">
        <v>5535</v>
      </c>
      <c r="I16" s="26">
        <v>5553</v>
      </c>
      <c r="J16" s="26">
        <v>5391</v>
      </c>
      <c r="K16" s="26">
        <v>5000</v>
      </c>
      <c r="L16" s="27">
        <v>6.4652567975841704</v>
      </c>
      <c r="M16" s="1">
        <v>0.70960000000000001</v>
      </c>
      <c r="N16" s="1">
        <v>470.80000000007902</v>
      </c>
      <c r="O16" s="26">
        <v>-946676.20000016002</v>
      </c>
    </row>
    <row r="17" spans="1:15" x14ac:dyDescent="0.3">
      <c r="A17" s="2" t="s">
        <v>71</v>
      </c>
      <c r="B17" s="2" t="s">
        <v>72</v>
      </c>
      <c r="C17" s="2" t="s">
        <v>118</v>
      </c>
      <c r="D17" s="1" t="s">
        <v>103</v>
      </c>
      <c r="E17" s="1">
        <v>673</v>
      </c>
      <c r="F17" s="1">
        <v>673</v>
      </c>
      <c r="G17" s="26">
        <v>9014</v>
      </c>
      <c r="H17" s="26">
        <v>7958</v>
      </c>
      <c r="I17" s="26">
        <v>7352</v>
      </c>
      <c r="J17" s="26">
        <v>6015</v>
      </c>
      <c r="K17" s="26">
        <v>5831</v>
      </c>
      <c r="L17" s="27">
        <v>9.21788329265841</v>
      </c>
      <c r="M17" s="1">
        <v>0.96409999999999996</v>
      </c>
      <c r="N17" s="1">
        <v>830.90000000022906</v>
      </c>
      <c r="O17" s="26">
        <v>-1673676.70000046</v>
      </c>
    </row>
    <row r="18" spans="1:15" x14ac:dyDescent="0.3">
      <c r="A18" s="2" t="s">
        <v>71</v>
      </c>
      <c r="B18" s="2" t="s">
        <v>119</v>
      </c>
      <c r="C18" s="2" t="s">
        <v>120</v>
      </c>
      <c r="D18" s="1" t="s">
        <v>103</v>
      </c>
      <c r="E18" s="1">
        <v>556</v>
      </c>
      <c r="F18" s="1">
        <v>556</v>
      </c>
      <c r="G18" s="26">
        <v>2992</v>
      </c>
      <c r="H18" s="26">
        <v>2567</v>
      </c>
      <c r="I18" s="26">
        <v>2297</v>
      </c>
      <c r="J18" s="26">
        <v>1790</v>
      </c>
      <c r="K18" s="26">
        <v>1643</v>
      </c>
      <c r="L18" s="27">
        <v>11.6143048128374</v>
      </c>
      <c r="M18" s="1">
        <v>0.97940000000000005</v>
      </c>
      <c r="N18" s="1">
        <v>347.50000000009601</v>
      </c>
      <c r="O18" s="26">
        <v>-700734.70000019495</v>
      </c>
    </row>
    <row r="19" spans="1:15" x14ac:dyDescent="0.3">
      <c r="A19" s="2" t="s">
        <v>71</v>
      </c>
      <c r="B19" s="2" t="s">
        <v>121</v>
      </c>
      <c r="C19" s="2" t="s">
        <v>122</v>
      </c>
      <c r="D19" s="1" t="s">
        <v>103</v>
      </c>
      <c r="E19" s="1">
        <v>557</v>
      </c>
      <c r="F19" s="1">
        <v>557</v>
      </c>
      <c r="G19" s="26">
        <v>8963</v>
      </c>
      <c r="H19" s="26">
        <v>8276</v>
      </c>
      <c r="I19" s="26">
        <v>7849</v>
      </c>
      <c r="J19" s="26">
        <v>7474</v>
      </c>
      <c r="K19" s="26">
        <v>6579</v>
      </c>
      <c r="L19" s="27">
        <v>6.21443713042685</v>
      </c>
      <c r="M19" s="1">
        <v>0.97729999999999995</v>
      </c>
      <c r="N19" s="1">
        <v>557.00000000015802</v>
      </c>
      <c r="O19" s="26">
        <v>-1118982.80000032</v>
      </c>
    </row>
    <row r="20" spans="1:15" x14ac:dyDescent="0.3">
      <c r="A20" s="2" t="s">
        <v>36</v>
      </c>
      <c r="B20" s="2" t="s">
        <v>37</v>
      </c>
      <c r="C20" s="2" t="s">
        <v>42</v>
      </c>
      <c r="D20" s="1" t="s">
        <v>20</v>
      </c>
      <c r="E20" s="1">
        <v>33.1</v>
      </c>
      <c r="F20" s="1" t="s">
        <v>296</v>
      </c>
      <c r="G20" s="26">
        <v>7749</v>
      </c>
      <c r="H20" s="26">
        <v>7398</v>
      </c>
      <c r="I20" s="26">
        <v>7268</v>
      </c>
      <c r="J20" s="26">
        <v>7194</v>
      </c>
      <c r="K20" s="26">
        <v>6825</v>
      </c>
      <c r="L20" s="27">
        <v>2.6480836236940699</v>
      </c>
      <c r="M20" s="1">
        <v>0.93940000000000001</v>
      </c>
      <c r="N20" s="1">
        <v>205.20000000005399</v>
      </c>
      <c r="O20" s="26">
        <v>-407832.80000010802</v>
      </c>
    </row>
    <row r="21" spans="1:15" x14ac:dyDescent="0.3">
      <c r="A21" s="2" t="s">
        <v>36</v>
      </c>
      <c r="B21" s="2" t="s">
        <v>37</v>
      </c>
      <c r="C21" s="2" t="s">
        <v>38</v>
      </c>
      <c r="D21" s="1" t="s">
        <v>20</v>
      </c>
      <c r="E21" s="1">
        <v>651</v>
      </c>
      <c r="F21" s="1" t="s">
        <v>297</v>
      </c>
      <c r="G21" s="26">
        <v>4985</v>
      </c>
      <c r="H21" s="26">
        <v>4898</v>
      </c>
      <c r="I21" s="26">
        <v>4924</v>
      </c>
      <c r="J21" s="26">
        <v>4781</v>
      </c>
      <c r="K21" s="26">
        <v>4520</v>
      </c>
      <c r="L21" s="27">
        <v>2.1003009027088102</v>
      </c>
      <c r="M21" s="1">
        <v>0.80820000000000003</v>
      </c>
      <c r="N21" s="1">
        <v>104.700000000034</v>
      </c>
      <c r="O21" s="26">
        <v>-206986.50000006901</v>
      </c>
    </row>
    <row r="22" spans="1:15" x14ac:dyDescent="0.3">
      <c r="A22" s="2" t="s">
        <v>36</v>
      </c>
      <c r="B22" s="2" t="s">
        <v>37</v>
      </c>
      <c r="C22" s="2" t="s">
        <v>129</v>
      </c>
      <c r="D22" s="1" t="s">
        <v>103</v>
      </c>
      <c r="E22" s="1">
        <v>671</v>
      </c>
      <c r="F22" s="1">
        <v>671</v>
      </c>
      <c r="G22" s="26">
        <v>6157</v>
      </c>
      <c r="H22" s="26">
        <v>5953</v>
      </c>
      <c r="I22" s="26">
        <v>5856</v>
      </c>
      <c r="J22" s="26">
        <v>5888</v>
      </c>
      <c r="K22" s="26">
        <v>5437</v>
      </c>
      <c r="L22" s="27">
        <v>2.4443722592178601</v>
      </c>
      <c r="M22" s="1">
        <v>0.81899999999999995</v>
      </c>
      <c r="N22" s="1">
        <v>150.500000000043</v>
      </c>
      <c r="O22" s="26">
        <v>-298603.300000088</v>
      </c>
    </row>
    <row r="23" spans="1:15" x14ac:dyDescent="0.3">
      <c r="A23" s="2" t="s">
        <v>36</v>
      </c>
      <c r="B23" s="2" t="s">
        <v>37</v>
      </c>
      <c r="C23" s="2" t="s">
        <v>127</v>
      </c>
      <c r="D23" s="1" t="s">
        <v>103</v>
      </c>
      <c r="E23" s="1">
        <v>658</v>
      </c>
      <c r="F23" s="1">
        <v>658</v>
      </c>
      <c r="G23" s="26">
        <v>12357</v>
      </c>
      <c r="H23" s="26">
        <v>12178</v>
      </c>
      <c r="I23" s="26">
        <v>12042</v>
      </c>
      <c r="J23" s="26">
        <v>12259</v>
      </c>
      <c r="K23" s="26">
        <v>11530</v>
      </c>
      <c r="L23" s="27">
        <v>1.2729626932107201</v>
      </c>
      <c r="M23" s="1">
        <v>0.58620000000000005</v>
      </c>
      <c r="N23" s="1">
        <v>157.30000000004901</v>
      </c>
      <c r="O23" s="26">
        <v>-306144.70000009902</v>
      </c>
    </row>
    <row r="24" spans="1:15" x14ac:dyDescent="0.3">
      <c r="A24" s="2" t="s">
        <v>36</v>
      </c>
      <c r="B24" s="2" t="s">
        <v>37</v>
      </c>
      <c r="C24" s="2" t="s">
        <v>41</v>
      </c>
      <c r="D24" s="1" t="s">
        <v>20</v>
      </c>
      <c r="E24" s="1">
        <v>653</v>
      </c>
      <c r="F24" s="1" t="s">
        <v>298</v>
      </c>
      <c r="G24" s="26">
        <v>9464</v>
      </c>
      <c r="H24" s="26">
        <v>8819</v>
      </c>
      <c r="I24" s="26">
        <v>9359</v>
      </c>
      <c r="J24" s="26">
        <v>8955</v>
      </c>
      <c r="K24" s="26">
        <v>8672</v>
      </c>
      <c r="L24" s="27">
        <v>1.5300084530856899</v>
      </c>
      <c r="M24" s="1">
        <v>0.44409999999999999</v>
      </c>
      <c r="N24" s="1">
        <v>144.80000000003</v>
      </c>
      <c r="O24" s="26">
        <v>-283876.60000005999</v>
      </c>
    </row>
    <row r="25" spans="1:15" x14ac:dyDescent="0.3">
      <c r="A25" s="2" t="s">
        <v>36</v>
      </c>
      <c r="B25" s="2" t="s">
        <v>37</v>
      </c>
      <c r="C25" s="2" t="s">
        <v>128</v>
      </c>
      <c r="D25" s="1" t="s">
        <v>103</v>
      </c>
      <c r="E25" s="1">
        <v>670</v>
      </c>
      <c r="F25" s="1">
        <v>670</v>
      </c>
      <c r="G25" s="26">
        <v>2343</v>
      </c>
      <c r="H25" s="26">
        <v>2366</v>
      </c>
      <c r="I25" s="26">
        <v>2462</v>
      </c>
      <c r="J25" s="26">
        <v>2496</v>
      </c>
      <c r="K25" s="26">
        <v>2576</v>
      </c>
      <c r="L25" s="27">
        <v>-2.5437473324805202</v>
      </c>
      <c r="M25" s="1">
        <v>0.96970000000000001</v>
      </c>
      <c r="N25" s="1">
        <v>-59.600000000018603</v>
      </c>
      <c r="O25" s="26">
        <v>123019.400000037</v>
      </c>
    </row>
    <row r="26" spans="1:15" x14ac:dyDescent="0.3">
      <c r="A26" s="2" t="s">
        <v>36</v>
      </c>
      <c r="B26" s="2" t="s">
        <v>43</v>
      </c>
      <c r="C26" s="2" t="s">
        <v>50</v>
      </c>
      <c r="D26" s="1" t="s">
        <v>20</v>
      </c>
      <c r="E26" s="1">
        <v>565</v>
      </c>
      <c r="F26" s="1" t="s">
        <v>299</v>
      </c>
      <c r="G26" s="26">
        <v>17509</v>
      </c>
      <c r="H26" s="26">
        <v>17128</v>
      </c>
      <c r="I26" s="26">
        <v>16247</v>
      </c>
      <c r="J26" s="26">
        <v>15366</v>
      </c>
      <c r="K26" s="26">
        <v>14423</v>
      </c>
      <c r="L26" s="27">
        <v>4.5313838597307097</v>
      </c>
      <c r="M26" s="1">
        <v>0.98219999999999996</v>
      </c>
      <c r="N26" s="1">
        <v>793.400000000251</v>
      </c>
      <c r="O26" s="26">
        <v>-1588913.6000005</v>
      </c>
    </row>
    <row r="27" spans="1:15" x14ac:dyDescent="0.3">
      <c r="A27" s="2" t="s">
        <v>36</v>
      </c>
      <c r="B27" s="2" t="s">
        <v>43</v>
      </c>
      <c r="C27" s="2" t="s">
        <v>48</v>
      </c>
      <c r="D27" s="1" t="s">
        <v>20</v>
      </c>
      <c r="E27" s="1">
        <v>328.1</v>
      </c>
      <c r="F27" s="1" t="s">
        <v>300</v>
      </c>
      <c r="G27" s="26">
        <v>10985</v>
      </c>
      <c r="H27" s="26">
        <v>11280</v>
      </c>
      <c r="I27" s="26">
        <v>11410</v>
      </c>
      <c r="J27" s="26">
        <v>11186</v>
      </c>
      <c r="K27" s="26">
        <v>10988</v>
      </c>
      <c r="L27" s="27">
        <v>8.0109239872754506E-2</v>
      </c>
      <c r="M27" s="1">
        <v>5.5999999999999999E-3</v>
      </c>
      <c r="N27" s="1">
        <v>8.8000000000220808</v>
      </c>
      <c r="O27" s="26">
        <v>-6632.6000000446702</v>
      </c>
    </row>
    <row r="28" spans="1:15" x14ac:dyDescent="0.3">
      <c r="A28" s="2" t="s">
        <v>36</v>
      </c>
      <c r="B28" s="2" t="s">
        <v>43</v>
      </c>
      <c r="C28" s="2" t="s">
        <v>47</v>
      </c>
      <c r="D28" s="1" t="s">
        <v>20</v>
      </c>
      <c r="E28" s="1">
        <v>426</v>
      </c>
      <c r="F28" s="1" t="s">
        <v>301</v>
      </c>
      <c r="G28" s="26">
        <v>22457</v>
      </c>
      <c r="H28" s="26">
        <v>21149</v>
      </c>
      <c r="I28" s="26">
        <v>22946</v>
      </c>
      <c r="J28" s="26">
        <v>22719</v>
      </c>
      <c r="K28" s="26">
        <v>22690</v>
      </c>
      <c r="L28" s="27">
        <v>-0.90662154339450296</v>
      </c>
      <c r="M28" s="1">
        <v>0.20200000000000001</v>
      </c>
      <c r="N28" s="1">
        <v>-203.60000000010299</v>
      </c>
      <c r="O28" s="26">
        <v>434275.00000020902</v>
      </c>
    </row>
    <row r="29" spans="1:15" x14ac:dyDescent="0.3">
      <c r="A29" s="2" t="s">
        <v>36</v>
      </c>
      <c r="B29" s="2" t="s">
        <v>43</v>
      </c>
      <c r="C29" s="2" t="s">
        <v>46</v>
      </c>
      <c r="D29" s="1" t="s">
        <v>20</v>
      </c>
      <c r="E29" s="1">
        <v>21</v>
      </c>
      <c r="F29" s="1" t="s">
        <v>302</v>
      </c>
      <c r="G29" s="26">
        <v>25667</v>
      </c>
      <c r="H29" s="26">
        <v>26426</v>
      </c>
      <c r="I29" s="26">
        <v>24859</v>
      </c>
      <c r="J29" s="26">
        <v>24135</v>
      </c>
      <c r="K29" s="26">
        <v>23950</v>
      </c>
      <c r="L29" s="27">
        <v>2.23049051311104</v>
      </c>
      <c r="M29" s="1">
        <v>0.75370000000000004</v>
      </c>
      <c r="N29" s="1">
        <v>572.500000000211</v>
      </c>
      <c r="O29" s="26">
        <v>-1133160.1000004199</v>
      </c>
    </row>
    <row r="30" spans="1:15" x14ac:dyDescent="0.3">
      <c r="A30" s="2" t="s">
        <v>36</v>
      </c>
      <c r="B30" s="2" t="s">
        <v>43</v>
      </c>
      <c r="C30" s="2" t="s">
        <v>45</v>
      </c>
      <c r="D30" s="1" t="s">
        <v>20</v>
      </c>
      <c r="E30" s="1">
        <v>19</v>
      </c>
      <c r="F30" s="1" t="s">
        <v>303</v>
      </c>
      <c r="G30" s="26">
        <v>24048</v>
      </c>
      <c r="H30" s="26">
        <v>24053</v>
      </c>
      <c r="I30" s="26">
        <v>23417</v>
      </c>
      <c r="J30" s="26">
        <v>23080</v>
      </c>
      <c r="K30" s="26">
        <v>25429</v>
      </c>
      <c r="L30" s="27">
        <v>-0.74392880904893499</v>
      </c>
      <c r="M30" s="1">
        <v>9.9000000000000005E-2</v>
      </c>
      <c r="N30" s="1">
        <v>-178.900000000088</v>
      </c>
      <c r="O30" s="26">
        <v>385920.10000017798</v>
      </c>
    </row>
    <row r="31" spans="1:15" x14ac:dyDescent="0.3">
      <c r="A31" s="2" t="s">
        <v>36</v>
      </c>
      <c r="B31" s="2" t="s">
        <v>43</v>
      </c>
      <c r="C31" s="2" t="s">
        <v>130</v>
      </c>
      <c r="D31" s="1" t="s">
        <v>103</v>
      </c>
      <c r="E31" s="1">
        <v>7004</v>
      </c>
      <c r="F31" s="1">
        <v>7004</v>
      </c>
      <c r="G31" s="26">
        <v>15230</v>
      </c>
      <c r="H31" s="26">
        <v>21455</v>
      </c>
      <c r="I31" s="26">
        <v>21234</v>
      </c>
      <c r="J31" s="26">
        <v>33275</v>
      </c>
      <c r="K31" s="26">
        <v>24330</v>
      </c>
      <c r="L31" s="27">
        <v>-19.711096520030701</v>
      </c>
      <c r="M31" s="1">
        <v>0.52039999999999997</v>
      </c>
      <c r="N31" s="1">
        <v>-3002.0000000006798</v>
      </c>
      <c r="O31" s="26">
        <v>6096150.80000138</v>
      </c>
    </row>
    <row r="32" spans="1:15" x14ac:dyDescent="0.3">
      <c r="A32" s="2" t="s">
        <v>36</v>
      </c>
      <c r="B32" s="2" t="s">
        <v>43</v>
      </c>
      <c r="C32" s="2" t="s">
        <v>131</v>
      </c>
      <c r="D32" s="1" t="s">
        <v>103</v>
      </c>
      <c r="E32" s="1">
        <v>516</v>
      </c>
      <c r="F32" s="1">
        <v>516</v>
      </c>
      <c r="G32" s="26">
        <v>22569</v>
      </c>
      <c r="H32" s="26">
        <v>23228</v>
      </c>
      <c r="I32" s="26">
        <v>23164</v>
      </c>
      <c r="J32" s="26">
        <v>25324</v>
      </c>
      <c r="K32" s="26">
        <v>23009</v>
      </c>
      <c r="L32" s="27">
        <v>-1.31862288980484</v>
      </c>
      <c r="M32" s="1">
        <v>0.192</v>
      </c>
      <c r="N32" s="1">
        <v>-297.60000000005601</v>
      </c>
      <c r="O32" s="26">
        <v>625503.60000011302</v>
      </c>
    </row>
    <row r="33" spans="1:15" x14ac:dyDescent="0.3">
      <c r="A33" s="2" t="s">
        <v>36</v>
      </c>
      <c r="B33" s="2" t="s">
        <v>43</v>
      </c>
      <c r="C33" s="2" t="s">
        <v>132</v>
      </c>
      <c r="D33" s="1" t="s">
        <v>103</v>
      </c>
      <c r="E33" s="1">
        <v>563</v>
      </c>
      <c r="F33" s="1">
        <v>563</v>
      </c>
      <c r="G33" s="26">
        <v>11434</v>
      </c>
      <c r="H33" s="26">
        <v>12123</v>
      </c>
      <c r="I33" s="26">
        <v>12626</v>
      </c>
      <c r="J33" s="26">
        <v>13503</v>
      </c>
      <c r="K33" s="26">
        <v>13725</v>
      </c>
      <c r="L33" s="27">
        <v>-5.2142732202218403</v>
      </c>
      <c r="M33" s="1">
        <v>0.97789999999999999</v>
      </c>
      <c r="N33" s="1">
        <v>-596.20000000016603</v>
      </c>
      <c r="O33" s="26">
        <v>1218794.80000033</v>
      </c>
    </row>
    <row r="34" spans="1:15" x14ac:dyDescent="0.3">
      <c r="A34" s="2" t="s">
        <v>36</v>
      </c>
      <c r="B34" s="2" t="s">
        <v>43</v>
      </c>
      <c r="C34" s="2" t="s">
        <v>133</v>
      </c>
      <c r="D34" s="1" t="s">
        <v>103</v>
      </c>
      <c r="E34" s="1">
        <v>580</v>
      </c>
      <c r="F34" s="1">
        <v>580</v>
      </c>
      <c r="G34" s="26">
        <v>25032</v>
      </c>
      <c r="H34" s="26">
        <v>22581</v>
      </c>
      <c r="I34" s="26">
        <v>22288</v>
      </c>
      <c r="J34" s="26">
        <v>18213</v>
      </c>
      <c r="K34" s="26">
        <v>20357</v>
      </c>
      <c r="L34" s="27">
        <v>5.4801853627370498</v>
      </c>
      <c r="M34" s="1">
        <v>0.71860000000000002</v>
      </c>
      <c r="N34" s="1">
        <v>1371.8000000003401</v>
      </c>
      <c r="O34" s="26">
        <v>-2753457.2000006801</v>
      </c>
    </row>
    <row r="35" spans="1:15" x14ac:dyDescent="0.3">
      <c r="A35" s="2" t="s">
        <v>36</v>
      </c>
      <c r="B35" s="2" t="s">
        <v>43</v>
      </c>
      <c r="C35" s="2" t="s">
        <v>49</v>
      </c>
      <c r="D35" s="1" t="s">
        <v>20</v>
      </c>
      <c r="E35" s="1">
        <v>564</v>
      </c>
      <c r="F35" s="1" t="s">
        <v>304</v>
      </c>
      <c r="G35" s="26">
        <v>10441</v>
      </c>
      <c r="H35" s="26">
        <v>10738</v>
      </c>
      <c r="I35" s="26">
        <v>10272</v>
      </c>
      <c r="J35" s="26">
        <v>10170</v>
      </c>
      <c r="K35" s="26">
        <v>9795</v>
      </c>
      <c r="L35" s="27">
        <v>1.7814385595256601</v>
      </c>
      <c r="M35" s="1">
        <v>0.71619999999999995</v>
      </c>
      <c r="N35" s="1">
        <v>186.00000000007401</v>
      </c>
      <c r="O35" s="26">
        <v>-365994.80000015098</v>
      </c>
    </row>
    <row r="36" spans="1:15" x14ac:dyDescent="0.3">
      <c r="A36" s="2" t="s">
        <v>36</v>
      </c>
      <c r="B36" s="2" t="s">
        <v>43</v>
      </c>
      <c r="C36" s="2" t="s">
        <v>44</v>
      </c>
      <c r="D36" s="1" t="s">
        <v>20</v>
      </c>
      <c r="E36" s="1">
        <v>18.100000000000001</v>
      </c>
      <c r="F36" s="1" t="s">
        <v>305</v>
      </c>
      <c r="G36" s="26">
        <v>16860</v>
      </c>
      <c r="H36" s="26">
        <v>20071</v>
      </c>
      <c r="I36" s="26">
        <v>20037</v>
      </c>
      <c r="J36" s="26">
        <v>17241</v>
      </c>
      <c r="K36" s="26">
        <v>17409</v>
      </c>
      <c r="L36" s="27">
        <v>1.0272835112706</v>
      </c>
      <c r="M36" s="1">
        <v>2.9600000000000001E-2</v>
      </c>
      <c r="N36" s="1">
        <v>173.20000000022401</v>
      </c>
      <c r="O36" s="26">
        <v>-332060.00000045402</v>
      </c>
    </row>
    <row r="37" spans="1:15" ht="15" customHeight="1" x14ac:dyDescent="0.3">
      <c r="A37" s="2" t="s">
        <v>36</v>
      </c>
      <c r="B37" s="2" t="s">
        <v>51</v>
      </c>
      <c r="C37" s="2" t="s">
        <v>364</v>
      </c>
      <c r="D37" s="1" t="s">
        <v>20</v>
      </c>
      <c r="E37" s="1">
        <v>27</v>
      </c>
      <c r="F37" s="1" t="s">
        <v>306</v>
      </c>
      <c r="G37" s="26">
        <v>14653</v>
      </c>
      <c r="H37" s="26">
        <v>12995</v>
      </c>
      <c r="I37" s="26">
        <v>14873</v>
      </c>
      <c r="J37" s="26">
        <v>14581</v>
      </c>
      <c r="K37" s="26">
        <v>13983</v>
      </c>
      <c r="L37" s="27">
        <v>-0.167883709820875</v>
      </c>
      <c r="M37" s="1">
        <v>2.5999999999999999E-3</v>
      </c>
      <c r="N37" s="1">
        <v>-24.600000000052798</v>
      </c>
      <c r="O37" s="26">
        <v>63982.800000106901</v>
      </c>
    </row>
    <row r="38" spans="1:15" ht="15" customHeight="1" x14ac:dyDescent="0.3">
      <c r="A38" s="2" t="s">
        <v>36</v>
      </c>
      <c r="B38" s="2" t="s">
        <v>51</v>
      </c>
      <c r="C38" s="2" t="s">
        <v>365</v>
      </c>
      <c r="D38" s="1" t="s">
        <v>20</v>
      </c>
      <c r="E38" s="1">
        <v>7083</v>
      </c>
      <c r="F38" s="1" t="s">
        <v>307</v>
      </c>
      <c r="G38" s="26">
        <v>8980</v>
      </c>
      <c r="H38" s="26">
        <v>8043</v>
      </c>
      <c r="I38" s="26">
        <v>8193</v>
      </c>
      <c r="J38" s="26">
        <v>8032</v>
      </c>
      <c r="K38" s="26">
        <v>7775</v>
      </c>
      <c r="L38" s="27">
        <v>2.6959910913145002</v>
      </c>
      <c r="M38" s="1">
        <v>0.69620000000000004</v>
      </c>
      <c r="N38" s="1">
        <v>242.100000000042</v>
      </c>
      <c r="O38" s="26">
        <v>-481563.70000008598</v>
      </c>
    </row>
    <row r="39" spans="1:15" ht="15" customHeight="1" x14ac:dyDescent="0.3">
      <c r="A39" s="2" t="s">
        <v>36</v>
      </c>
      <c r="B39" s="2" t="s">
        <v>51</v>
      </c>
      <c r="C39" s="2" t="s">
        <v>363</v>
      </c>
      <c r="D39" s="1" t="s">
        <v>20</v>
      </c>
      <c r="E39" s="1">
        <v>559</v>
      </c>
      <c r="F39" s="1" t="s">
        <v>308</v>
      </c>
      <c r="G39" s="26">
        <v>14716</v>
      </c>
      <c r="H39" s="26">
        <v>13257.5</v>
      </c>
      <c r="I39" s="26">
        <v>14044.5</v>
      </c>
      <c r="J39" s="26">
        <v>12831</v>
      </c>
      <c r="K39" s="26">
        <v>11875</v>
      </c>
      <c r="L39" s="27">
        <v>4.1509241641761401</v>
      </c>
      <c r="M39" s="1">
        <v>0.77710000000000001</v>
      </c>
      <c r="N39" s="1">
        <v>610.85000000016203</v>
      </c>
      <c r="O39" s="26">
        <v>-1222404.7500003199</v>
      </c>
    </row>
    <row r="40" spans="1:15" ht="15" customHeight="1" x14ac:dyDescent="0.3">
      <c r="A40" s="2" t="s">
        <v>36</v>
      </c>
      <c r="B40" s="2" t="s">
        <v>51</v>
      </c>
      <c r="C40" s="2" t="s">
        <v>362</v>
      </c>
      <c r="D40" s="1" t="s">
        <v>103</v>
      </c>
      <c r="E40" s="1">
        <v>29</v>
      </c>
      <c r="F40" s="1">
        <v>29</v>
      </c>
      <c r="G40" s="26">
        <v>15179</v>
      </c>
      <c r="H40" s="26">
        <v>14503</v>
      </c>
      <c r="I40" s="26">
        <v>14014</v>
      </c>
      <c r="J40" s="26">
        <v>12799</v>
      </c>
      <c r="K40" s="26">
        <v>13119</v>
      </c>
      <c r="L40" s="27">
        <v>3.8368798998627001</v>
      </c>
      <c r="M40" s="1">
        <v>0.8851</v>
      </c>
      <c r="N40" s="1">
        <v>582.40000000015903</v>
      </c>
      <c r="O40" s="26">
        <v>-1164272.40000032</v>
      </c>
    </row>
    <row r="41" spans="1:15" ht="15" customHeight="1" x14ac:dyDescent="0.3">
      <c r="A41" s="2" t="s">
        <v>36</v>
      </c>
      <c r="B41" s="2" t="s">
        <v>51</v>
      </c>
      <c r="C41" s="2" t="s">
        <v>361</v>
      </c>
      <c r="D41" s="1" t="s">
        <v>103</v>
      </c>
      <c r="E41" s="1">
        <v>702</v>
      </c>
      <c r="F41" s="1">
        <v>702</v>
      </c>
      <c r="G41" s="26">
        <v>16693</v>
      </c>
      <c r="H41" s="26">
        <v>16455</v>
      </c>
      <c r="I41" s="26">
        <v>16154</v>
      </c>
      <c r="J41" s="26">
        <v>15460</v>
      </c>
      <c r="K41" s="26">
        <v>15843</v>
      </c>
      <c r="L41" s="27">
        <v>1.6144491703113499</v>
      </c>
      <c r="M41" s="1">
        <v>0.76129999999999998</v>
      </c>
      <c r="N41" s="1">
        <v>269.50000000007401</v>
      </c>
      <c r="O41" s="26">
        <v>-529077.50000015099</v>
      </c>
    </row>
    <row r="42" spans="1:15" x14ac:dyDescent="0.3">
      <c r="A42" s="2" t="s">
        <v>71</v>
      </c>
      <c r="B42" s="2" t="s">
        <v>123</v>
      </c>
      <c r="C42" s="2" t="s">
        <v>124</v>
      </c>
      <c r="D42" s="1" t="s">
        <v>103</v>
      </c>
      <c r="E42" s="1">
        <v>520</v>
      </c>
      <c r="F42" s="1">
        <v>520</v>
      </c>
      <c r="G42" s="26">
        <v>2166</v>
      </c>
      <c r="H42" s="26">
        <v>1992</v>
      </c>
      <c r="I42" s="26">
        <v>1980</v>
      </c>
      <c r="J42" s="26">
        <v>1746</v>
      </c>
      <c r="K42" s="26">
        <v>1825</v>
      </c>
      <c r="L42" s="27">
        <v>4.2843951985236801</v>
      </c>
      <c r="M42" s="1">
        <v>0.81069999999999998</v>
      </c>
      <c r="N42" s="1">
        <v>92.800000000023005</v>
      </c>
      <c r="O42" s="26">
        <v>-185792.60000004599</v>
      </c>
    </row>
    <row r="43" spans="1:15" x14ac:dyDescent="0.3">
      <c r="A43" s="2" t="s">
        <v>71</v>
      </c>
      <c r="B43" s="2" t="s">
        <v>125</v>
      </c>
      <c r="C43" s="2" t="s">
        <v>126</v>
      </c>
      <c r="D43" s="1" t="s">
        <v>103</v>
      </c>
      <c r="E43" s="1">
        <v>655</v>
      </c>
      <c r="F43" s="1">
        <v>655</v>
      </c>
      <c r="G43" s="26">
        <v>1761</v>
      </c>
      <c r="H43" s="26">
        <v>1783</v>
      </c>
      <c r="I43" s="26">
        <v>1808</v>
      </c>
      <c r="J43" s="26">
        <v>1861</v>
      </c>
      <c r="K43" s="26">
        <v>1839</v>
      </c>
      <c r="L43" s="27">
        <v>-1.3287904599662901</v>
      </c>
      <c r="M43" s="1">
        <v>0.83279999999999998</v>
      </c>
      <c r="N43" s="1">
        <v>-23.400000000006401</v>
      </c>
      <c r="O43" s="26">
        <v>49148.600000013103</v>
      </c>
    </row>
    <row r="44" spans="1:15" x14ac:dyDescent="0.3">
      <c r="A44" s="2" t="s">
        <v>71</v>
      </c>
      <c r="B44" s="2" t="s">
        <v>134</v>
      </c>
      <c r="C44" s="2" t="s">
        <v>135</v>
      </c>
      <c r="D44" s="1" t="s">
        <v>103</v>
      </c>
      <c r="E44" s="1">
        <v>414</v>
      </c>
      <c r="F44" s="1">
        <v>414</v>
      </c>
      <c r="G44" s="26">
        <v>2117</v>
      </c>
      <c r="H44" s="28" t="s">
        <v>355</v>
      </c>
      <c r="I44" s="28" t="s">
        <v>355</v>
      </c>
      <c r="J44" s="28" t="s">
        <v>355</v>
      </c>
      <c r="K44" s="28" t="s">
        <v>355</v>
      </c>
      <c r="L44" s="27" t="s">
        <v>357</v>
      </c>
      <c r="M44" s="1" t="s">
        <v>357</v>
      </c>
      <c r="N44" s="1" t="s">
        <v>357</v>
      </c>
      <c r="O44" s="26" t="s">
        <v>357</v>
      </c>
    </row>
    <row r="45" spans="1:15" x14ac:dyDescent="0.3">
      <c r="A45" s="2" t="s">
        <v>71</v>
      </c>
      <c r="B45" s="2" t="s">
        <v>136</v>
      </c>
      <c r="C45" s="2" t="s">
        <v>115</v>
      </c>
      <c r="D45" s="1" t="s">
        <v>103</v>
      </c>
      <c r="E45" s="1">
        <v>408</v>
      </c>
      <c r="F45" s="1">
        <v>408</v>
      </c>
      <c r="G45" s="26">
        <v>5010</v>
      </c>
      <c r="H45" s="26">
        <v>4969</v>
      </c>
      <c r="I45" s="26">
        <v>4441</v>
      </c>
      <c r="J45" s="26">
        <v>5018</v>
      </c>
      <c r="K45" s="26">
        <v>3562</v>
      </c>
      <c r="L45" s="27">
        <v>5.68263473054086</v>
      </c>
      <c r="M45" s="1">
        <v>0.51239999999999997</v>
      </c>
      <c r="N45" s="1">
        <v>284.70000000009702</v>
      </c>
      <c r="O45" s="26">
        <v>-571348.10000019602</v>
      </c>
    </row>
    <row r="46" spans="1:15" x14ac:dyDescent="0.3">
      <c r="A46" s="2" t="s">
        <v>71</v>
      </c>
      <c r="B46" s="2" t="s">
        <v>137</v>
      </c>
      <c r="C46" s="2" t="s">
        <v>138</v>
      </c>
      <c r="D46" s="1" t="s">
        <v>103</v>
      </c>
      <c r="E46" s="1">
        <v>508</v>
      </c>
      <c r="F46" s="1">
        <v>508</v>
      </c>
      <c r="G46" s="26">
        <v>2351</v>
      </c>
      <c r="H46" s="26">
        <v>2395</v>
      </c>
      <c r="I46" s="26">
        <v>2432</v>
      </c>
      <c r="J46" s="26">
        <v>2487</v>
      </c>
      <c r="K46" s="26">
        <v>2507</v>
      </c>
      <c r="L46" s="27">
        <v>-1.7184176945985301</v>
      </c>
      <c r="M46" s="1">
        <v>0.98609999999999998</v>
      </c>
      <c r="N46" s="1">
        <v>-40.400000000011502</v>
      </c>
      <c r="O46" s="26">
        <v>84163.600000023202</v>
      </c>
    </row>
    <row r="47" spans="1:15" x14ac:dyDescent="0.3">
      <c r="A47" s="2" t="s">
        <v>71</v>
      </c>
      <c r="B47" s="2" t="s">
        <v>137</v>
      </c>
      <c r="C47" s="2" t="s">
        <v>139</v>
      </c>
      <c r="D47" s="1" t="s">
        <v>103</v>
      </c>
      <c r="E47" s="1">
        <v>509</v>
      </c>
      <c r="F47" s="1">
        <v>509</v>
      </c>
      <c r="G47" s="26">
        <v>4014</v>
      </c>
      <c r="H47" s="26">
        <v>4019</v>
      </c>
      <c r="I47" s="26">
        <v>4048</v>
      </c>
      <c r="J47" s="26">
        <v>4029</v>
      </c>
      <c r="K47" s="26">
        <v>4093</v>
      </c>
      <c r="L47" s="27">
        <v>-0.41853512705543999</v>
      </c>
      <c r="M47" s="1">
        <v>0.68679999999999997</v>
      </c>
      <c r="N47" s="1">
        <v>-16.800000000005301</v>
      </c>
      <c r="O47" s="26">
        <v>38027.000000010798</v>
      </c>
    </row>
    <row r="48" spans="1:15" x14ac:dyDescent="0.3">
      <c r="A48" s="2" t="s">
        <v>71</v>
      </c>
      <c r="B48" s="2" t="s">
        <v>137</v>
      </c>
      <c r="C48" s="2" t="s">
        <v>140</v>
      </c>
      <c r="D48" s="1" t="s">
        <v>103</v>
      </c>
      <c r="E48" s="1">
        <v>541</v>
      </c>
      <c r="F48" s="1">
        <v>541</v>
      </c>
      <c r="G48" s="26">
        <v>6954</v>
      </c>
      <c r="H48" s="26">
        <v>7934</v>
      </c>
      <c r="I48" s="26">
        <v>8222</v>
      </c>
      <c r="J48" s="26">
        <v>9886</v>
      </c>
      <c r="K48" s="26">
        <v>9148</v>
      </c>
      <c r="L48" s="27">
        <v>-9.1170549324153392</v>
      </c>
      <c r="M48" s="1">
        <v>0.78759999999999997</v>
      </c>
      <c r="N48" s="1">
        <v>-634.00000000016303</v>
      </c>
      <c r="O48" s="26">
        <v>1291010.80000033</v>
      </c>
    </row>
    <row r="49" spans="1:15" x14ac:dyDescent="0.3">
      <c r="A49" s="2" t="s">
        <v>71</v>
      </c>
      <c r="B49" s="2" t="s">
        <v>141</v>
      </c>
      <c r="C49" s="2" t="s">
        <v>142</v>
      </c>
      <c r="D49" s="1" t="s">
        <v>103</v>
      </c>
      <c r="E49" s="1">
        <v>931</v>
      </c>
      <c r="F49" s="1">
        <v>931</v>
      </c>
      <c r="G49" s="26">
        <v>2195</v>
      </c>
      <c r="H49" s="26">
        <v>2159</v>
      </c>
      <c r="I49" s="26">
        <v>1966</v>
      </c>
      <c r="J49" s="26">
        <v>2012</v>
      </c>
      <c r="K49" s="26">
        <v>1697</v>
      </c>
      <c r="L49" s="27">
        <v>5.2072892938513302</v>
      </c>
      <c r="M49" s="1">
        <v>0.83609999999999995</v>
      </c>
      <c r="N49" s="1">
        <v>114.30000000003599</v>
      </c>
      <c r="O49" s="26">
        <v>-229223.10000007399</v>
      </c>
    </row>
    <row r="50" spans="1:15" x14ac:dyDescent="0.3">
      <c r="A50" s="2" t="s">
        <v>71</v>
      </c>
      <c r="B50" s="2" t="s">
        <v>143</v>
      </c>
      <c r="C50" s="2" t="s">
        <v>144</v>
      </c>
      <c r="D50" s="1" t="s">
        <v>103</v>
      </c>
      <c r="E50" s="1">
        <v>909</v>
      </c>
      <c r="F50" s="1">
        <v>909</v>
      </c>
      <c r="G50" s="26">
        <v>1843</v>
      </c>
      <c r="H50" s="26">
        <v>1330</v>
      </c>
      <c r="I50" s="26">
        <v>1057</v>
      </c>
      <c r="J50" s="26">
        <v>423</v>
      </c>
      <c r="K50" s="26">
        <v>331</v>
      </c>
      <c r="L50" s="27">
        <v>21.329354313624901</v>
      </c>
      <c r="M50" s="1">
        <v>0.96379999999999999</v>
      </c>
      <c r="N50" s="1">
        <v>393.10000000010803</v>
      </c>
      <c r="O50" s="26">
        <v>-794244.50000021805</v>
      </c>
    </row>
    <row r="51" spans="1:15" x14ac:dyDescent="0.3">
      <c r="A51" s="2" t="s">
        <v>71</v>
      </c>
      <c r="B51" s="2" t="s">
        <v>143</v>
      </c>
      <c r="C51" s="2" t="s">
        <v>145</v>
      </c>
      <c r="D51" s="1" t="s">
        <v>103</v>
      </c>
      <c r="E51" s="1">
        <v>910</v>
      </c>
      <c r="F51" s="1">
        <v>910</v>
      </c>
      <c r="G51" s="26">
        <v>1108</v>
      </c>
      <c r="H51" s="26">
        <v>846</v>
      </c>
      <c r="I51" s="26">
        <v>698</v>
      </c>
      <c r="J51" s="26">
        <v>387</v>
      </c>
      <c r="K51" s="26">
        <v>313</v>
      </c>
      <c r="L51" s="27">
        <v>18.4927797833986</v>
      </c>
      <c r="M51" s="1">
        <v>0.9738</v>
      </c>
      <c r="N51" s="1">
        <v>204.900000000056</v>
      </c>
      <c r="O51" s="26">
        <v>-413842.30000011402</v>
      </c>
    </row>
    <row r="52" spans="1:15" x14ac:dyDescent="0.3">
      <c r="A52" s="2" t="s">
        <v>71</v>
      </c>
      <c r="B52" s="2" t="s">
        <v>146</v>
      </c>
      <c r="C52" s="2" t="s">
        <v>147</v>
      </c>
      <c r="D52" s="1" t="s">
        <v>103</v>
      </c>
      <c r="E52" s="1">
        <v>820</v>
      </c>
      <c r="F52" s="1">
        <v>820</v>
      </c>
      <c r="G52" s="26">
        <v>3762</v>
      </c>
      <c r="H52" s="26">
        <v>3949</v>
      </c>
      <c r="I52" s="26">
        <v>4154</v>
      </c>
      <c r="J52" s="26">
        <v>4040</v>
      </c>
      <c r="K52" s="26">
        <v>4697</v>
      </c>
      <c r="L52" s="27">
        <v>-5.2126528442333901</v>
      </c>
      <c r="M52" s="1">
        <v>0.77239999999999998</v>
      </c>
      <c r="N52" s="1">
        <v>-196.10000000005999</v>
      </c>
      <c r="O52" s="26">
        <v>400830.70000012103</v>
      </c>
    </row>
    <row r="53" spans="1:15" x14ac:dyDescent="0.3">
      <c r="A53" s="2" t="s">
        <v>71</v>
      </c>
      <c r="B53" s="2" t="s">
        <v>148</v>
      </c>
      <c r="C53" s="2" t="s">
        <v>149</v>
      </c>
      <c r="D53" s="1" t="s">
        <v>103</v>
      </c>
      <c r="E53" s="1">
        <v>920</v>
      </c>
      <c r="F53" s="1">
        <v>920</v>
      </c>
      <c r="G53" s="26">
        <v>1440</v>
      </c>
      <c r="H53" s="26">
        <v>1356</v>
      </c>
      <c r="I53" s="26">
        <v>1239</v>
      </c>
      <c r="J53" s="26">
        <v>1176</v>
      </c>
      <c r="K53" s="26">
        <v>1028</v>
      </c>
      <c r="L53" s="27">
        <v>6.97222222222429</v>
      </c>
      <c r="M53" s="1">
        <v>0.98640000000000005</v>
      </c>
      <c r="N53" s="1">
        <v>100.400000000029</v>
      </c>
      <c r="O53" s="26">
        <v>-201861.40000006001</v>
      </c>
    </row>
    <row r="54" spans="1:15" x14ac:dyDescent="0.3">
      <c r="A54" s="2" t="s">
        <v>71</v>
      </c>
      <c r="B54" s="2" t="s">
        <v>150</v>
      </c>
      <c r="C54" s="2" t="s">
        <v>120</v>
      </c>
      <c r="D54" s="1" t="s">
        <v>103</v>
      </c>
      <c r="E54" s="1">
        <v>972</v>
      </c>
      <c r="F54" s="1">
        <v>972</v>
      </c>
      <c r="G54" s="26">
        <v>5426</v>
      </c>
      <c r="H54" s="26">
        <v>4672</v>
      </c>
      <c r="I54" s="26">
        <v>4022</v>
      </c>
      <c r="J54" s="26">
        <v>3266</v>
      </c>
      <c r="K54" s="26">
        <v>2620</v>
      </c>
      <c r="L54" s="27">
        <v>12.9340213785514</v>
      </c>
      <c r="M54" s="1">
        <v>0.99929999999999997</v>
      </c>
      <c r="N54" s="1">
        <v>701.80000000020004</v>
      </c>
      <c r="O54" s="26">
        <v>-1415740.2000004</v>
      </c>
    </row>
    <row r="55" spans="1:15" x14ac:dyDescent="0.3">
      <c r="A55" s="2" t="s">
        <v>71</v>
      </c>
      <c r="B55" s="2" t="s">
        <v>151</v>
      </c>
      <c r="C55" s="2" t="s">
        <v>152</v>
      </c>
      <c r="D55" s="1" t="s">
        <v>103</v>
      </c>
      <c r="E55" s="1">
        <v>975</v>
      </c>
      <c r="F55" s="1">
        <v>975</v>
      </c>
      <c r="G55" s="26">
        <v>4050</v>
      </c>
      <c r="H55" s="28" t="s">
        <v>355</v>
      </c>
      <c r="I55" s="28" t="s">
        <v>355</v>
      </c>
      <c r="J55" s="28" t="s">
        <v>355</v>
      </c>
      <c r="K55" s="28" t="s">
        <v>355</v>
      </c>
      <c r="L55" s="27" t="s">
        <v>357</v>
      </c>
      <c r="M55" s="1" t="s">
        <v>357</v>
      </c>
      <c r="N55" s="1" t="s">
        <v>357</v>
      </c>
      <c r="O55" s="26" t="s">
        <v>357</v>
      </c>
    </row>
    <row r="56" spans="1:15" x14ac:dyDescent="0.3">
      <c r="A56" s="2" t="s">
        <v>71</v>
      </c>
      <c r="B56" s="2" t="s">
        <v>153</v>
      </c>
      <c r="C56" s="2" t="s">
        <v>154</v>
      </c>
      <c r="D56" s="1" t="s">
        <v>103</v>
      </c>
      <c r="E56" s="1">
        <v>561</v>
      </c>
      <c r="F56" s="1">
        <v>561</v>
      </c>
      <c r="G56" s="26">
        <v>1129</v>
      </c>
      <c r="H56" s="26">
        <v>1163</v>
      </c>
      <c r="I56" s="26">
        <v>1251</v>
      </c>
      <c r="J56" s="26">
        <v>1219</v>
      </c>
      <c r="K56" s="26">
        <v>1406</v>
      </c>
      <c r="L56" s="27">
        <v>-5.4030115146164102</v>
      </c>
      <c r="M56" s="1">
        <v>0.80610000000000004</v>
      </c>
      <c r="N56" s="1">
        <v>-61.000000000019298</v>
      </c>
      <c r="O56" s="26">
        <v>124636.600000039</v>
      </c>
    </row>
    <row r="57" spans="1:15" x14ac:dyDescent="0.3">
      <c r="A57" s="2" t="s">
        <v>71</v>
      </c>
      <c r="B57" s="2" t="s">
        <v>153</v>
      </c>
      <c r="C57" s="2" t="s">
        <v>122</v>
      </c>
      <c r="D57" s="1" t="s">
        <v>103</v>
      </c>
      <c r="E57" s="1">
        <v>562</v>
      </c>
      <c r="F57" s="1">
        <v>562</v>
      </c>
      <c r="G57" s="26">
        <v>1084</v>
      </c>
      <c r="H57" s="26">
        <v>1113</v>
      </c>
      <c r="I57" s="26">
        <v>1232</v>
      </c>
      <c r="J57" s="26">
        <v>1235</v>
      </c>
      <c r="K57" s="26">
        <v>1393</v>
      </c>
      <c r="L57" s="27">
        <v>-6.8265682656848004</v>
      </c>
      <c r="M57" s="1">
        <v>0.91459999999999997</v>
      </c>
      <c r="N57" s="1">
        <v>-74.000000000023206</v>
      </c>
      <c r="O57" s="26">
        <v>150913.400000047</v>
      </c>
    </row>
    <row r="58" spans="1:15" x14ac:dyDescent="0.3">
      <c r="A58" s="2" t="s">
        <v>71</v>
      </c>
      <c r="B58" s="2" t="s">
        <v>155</v>
      </c>
      <c r="C58" s="2" t="s">
        <v>156</v>
      </c>
      <c r="D58" s="1" t="s">
        <v>103</v>
      </c>
      <c r="E58" s="1">
        <v>950</v>
      </c>
      <c r="F58" s="1">
        <v>950</v>
      </c>
      <c r="G58" s="26">
        <v>2821</v>
      </c>
      <c r="H58" s="26">
        <v>2689</v>
      </c>
      <c r="I58" s="26">
        <v>2401</v>
      </c>
      <c r="J58" s="26">
        <v>2425</v>
      </c>
      <c r="K58" s="26">
        <v>1903</v>
      </c>
      <c r="L58" s="27">
        <v>7.44416873449362</v>
      </c>
      <c r="M58" s="1">
        <v>0.88739999999999997</v>
      </c>
      <c r="N58" s="1">
        <v>210.000000000065</v>
      </c>
      <c r="O58" s="26">
        <v>-422382.20000013098</v>
      </c>
    </row>
    <row r="59" spans="1:15" x14ac:dyDescent="0.3">
      <c r="A59" s="2" t="s">
        <v>71</v>
      </c>
      <c r="B59" s="2" t="s">
        <v>155</v>
      </c>
      <c r="C59" s="2" t="s">
        <v>157</v>
      </c>
      <c r="D59" s="1" t="s">
        <v>103</v>
      </c>
      <c r="E59" s="1">
        <v>951</v>
      </c>
      <c r="F59" s="1">
        <v>951</v>
      </c>
      <c r="G59" s="26">
        <v>991</v>
      </c>
      <c r="H59" s="26">
        <v>1022</v>
      </c>
      <c r="I59" s="26">
        <v>1009</v>
      </c>
      <c r="J59" s="26">
        <v>1100</v>
      </c>
      <c r="K59" s="26">
        <v>998</v>
      </c>
      <c r="L59" s="27">
        <v>-0.92835519677106404</v>
      </c>
      <c r="M59" s="1">
        <v>0.1089</v>
      </c>
      <c r="N59" s="1">
        <v>-9.2000000000012392</v>
      </c>
      <c r="O59" s="26">
        <v>19635.600000002501</v>
      </c>
    </row>
    <row r="60" spans="1:15" x14ac:dyDescent="0.3">
      <c r="A60" s="2" t="s">
        <v>71</v>
      </c>
      <c r="B60" s="2" t="s">
        <v>155</v>
      </c>
      <c r="C60" s="2" t="s">
        <v>158</v>
      </c>
      <c r="D60" s="1" t="s">
        <v>103</v>
      </c>
      <c r="E60" s="1">
        <v>952</v>
      </c>
      <c r="F60" s="1">
        <v>952</v>
      </c>
      <c r="G60" s="32">
        <v>215</v>
      </c>
      <c r="H60" s="26">
        <v>261</v>
      </c>
      <c r="I60" s="26">
        <v>301</v>
      </c>
      <c r="J60" s="26">
        <v>356</v>
      </c>
      <c r="K60" s="26">
        <v>384</v>
      </c>
      <c r="L60" s="27">
        <v>-20.139534883726601</v>
      </c>
      <c r="M60" s="1">
        <v>0.99299999999999999</v>
      </c>
      <c r="N60" s="1">
        <v>-43.300000000012297</v>
      </c>
      <c r="O60" s="26">
        <v>87899.300000024901</v>
      </c>
    </row>
    <row r="61" spans="1:15" x14ac:dyDescent="0.3">
      <c r="A61" s="2" t="s">
        <v>71</v>
      </c>
      <c r="B61" s="2" t="s">
        <v>159</v>
      </c>
      <c r="C61" s="2" t="s">
        <v>160</v>
      </c>
      <c r="D61" s="1" t="s">
        <v>103</v>
      </c>
      <c r="E61" s="1">
        <v>406</v>
      </c>
      <c r="F61" s="1">
        <v>406</v>
      </c>
      <c r="G61" s="26">
        <v>698</v>
      </c>
      <c r="H61" s="28" t="s">
        <v>355</v>
      </c>
      <c r="I61" s="28" t="s">
        <v>355</v>
      </c>
      <c r="J61" s="28" t="s">
        <v>355</v>
      </c>
      <c r="K61" s="28" t="s">
        <v>355</v>
      </c>
      <c r="L61" s="27" t="s">
        <v>357</v>
      </c>
      <c r="M61" s="1" t="s">
        <v>357</v>
      </c>
      <c r="N61" s="1" t="s">
        <v>357</v>
      </c>
      <c r="O61" s="26" t="s">
        <v>357</v>
      </c>
    </row>
    <row r="62" spans="1:15" x14ac:dyDescent="0.3">
      <c r="A62" s="2" t="s">
        <v>71</v>
      </c>
      <c r="B62" s="2" t="s">
        <v>159</v>
      </c>
      <c r="C62" s="2" t="s">
        <v>115</v>
      </c>
      <c r="D62" s="1" t="s">
        <v>103</v>
      </c>
      <c r="E62" s="1">
        <v>405</v>
      </c>
      <c r="F62" s="1">
        <v>405</v>
      </c>
      <c r="G62" s="26">
        <v>1267</v>
      </c>
      <c r="H62" s="28" t="s">
        <v>355</v>
      </c>
      <c r="I62" s="28" t="s">
        <v>355</v>
      </c>
      <c r="J62" s="28" t="s">
        <v>355</v>
      </c>
      <c r="K62" s="28" t="s">
        <v>355</v>
      </c>
      <c r="L62" s="27" t="s">
        <v>357</v>
      </c>
      <c r="M62" s="1" t="s">
        <v>357</v>
      </c>
      <c r="N62" s="1" t="s">
        <v>357</v>
      </c>
      <c r="O62" s="26" t="s">
        <v>357</v>
      </c>
    </row>
    <row r="63" spans="1:15" x14ac:dyDescent="0.3">
      <c r="A63" s="2" t="s">
        <v>71</v>
      </c>
      <c r="B63" s="2" t="s">
        <v>161</v>
      </c>
      <c r="C63" s="2" t="s">
        <v>162</v>
      </c>
      <c r="D63" s="1" t="s">
        <v>103</v>
      </c>
      <c r="E63" s="1">
        <v>973</v>
      </c>
      <c r="F63" s="1">
        <v>973</v>
      </c>
      <c r="G63" s="26">
        <v>1313</v>
      </c>
      <c r="H63" s="28" t="s">
        <v>355</v>
      </c>
      <c r="I63" s="28" t="s">
        <v>355</v>
      </c>
      <c r="J63" s="28" t="s">
        <v>355</v>
      </c>
      <c r="K63" s="28" t="s">
        <v>355</v>
      </c>
      <c r="L63" s="27" t="s">
        <v>357</v>
      </c>
      <c r="M63" s="1" t="s">
        <v>357</v>
      </c>
      <c r="N63" s="1" t="s">
        <v>357</v>
      </c>
      <c r="O63" s="26" t="s">
        <v>357</v>
      </c>
    </row>
    <row r="64" spans="1:15" x14ac:dyDescent="0.3">
      <c r="A64" s="2" t="s">
        <v>71</v>
      </c>
      <c r="B64" s="2" t="s">
        <v>163</v>
      </c>
      <c r="C64" s="2" t="s">
        <v>164</v>
      </c>
      <c r="D64" s="1" t="s">
        <v>103</v>
      </c>
      <c r="E64" s="1">
        <v>956</v>
      </c>
      <c r="F64" s="1">
        <v>956</v>
      </c>
      <c r="G64" s="26">
        <v>3869</v>
      </c>
      <c r="H64" s="26">
        <v>3527</v>
      </c>
      <c r="I64" s="26">
        <v>3193</v>
      </c>
      <c r="J64" s="26">
        <v>3055</v>
      </c>
      <c r="K64" s="26">
        <v>2416</v>
      </c>
      <c r="L64" s="27">
        <v>8.7309382269345903</v>
      </c>
      <c r="M64" s="1">
        <v>0.95930000000000004</v>
      </c>
      <c r="N64" s="1">
        <v>337.80000000009898</v>
      </c>
      <c r="O64" s="26">
        <v>-680157.40000020002</v>
      </c>
    </row>
    <row r="65" spans="1:15" x14ac:dyDescent="0.3">
      <c r="A65" s="2" t="s">
        <v>71</v>
      </c>
      <c r="B65" s="2" t="s">
        <v>163</v>
      </c>
      <c r="C65" s="2" t="s">
        <v>165</v>
      </c>
      <c r="D65" s="1" t="s">
        <v>103</v>
      </c>
      <c r="E65" s="1">
        <v>958</v>
      </c>
      <c r="F65" s="1">
        <v>958</v>
      </c>
      <c r="G65" s="26">
        <v>2684</v>
      </c>
      <c r="H65" s="26">
        <v>2760</v>
      </c>
      <c r="I65" s="26">
        <v>2628</v>
      </c>
      <c r="J65" s="26">
        <v>3034</v>
      </c>
      <c r="K65" s="26">
        <v>2406</v>
      </c>
      <c r="L65" s="27">
        <v>1.05067064083515</v>
      </c>
      <c r="M65" s="1">
        <v>3.8399999999999997E-2</v>
      </c>
      <c r="N65" s="1">
        <v>28.2000000000154</v>
      </c>
      <c r="O65" s="26">
        <v>-54346.200000031196</v>
      </c>
    </row>
    <row r="66" spans="1:15" x14ac:dyDescent="0.3">
      <c r="A66" s="2" t="s">
        <v>71</v>
      </c>
      <c r="B66" s="2" t="s">
        <v>163</v>
      </c>
      <c r="C66" s="2" t="s">
        <v>166</v>
      </c>
      <c r="D66" s="1" t="s">
        <v>103</v>
      </c>
      <c r="E66" s="1">
        <v>960</v>
      </c>
      <c r="F66" s="1">
        <v>960</v>
      </c>
      <c r="G66" s="26">
        <v>2910</v>
      </c>
      <c r="H66" s="26">
        <v>2745</v>
      </c>
      <c r="I66" s="26">
        <v>2584</v>
      </c>
      <c r="J66" s="26">
        <v>2578</v>
      </c>
      <c r="K66" s="26">
        <v>2178</v>
      </c>
      <c r="L66" s="27">
        <v>5.60481099656523</v>
      </c>
      <c r="M66" s="1">
        <v>0.89890000000000003</v>
      </c>
      <c r="N66" s="1">
        <v>163.100000000048</v>
      </c>
      <c r="O66" s="26">
        <v>-327352.30000009702</v>
      </c>
    </row>
    <row r="67" spans="1:15" x14ac:dyDescent="0.3">
      <c r="A67" s="2" t="s">
        <v>71</v>
      </c>
      <c r="B67" s="2" t="s">
        <v>76</v>
      </c>
      <c r="C67" s="2" t="s">
        <v>78</v>
      </c>
      <c r="D67" s="1" t="s">
        <v>20</v>
      </c>
      <c r="E67" s="1">
        <v>7090</v>
      </c>
      <c r="F67" s="1" t="s">
        <v>309</v>
      </c>
      <c r="G67" s="26">
        <v>10392</v>
      </c>
      <c r="H67" s="26">
        <v>10149</v>
      </c>
      <c r="I67" s="26">
        <v>10605</v>
      </c>
      <c r="J67" s="26">
        <v>10193</v>
      </c>
      <c r="K67" s="26">
        <v>9828</v>
      </c>
      <c r="L67" s="27">
        <v>1.0431100846808701</v>
      </c>
      <c r="M67" s="1">
        <v>0.34939999999999999</v>
      </c>
      <c r="N67" s="1">
        <v>108.400000000036</v>
      </c>
      <c r="O67" s="26">
        <v>-209059.80000007301</v>
      </c>
    </row>
    <row r="68" spans="1:15" x14ac:dyDescent="0.3">
      <c r="A68" s="2" t="s">
        <v>71</v>
      </c>
      <c r="B68" s="2" t="s">
        <v>76</v>
      </c>
      <c r="C68" s="2" t="s">
        <v>77</v>
      </c>
      <c r="D68" s="1" t="s">
        <v>20</v>
      </c>
      <c r="E68" s="1">
        <v>930</v>
      </c>
      <c r="F68" s="1" t="s">
        <v>310</v>
      </c>
      <c r="G68" s="26">
        <v>5029</v>
      </c>
      <c r="H68" s="26">
        <v>5318</v>
      </c>
      <c r="I68" s="26">
        <v>5358</v>
      </c>
      <c r="J68" s="26">
        <v>5305</v>
      </c>
      <c r="K68" s="26">
        <v>5317</v>
      </c>
      <c r="L68" s="27">
        <v>-1.11950686021086</v>
      </c>
      <c r="M68" s="1">
        <v>0.44359999999999999</v>
      </c>
      <c r="N68" s="1">
        <v>-56.300000000004196</v>
      </c>
      <c r="O68" s="26">
        <v>119160.30000000801</v>
      </c>
    </row>
    <row r="69" spans="1:15" x14ac:dyDescent="0.3">
      <c r="A69" s="2" t="s">
        <v>71</v>
      </c>
      <c r="B69" s="2" t="s">
        <v>76</v>
      </c>
      <c r="C69" s="2" t="s">
        <v>167</v>
      </c>
      <c r="D69" s="1" t="s">
        <v>103</v>
      </c>
      <c r="E69" s="1">
        <v>568</v>
      </c>
      <c r="F69" s="1">
        <v>568</v>
      </c>
      <c r="G69" s="26">
        <v>6057</v>
      </c>
      <c r="H69" s="26">
        <v>6082</v>
      </c>
      <c r="I69" s="26">
        <v>5985</v>
      </c>
      <c r="J69" s="26">
        <v>6129</v>
      </c>
      <c r="K69" s="26">
        <v>5852</v>
      </c>
      <c r="L69" s="27">
        <v>0.59930658741974796</v>
      </c>
      <c r="M69" s="1">
        <v>0.28310000000000002</v>
      </c>
      <c r="N69" s="1">
        <v>36.300000000014101</v>
      </c>
      <c r="O69" s="26">
        <v>-67413.900000028603</v>
      </c>
    </row>
    <row r="70" spans="1:15" x14ac:dyDescent="0.3">
      <c r="A70" s="2" t="s">
        <v>71</v>
      </c>
      <c r="B70" s="2" t="s">
        <v>79</v>
      </c>
      <c r="C70" s="2" t="s">
        <v>81</v>
      </c>
      <c r="D70" s="1" t="s">
        <v>20</v>
      </c>
      <c r="E70" s="1">
        <v>12.1</v>
      </c>
      <c r="F70" s="1" t="s">
        <v>311</v>
      </c>
      <c r="G70" s="26">
        <v>12469</v>
      </c>
      <c r="H70" s="26">
        <v>11679</v>
      </c>
      <c r="I70" s="26">
        <v>11320</v>
      </c>
      <c r="J70" s="26">
        <v>8967</v>
      </c>
      <c r="K70" s="26">
        <v>9904</v>
      </c>
      <c r="L70" s="27">
        <v>6.2891972090803003</v>
      </c>
      <c r="M70" s="1">
        <v>0.77180000000000004</v>
      </c>
      <c r="N70" s="1">
        <v>784.20000000022299</v>
      </c>
      <c r="O70" s="26">
        <v>-1575568.8000004501</v>
      </c>
    </row>
    <row r="71" spans="1:15" x14ac:dyDescent="0.3">
      <c r="A71" s="2" t="s">
        <v>71</v>
      </c>
      <c r="B71" s="2" t="s">
        <v>79</v>
      </c>
      <c r="C71" s="2" t="s">
        <v>80</v>
      </c>
      <c r="D71" s="1" t="s">
        <v>20</v>
      </c>
      <c r="E71" s="1">
        <v>10.1</v>
      </c>
      <c r="F71" s="1" t="s">
        <v>312</v>
      </c>
      <c r="G71" s="26">
        <v>11819</v>
      </c>
      <c r="H71" s="26">
        <v>11327</v>
      </c>
      <c r="I71" s="26">
        <v>11768</v>
      </c>
      <c r="J71" s="26">
        <v>11887</v>
      </c>
      <c r="K71" s="26">
        <v>10354</v>
      </c>
      <c r="L71" s="27">
        <v>2.0052457906766801</v>
      </c>
      <c r="M71" s="1">
        <v>0.34189999999999998</v>
      </c>
      <c r="N71" s="1">
        <v>237.000000000076</v>
      </c>
      <c r="O71" s="26">
        <v>-468020.00000015501</v>
      </c>
    </row>
    <row r="72" spans="1:15" x14ac:dyDescent="0.3">
      <c r="A72" s="2" t="s">
        <v>71</v>
      </c>
      <c r="B72" s="2" t="s">
        <v>79</v>
      </c>
      <c r="C72" s="2" t="s">
        <v>168</v>
      </c>
      <c r="D72" s="1" t="s">
        <v>103</v>
      </c>
      <c r="E72" s="1">
        <v>12</v>
      </c>
      <c r="F72" s="1">
        <v>12</v>
      </c>
      <c r="G72" s="26">
        <v>5749</v>
      </c>
      <c r="H72" s="26">
        <v>5911</v>
      </c>
      <c r="I72" s="26">
        <v>5901</v>
      </c>
      <c r="J72" s="26">
        <v>5891</v>
      </c>
      <c r="K72" s="26">
        <v>6138</v>
      </c>
      <c r="L72" s="27">
        <v>-1.3184901722042099</v>
      </c>
      <c r="M72" s="1">
        <v>0.73640000000000005</v>
      </c>
      <c r="N72" s="1">
        <v>-75.800000000020006</v>
      </c>
      <c r="O72" s="26">
        <v>159261.40000004001</v>
      </c>
    </row>
    <row r="73" spans="1:15" x14ac:dyDescent="0.3">
      <c r="A73" s="2" t="s">
        <v>71</v>
      </c>
      <c r="B73" s="2" t="s">
        <v>79</v>
      </c>
      <c r="C73" s="2" t="s">
        <v>169</v>
      </c>
      <c r="D73" s="1" t="s">
        <v>103</v>
      </c>
      <c r="E73" s="1">
        <v>9.1</v>
      </c>
      <c r="F73" s="1">
        <v>9.1</v>
      </c>
      <c r="G73" s="26">
        <v>10679</v>
      </c>
      <c r="H73" s="26">
        <v>8920</v>
      </c>
      <c r="I73" s="26">
        <v>7866</v>
      </c>
      <c r="J73" s="26">
        <v>5803</v>
      </c>
      <c r="K73" s="26">
        <v>5205</v>
      </c>
      <c r="L73" s="27">
        <v>13.170708867875099</v>
      </c>
      <c r="M73" s="1">
        <v>0.97870000000000001</v>
      </c>
      <c r="N73" s="1">
        <v>1406.5000000003799</v>
      </c>
      <c r="O73" s="26">
        <v>-2837654.9000007799</v>
      </c>
    </row>
    <row r="74" spans="1:15" ht="15" customHeight="1" x14ac:dyDescent="0.3">
      <c r="A74" s="2" t="s">
        <v>71</v>
      </c>
      <c r="B74" s="2" t="s">
        <v>79</v>
      </c>
      <c r="C74" s="2" t="s">
        <v>117</v>
      </c>
      <c r="D74" s="1" t="s">
        <v>103</v>
      </c>
      <c r="E74" s="1">
        <v>9</v>
      </c>
      <c r="F74" s="1">
        <v>9</v>
      </c>
      <c r="G74" s="26">
        <v>7405</v>
      </c>
      <c r="H74" s="26">
        <v>7237</v>
      </c>
      <c r="I74" s="26">
        <v>6835</v>
      </c>
      <c r="J74" s="26">
        <v>6982</v>
      </c>
      <c r="K74" s="26">
        <v>6108</v>
      </c>
      <c r="L74" s="27">
        <v>3.8474004051328801</v>
      </c>
      <c r="M74" s="1">
        <v>0.80689999999999995</v>
      </c>
      <c r="N74" s="1">
        <v>284.90000000008899</v>
      </c>
      <c r="O74" s="26">
        <v>-569439.30000018096</v>
      </c>
    </row>
    <row r="75" spans="1:15" x14ac:dyDescent="0.3">
      <c r="A75" s="2" t="s">
        <v>71</v>
      </c>
      <c r="B75" s="2" t="s">
        <v>170</v>
      </c>
      <c r="C75" s="2" t="s">
        <v>172</v>
      </c>
      <c r="D75" s="1" t="s">
        <v>103</v>
      </c>
      <c r="E75" s="1">
        <v>10.1</v>
      </c>
      <c r="F75" s="1">
        <v>10.1</v>
      </c>
      <c r="G75" s="26">
        <v>7123</v>
      </c>
      <c r="H75" s="28" t="s">
        <v>355</v>
      </c>
      <c r="I75" s="28" t="s">
        <v>355</v>
      </c>
      <c r="J75" s="28" t="s">
        <v>355</v>
      </c>
      <c r="K75" s="28" t="s">
        <v>355</v>
      </c>
      <c r="L75" s="27" t="s">
        <v>357</v>
      </c>
      <c r="M75" s="1" t="s">
        <v>357</v>
      </c>
      <c r="N75" s="1" t="s">
        <v>357</v>
      </c>
      <c r="O75" s="26" t="s">
        <v>357</v>
      </c>
    </row>
    <row r="76" spans="1:15" x14ac:dyDescent="0.3">
      <c r="A76" s="2" t="s">
        <v>71</v>
      </c>
      <c r="B76" s="2" t="s">
        <v>170</v>
      </c>
      <c r="C76" s="2" t="s">
        <v>171</v>
      </c>
      <c r="D76" s="1" t="s">
        <v>103</v>
      </c>
      <c r="E76" s="1">
        <v>9002</v>
      </c>
      <c r="F76" s="1">
        <v>9002</v>
      </c>
      <c r="G76" s="26">
        <v>12779</v>
      </c>
      <c r="H76" s="28" t="s">
        <v>355</v>
      </c>
      <c r="I76" s="28" t="s">
        <v>355</v>
      </c>
      <c r="J76" s="28" t="s">
        <v>355</v>
      </c>
      <c r="K76" s="28" t="s">
        <v>355</v>
      </c>
      <c r="L76" s="27" t="s">
        <v>357</v>
      </c>
      <c r="M76" s="1" t="s">
        <v>357</v>
      </c>
      <c r="N76" s="1" t="s">
        <v>357</v>
      </c>
      <c r="O76" s="26" t="s">
        <v>357</v>
      </c>
    </row>
    <row r="77" spans="1:15" x14ac:dyDescent="0.3">
      <c r="A77" s="2" t="s">
        <v>71</v>
      </c>
      <c r="B77" s="2" t="s">
        <v>173</v>
      </c>
      <c r="C77" s="2" t="s">
        <v>174</v>
      </c>
      <c r="D77" s="1" t="s">
        <v>103</v>
      </c>
      <c r="E77" s="1">
        <v>585</v>
      </c>
      <c r="F77" s="1">
        <v>585</v>
      </c>
      <c r="G77" s="26">
        <v>1570</v>
      </c>
      <c r="H77" s="26">
        <v>1145</v>
      </c>
      <c r="I77" s="26">
        <v>1044</v>
      </c>
      <c r="J77" s="26">
        <v>1015</v>
      </c>
      <c r="K77" s="26">
        <v>674</v>
      </c>
      <c r="L77" s="27">
        <v>12.242038216563399</v>
      </c>
      <c r="M77" s="1">
        <v>0.89180000000000004</v>
      </c>
      <c r="N77" s="1">
        <v>192.200000000046</v>
      </c>
      <c r="O77" s="26">
        <v>-387731.00000009302</v>
      </c>
    </row>
    <row r="78" spans="1:15" x14ac:dyDescent="0.3">
      <c r="A78" s="2" t="s">
        <v>71</v>
      </c>
      <c r="B78" s="2" t="s">
        <v>175</v>
      </c>
      <c r="C78" s="2" t="s">
        <v>176</v>
      </c>
      <c r="D78" s="1" t="s">
        <v>103</v>
      </c>
      <c r="E78" s="1">
        <v>402</v>
      </c>
      <c r="F78" s="1">
        <v>402</v>
      </c>
      <c r="G78" s="26">
        <v>2252</v>
      </c>
      <c r="H78" s="26">
        <v>1968</v>
      </c>
      <c r="I78" s="26">
        <v>1946</v>
      </c>
      <c r="J78" s="26">
        <v>1440</v>
      </c>
      <c r="K78" s="26">
        <v>1752</v>
      </c>
      <c r="L78" s="27">
        <v>6.7850799289536798</v>
      </c>
      <c r="M78" s="1">
        <v>0.64829999999999999</v>
      </c>
      <c r="N78" s="1">
        <v>152.80000000003699</v>
      </c>
      <c r="O78" s="26">
        <v>-307242.80000007403</v>
      </c>
    </row>
    <row r="79" spans="1:15" x14ac:dyDescent="0.3">
      <c r="A79" s="2" t="s">
        <v>71</v>
      </c>
      <c r="B79" s="2" t="s">
        <v>175</v>
      </c>
      <c r="C79" s="2" t="s">
        <v>177</v>
      </c>
      <c r="D79" s="1" t="s">
        <v>103</v>
      </c>
      <c r="E79" s="1">
        <v>513</v>
      </c>
      <c r="F79" s="1">
        <v>513</v>
      </c>
      <c r="G79" s="26">
        <v>2185</v>
      </c>
      <c r="H79" s="26">
        <v>2117</v>
      </c>
      <c r="I79" s="26">
        <v>2122</v>
      </c>
      <c r="J79" s="26">
        <v>2103</v>
      </c>
      <c r="K79" s="26">
        <v>2035</v>
      </c>
      <c r="L79" s="27">
        <v>1.4370709382154701</v>
      </c>
      <c r="M79" s="1">
        <v>0.86009999999999998</v>
      </c>
      <c r="N79" s="1">
        <v>31.400000000007999</v>
      </c>
      <c r="O79" s="26">
        <v>-61409.800000016199</v>
      </c>
    </row>
    <row r="80" spans="1:15" x14ac:dyDescent="0.3">
      <c r="A80" s="2" t="s">
        <v>71</v>
      </c>
      <c r="B80" s="2" t="s">
        <v>175</v>
      </c>
      <c r="C80" s="2" t="s">
        <v>133</v>
      </c>
      <c r="D80" s="1" t="s">
        <v>103</v>
      </c>
      <c r="E80" s="1">
        <v>515</v>
      </c>
      <c r="F80" s="1">
        <v>515</v>
      </c>
      <c r="G80" s="26">
        <v>1137</v>
      </c>
      <c r="H80" s="26">
        <v>1200</v>
      </c>
      <c r="I80" s="26">
        <v>1217</v>
      </c>
      <c r="J80" s="26">
        <v>1338</v>
      </c>
      <c r="K80" s="26">
        <v>1268</v>
      </c>
      <c r="L80" s="27">
        <v>-3.5180299032550599</v>
      </c>
      <c r="M80" s="1">
        <v>0.7016</v>
      </c>
      <c r="N80" s="1">
        <v>-40.000000000009997</v>
      </c>
      <c r="O80" s="26">
        <v>82152.000000020198</v>
      </c>
    </row>
    <row r="81" spans="1:15" x14ac:dyDescent="0.3">
      <c r="A81" s="2" t="s">
        <v>71</v>
      </c>
      <c r="B81" s="2" t="s">
        <v>178</v>
      </c>
      <c r="C81" s="2" t="s">
        <v>179</v>
      </c>
      <c r="D81" s="1" t="s">
        <v>103</v>
      </c>
      <c r="E81" s="1">
        <v>811</v>
      </c>
      <c r="F81" s="1">
        <v>811</v>
      </c>
      <c r="G81" s="26">
        <v>692</v>
      </c>
      <c r="H81" s="26">
        <v>666</v>
      </c>
      <c r="I81" s="26">
        <v>697</v>
      </c>
      <c r="J81" s="26">
        <v>605</v>
      </c>
      <c r="K81" s="26">
        <v>735</v>
      </c>
      <c r="L81" s="27">
        <v>-0.36127167630092699</v>
      </c>
      <c r="M81" s="1">
        <v>6.7000000000000002E-3</v>
      </c>
      <c r="N81" s="1">
        <v>-2.5000000000024101</v>
      </c>
      <c r="O81" s="26">
        <v>5736.5000000048803</v>
      </c>
    </row>
    <row r="82" spans="1:15" x14ac:dyDescent="0.3">
      <c r="A82" s="2" t="s">
        <v>71</v>
      </c>
      <c r="B82" s="2" t="s">
        <v>180</v>
      </c>
      <c r="C82" s="2" t="s">
        <v>181</v>
      </c>
      <c r="D82" s="1" t="s">
        <v>103</v>
      </c>
      <c r="E82" s="1">
        <v>1015</v>
      </c>
      <c r="F82" s="1">
        <v>1015</v>
      </c>
      <c r="G82" s="26">
        <v>3559</v>
      </c>
      <c r="H82" s="26">
        <v>3551</v>
      </c>
      <c r="I82" s="26">
        <v>3591</v>
      </c>
      <c r="J82" s="26">
        <v>3552</v>
      </c>
      <c r="K82" s="26">
        <v>3638</v>
      </c>
      <c r="L82" s="27">
        <v>-0.44675470637835701</v>
      </c>
      <c r="M82" s="1">
        <v>0.45679999999999998</v>
      </c>
      <c r="N82" s="1">
        <v>-15.900000000005701</v>
      </c>
      <c r="O82" s="26">
        <v>35743.900000011599</v>
      </c>
    </row>
    <row r="83" spans="1:15" x14ac:dyDescent="0.3">
      <c r="A83" s="2" t="s">
        <v>71</v>
      </c>
      <c r="B83" s="2" t="s">
        <v>182</v>
      </c>
      <c r="C83" s="2" t="s">
        <v>183</v>
      </c>
      <c r="D83" s="1" t="s">
        <v>103</v>
      </c>
      <c r="E83" s="1">
        <v>504</v>
      </c>
      <c r="F83" s="1">
        <v>504</v>
      </c>
      <c r="G83" s="26">
        <v>3159</v>
      </c>
      <c r="H83" s="26">
        <v>3185</v>
      </c>
      <c r="I83" s="26">
        <v>3210</v>
      </c>
      <c r="J83" s="26">
        <v>3331</v>
      </c>
      <c r="K83" s="26">
        <v>3214</v>
      </c>
      <c r="L83" s="27">
        <v>-0.81038303260545497</v>
      </c>
      <c r="M83" s="1">
        <v>0.37659999999999999</v>
      </c>
      <c r="N83" s="1">
        <v>-25.6000000000063</v>
      </c>
      <c r="O83" s="26">
        <v>55008.600000012797</v>
      </c>
    </row>
    <row r="84" spans="1:15" x14ac:dyDescent="0.3">
      <c r="A84" s="2" t="s">
        <v>71</v>
      </c>
      <c r="B84" s="2" t="s">
        <v>182</v>
      </c>
      <c r="C84" s="2" t="s">
        <v>184</v>
      </c>
      <c r="D84" s="1" t="s">
        <v>103</v>
      </c>
      <c r="E84" s="1">
        <v>505</v>
      </c>
      <c r="F84" s="1">
        <v>505</v>
      </c>
      <c r="G84" s="26">
        <v>1173</v>
      </c>
      <c r="H84" s="26">
        <v>1156</v>
      </c>
      <c r="I84" s="26">
        <v>1164</v>
      </c>
      <c r="J84" s="26">
        <v>1173</v>
      </c>
      <c r="K84" s="26">
        <v>1141</v>
      </c>
      <c r="L84" s="27">
        <v>0.400682011935312</v>
      </c>
      <c r="M84" s="1">
        <v>0.30630000000000002</v>
      </c>
      <c r="N84" s="1">
        <v>4.7000000000012099</v>
      </c>
      <c r="O84" s="26">
        <v>-8346.7000000024509</v>
      </c>
    </row>
    <row r="85" spans="1:15" x14ac:dyDescent="0.3">
      <c r="A85" s="2" t="s">
        <v>71</v>
      </c>
      <c r="B85" s="2" t="s">
        <v>82</v>
      </c>
      <c r="C85" s="2" t="s">
        <v>84</v>
      </c>
      <c r="D85" s="1" t="s">
        <v>20</v>
      </c>
      <c r="E85" s="1">
        <v>67</v>
      </c>
      <c r="F85" s="1" t="s">
        <v>313</v>
      </c>
      <c r="G85" s="26">
        <v>5865</v>
      </c>
      <c r="H85" s="26">
        <v>5360</v>
      </c>
      <c r="I85" s="26">
        <v>5769</v>
      </c>
      <c r="J85" s="26">
        <v>5601</v>
      </c>
      <c r="K85" s="26">
        <v>5968</v>
      </c>
      <c r="L85" s="27">
        <v>-0.76214833759651701</v>
      </c>
      <c r="M85" s="1">
        <v>8.7499999999999994E-2</v>
      </c>
      <c r="N85" s="1">
        <v>-44.700000000035701</v>
      </c>
      <c r="O85" s="26">
        <v>96140.700000072204</v>
      </c>
    </row>
    <row r="86" spans="1:15" x14ac:dyDescent="0.3">
      <c r="A86" s="2" t="s">
        <v>36</v>
      </c>
      <c r="B86" s="2" t="s">
        <v>82</v>
      </c>
      <c r="C86" s="2" t="s">
        <v>185</v>
      </c>
      <c r="D86" s="1" t="s">
        <v>103</v>
      </c>
      <c r="E86" s="1">
        <v>657</v>
      </c>
      <c r="F86" s="1">
        <v>657</v>
      </c>
      <c r="G86" s="26">
        <v>3693</v>
      </c>
      <c r="H86" s="26">
        <v>4516</v>
      </c>
      <c r="I86" s="26">
        <v>5023</v>
      </c>
      <c r="J86" s="26">
        <v>6404</v>
      </c>
      <c r="K86" s="26">
        <v>6074</v>
      </c>
      <c r="L86" s="27">
        <v>-18.007040346606502</v>
      </c>
      <c r="M86" s="1">
        <v>0.89029999999999998</v>
      </c>
      <c r="N86" s="1">
        <v>-665.00000000018099</v>
      </c>
      <c r="O86" s="26">
        <v>1350437.00000036</v>
      </c>
    </row>
    <row r="87" spans="1:15" x14ac:dyDescent="0.3">
      <c r="A87" s="2" t="s">
        <v>71</v>
      </c>
      <c r="B87" s="2" t="s">
        <v>82</v>
      </c>
      <c r="C87" s="2" t="s">
        <v>83</v>
      </c>
      <c r="D87" s="1" t="s">
        <v>20</v>
      </c>
      <c r="E87" s="1">
        <v>30</v>
      </c>
      <c r="F87" s="1" t="s">
        <v>314</v>
      </c>
      <c r="G87" s="26">
        <v>6273</v>
      </c>
      <c r="H87" s="26">
        <v>4849</v>
      </c>
      <c r="I87" s="26">
        <v>4892</v>
      </c>
      <c r="J87" s="26">
        <v>4240</v>
      </c>
      <c r="K87" s="26">
        <v>5012</v>
      </c>
      <c r="L87" s="27">
        <v>4.9912322652643599</v>
      </c>
      <c r="M87" s="1">
        <v>0.44190000000000002</v>
      </c>
      <c r="N87" s="1">
        <v>313.10000000003299</v>
      </c>
      <c r="O87" s="26">
        <v>-628348.10000006598</v>
      </c>
    </row>
    <row r="88" spans="1:15" ht="15" customHeight="1" x14ac:dyDescent="0.3">
      <c r="A88" s="2" t="s">
        <v>71</v>
      </c>
      <c r="B88" s="2" t="s">
        <v>186</v>
      </c>
      <c r="C88" s="2" t="s">
        <v>187</v>
      </c>
      <c r="D88" s="1" t="s">
        <v>103</v>
      </c>
      <c r="E88" s="1">
        <v>801</v>
      </c>
      <c r="F88" s="1">
        <v>801</v>
      </c>
      <c r="G88" s="26">
        <v>5494</v>
      </c>
      <c r="H88" s="26">
        <v>5535</v>
      </c>
      <c r="I88" s="26">
        <v>5299</v>
      </c>
      <c r="J88" s="26">
        <v>5620</v>
      </c>
      <c r="K88" s="26">
        <v>4965</v>
      </c>
      <c r="L88" s="27">
        <v>1.7710229341105901</v>
      </c>
      <c r="M88" s="1">
        <v>0.3463</v>
      </c>
      <c r="N88" s="1">
        <v>97.300000000036107</v>
      </c>
      <c r="O88" s="26">
        <v>-191455.30000007301</v>
      </c>
    </row>
    <row r="89" spans="1:15" x14ac:dyDescent="0.3">
      <c r="A89" s="2" t="s">
        <v>71</v>
      </c>
      <c r="B89" s="2" t="s">
        <v>186</v>
      </c>
      <c r="C89" s="2" t="s">
        <v>188</v>
      </c>
      <c r="D89" s="1" t="s">
        <v>103</v>
      </c>
      <c r="E89" s="1">
        <v>506</v>
      </c>
      <c r="F89" s="1">
        <v>506</v>
      </c>
      <c r="G89" s="26">
        <v>6465</v>
      </c>
      <c r="H89" s="26">
        <v>6662</v>
      </c>
      <c r="I89" s="26">
        <v>6573</v>
      </c>
      <c r="J89" s="26">
        <v>6830</v>
      </c>
      <c r="K89" s="26">
        <v>6651</v>
      </c>
      <c r="L89" s="27">
        <v>-0.83526682134585295</v>
      </c>
      <c r="M89" s="1">
        <v>0.40639999999999998</v>
      </c>
      <c r="N89" s="1">
        <v>-54.0000000000094</v>
      </c>
      <c r="O89" s="26">
        <v>115878.200000019</v>
      </c>
    </row>
    <row r="90" spans="1:15" x14ac:dyDescent="0.3">
      <c r="A90" s="2" t="s">
        <v>71</v>
      </c>
      <c r="B90" s="2" t="s">
        <v>186</v>
      </c>
      <c r="C90" s="2" t="s">
        <v>189</v>
      </c>
      <c r="D90" s="1" t="s">
        <v>103</v>
      </c>
      <c r="E90" s="1">
        <v>583</v>
      </c>
      <c r="F90" s="1">
        <v>583</v>
      </c>
      <c r="G90" s="26">
        <v>5964</v>
      </c>
      <c r="H90" s="26">
        <v>6006</v>
      </c>
      <c r="I90" s="26">
        <v>5942</v>
      </c>
      <c r="J90" s="26">
        <v>6075</v>
      </c>
      <c r="K90" s="26">
        <v>5875</v>
      </c>
      <c r="L90" s="27">
        <v>0.18276324614362399</v>
      </c>
      <c r="M90" s="1">
        <v>5.3699999999999998E-2</v>
      </c>
      <c r="N90" s="1">
        <v>10.900000000005701</v>
      </c>
      <c r="O90" s="26">
        <v>-16078.300000011601</v>
      </c>
    </row>
    <row r="91" spans="1:15" x14ac:dyDescent="0.3">
      <c r="A91" s="2" t="s">
        <v>71</v>
      </c>
      <c r="B91" s="2" t="s">
        <v>190</v>
      </c>
      <c r="C91" s="2" t="s">
        <v>191</v>
      </c>
      <c r="D91" s="1" t="s">
        <v>103</v>
      </c>
      <c r="E91" s="1">
        <v>526</v>
      </c>
      <c r="F91" s="1">
        <v>526</v>
      </c>
      <c r="G91" s="26">
        <v>1666</v>
      </c>
      <c r="H91" s="26">
        <v>905</v>
      </c>
      <c r="I91" s="26">
        <v>838</v>
      </c>
      <c r="J91" s="26">
        <v>721</v>
      </c>
      <c r="K91" s="26">
        <v>361</v>
      </c>
      <c r="L91" s="27">
        <v>16.7707082833169</v>
      </c>
      <c r="M91" s="1">
        <v>0.85489999999999999</v>
      </c>
      <c r="N91" s="1">
        <v>279.40000000006</v>
      </c>
      <c r="O91" s="26">
        <v>-564328.000000122</v>
      </c>
    </row>
    <row r="92" spans="1:15" x14ac:dyDescent="0.3">
      <c r="A92" s="2" t="s">
        <v>71</v>
      </c>
      <c r="B92" s="2" t="s">
        <v>192</v>
      </c>
      <c r="C92" s="2" t="s">
        <v>193</v>
      </c>
      <c r="D92" s="1" t="s">
        <v>103</v>
      </c>
      <c r="E92" s="1">
        <v>413</v>
      </c>
      <c r="F92" s="1">
        <v>413</v>
      </c>
      <c r="G92" s="26">
        <v>939</v>
      </c>
      <c r="H92" s="28" t="s">
        <v>355</v>
      </c>
      <c r="I92" s="28" t="s">
        <v>355</v>
      </c>
      <c r="J92" s="28" t="s">
        <v>355</v>
      </c>
      <c r="K92" s="28" t="s">
        <v>355</v>
      </c>
      <c r="L92" s="27" t="s">
        <v>357</v>
      </c>
      <c r="M92" s="1" t="s">
        <v>357</v>
      </c>
      <c r="N92" s="1" t="s">
        <v>357</v>
      </c>
      <c r="O92" s="26" t="s">
        <v>357</v>
      </c>
    </row>
    <row r="93" spans="1:15" x14ac:dyDescent="0.3">
      <c r="A93" s="2" t="s">
        <v>71</v>
      </c>
      <c r="B93" s="2" t="s">
        <v>192</v>
      </c>
      <c r="C93" s="2" t="s">
        <v>115</v>
      </c>
      <c r="D93" s="1" t="s">
        <v>103</v>
      </c>
      <c r="E93" s="1">
        <v>412</v>
      </c>
      <c r="F93" s="1">
        <v>412</v>
      </c>
      <c r="G93" s="26">
        <v>1864</v>
      </c>
      <c r="H93" s="28" t="s">
        <v>355</v>
      </c>
      <c r="I93" s="28" t="s">
        <v>355</v>
      </c>
      <c r="J93" s="28" t="s">
        <v>355</v>
      </c>
      <c r="K93" s="28" t="s">
        <v>355</v>
      </c>
      <c r="L93" s="27" t="s">
        <v>357</v>
      </c>
      <c r="M93" s="1" t="s">
        <v>357</v>
      </c>
      <c r="N93" s="1" t="s">
        <v>357</v>
      </c>
      <c r="O93" s="26" t="s">
        <v>357</v>
      </c>
    </row>
    <row r="94" spans="1:15" x14ac:dyDescent="0.3">
      <c r="A94" s="2" t="s">
        <v>71</v>
      </c>
      <c r="B94" s="2" t="s">
        <v>194</v>
      </c>
      <c r="C94" s="2" t="s">
        <v>196</v>
      </c>
      <c r="D94" s="1" t="s">
        <v>103</v>
      </c>
      <c r="E94" s="1">
        <v>569</v>
      </c>
      <c r="F94" s="1">
        <v>569</v>
      </c>
      <c r="G94" s="26">
        <v>2371</v>
      </c>
      <c r="H94" s="26">
        <v>2337</v>
      </c>
      <c r="I94" s="26">
        <v>2845</v>
      </c>
      <c r="J94" s="26">
        <v>2087</v>
      </c>
      <c r="K94" s="26">
        <v>3680</v>
      </c>
      <c r="L94" s="27">
        <v>-9.9873471109272707</v>
      </c>
      <c r="M94" s="1">
        <v>0.35249999999999998</v>
      </c>
      <c r="N94" s="1">
        <v>-236.80000000008499</v>
      </c>
      <c r="O94" s="26">
        <v>481710.40000017203</v>
      </c>
    </row>
    <row r="95" spans="1:15" x14ac:dyDescent="0.3">
      <c r="A95" s="2" t="s">
        <v>71</v>
      </c>
      <c r="B95" s="2" t="s">
        <v>194</v>
      </c>
      <c r="C95" s="2" t="s">
        <v>195</v>
      </c>
      <c r="D95" s="1" t="s">
        <v>103</v>
      </c>
      <c r="E95" s="1">
        <v>560</v>
      </c>
      <c r="F95" s="1">
        <v>560</v>
      </c>
      <c r="G95" s="26">
        <v>6969</v>
      </c>
      <c r="H95" s="26">
        <v>5885</v>
      </c>
      <c r="I95" s="26">
        <v>5576</v>
      </c>
      <c r="J95" s="26">
        <v>3184</v>
      </c>
      <c r="K95" s="26">
        <v>4838</v>
      </c>
      <c r="L95" s="27">
        <v>9.9913904433946605</v>
      </c>
      <c r="M95" s="1">
        <v>0.61409999999999998</v>
      </c>
      <c r="N95" s="1">
        <v>696.30000000017401</v>
      </c>
      <c r="O95" s="26">
        <v>-1403324.5000003499</v>
      </c>
    </row>
    <row r="96" spans="1:15" x14ac:dyDescent="0.3">
      <c r="A96" s="2" t="s">
        <v>71</v>
      </c>
      <c r="B96" s="2" t="s">
        <v>194</v>
      </c>
      <c r="C96" s="2" t="s">
        <v>197</v>
      </c>
      <c r="D96" s="1" t="s">
        <v>103</v>
      </c>
      <c r="E96" s="1">
        <v>555</v>
      </c>
      <c r="F96" s="1">
        <v>555</v>
      </c>
      <c r="G96" s="26">
        <v>5936</v>
      </c>
      <c r="H96" s="26">
        <v>5982</v>
      </c>
      <c r="I96" s="26">
        <v>5808</v>
      </c>
      <c r="J96" s="26">
        <v>5362</v>
      </c>
      <c r="K96" s="26">
        <v>5927</v>
      </c>
      <c r="L96" s="27">
        <v>1.0747978436660599</v>
      </c>
      <c r="M96" s="1">
        <v>0.15679999999999999</v>
      </c>
      <c r="N96" s="1">
        <v>63.800000000017803</v>
      </c>
      <c r="O96" s="26">
        <v>-123264.400000036</v>
      </c>
    </row>
    <row r="97" spans="1:15" x14ac:dyDescent="0.3">
      <c r="A97" s="2" t="s">
        <v>71</v>
      </c>
      <c r="B97" s="2" t="s">
        <v>198</v>
      </c>
      <c r="C97" s="2" t="s">
        <v>199</v>
      </c>
      <c r="D97" s="1" t="s">
        <v>103</v>
      </c>
      <c r="E97" s="1">
        <v>584</v>
      </c>
      <c r="F97" s="1">
        <v>584</v>
      </c>
      <c r="G97" s="26">
        <v>1187</v>
      </c>
      <c r="H97" s="26">
        <v>985</v>
      </c>
      <c r="I97" s="26">
        <v>825</v>
      </c>
      <c r="J97" s="26">
        <v>568</v>
      </c>
      <c r="K97" s="26">
        <v>492</v>
      </c>
      <c r="L97" s="27">
        <v>15.2232518955392</v>
      </c>
      <c r="M97" s="1">
        <v>0.98160000000000003</v>
      </c>
      <c r="N97" s="1">
        <v>180.70000000005001</v>
      </c>
      <c r="O97" s="26">
        <v>-364744.70000010199</v>
      </c>
    </row>
    <row r="98" spans="1:15" x14ac:dyDescent="0.3">
      <c r="A98" s="2" t="s">
        <v>71</v>
      </c>
      <c r="B98" s="2" t="s">
        <v>200</v>
      </c>
      <c r="C98" s="2" t="s">
        <v>202</v>
      </c>
      <c r="D98" s="1" t="s">
        <v>103</v>
      </c>
      <c r="E98" s="1">
        <v>519</v>
      </c>
      <c r="F98" s="1">
        <v>519</v>
      </c>
      <c r="G98" s="26">
        <v>3019</v>
      </c>
      <c r="H98" s="26">
        <v>3094</v>
      </c>
      <c r="I98" s="26">
        <v>3121</v>
      </c>
      <c r="J98" s="26">
        <v>3465</v>
      </c>
      <c r="K98" s="26">
        <v>3089</v>
      </c>
      <c r="L98" s="27">
        <v>-1.6926134481620101</v>
      </c>
      <c r="M98" s="1">
        <v>0.2109</v>
      </c>
      <c r="N98" s="1">
        <v>-51.1000000000112</v>
      </c>
      <c r="O98" s="26">
        <v>106532.900000022</v>
      </c>
    </row>
    <row r="99" spans="1:15" x14ac:dyDescent="0.3">
      <c r="A99" s="2" t="s">
        <v>71</v>
      </c>
      <c r="B99" s="2" t="s">
        <v>200</v>
      </c>
      <c r="C99" s="2" t="s">
        <v>201</v>
      </c>
      <c r="D99" s="1" t="s">
        <v>103</v>
      </c>
      <c r="E99" s="1">
        <v>830</v>
      </c>
      <c r="F99" s="1">
        <v>830</v>
      </c>
      <c r="G99" s="26">
        <v>4337</v>
      </c>
      <c r="H99" s="26">
        <v>4901</v>
      </c>
      <c r="I99" s="26">
        <v>4825</v>
      </c>
      <c r="J99" s="26">
        <v>5961</v>
      </c>
      <c r="K99" s="26">
        <v>5026</v>
      </c>
      <c r="L99" s="27">
        <v>-5.6213972792264899</v>
      </c>
      <c r="M99" s="1">
        <v>0.4234</v>
      </c>
      <c r="N99" s="1">
        <v>-243.80000000005199</v>
      </c>
      <c r="O99" s="26">
        <v>498217.40000010602</v>
      </c>
    </row>
    <row r="100" spans="1:15" x14ac:dyDescent="0.3">
      <c r="A100" s="2" t="s">
        <v>71</v>
      </c>
      <c r="B100" s="2" t="s">
        <v>203</v>
      </c>
      <c r="C100" s="2" t="s">
        <v>160</v>
      </c>
      <c r="D100" s="1" t="s">
        <v>103</v>
      </c>
      <c r="E100" s="1">
        <v>407</v>
      </c>
      <c r="F100" s="1">
        <v>407</v>
      </c>
      <c r="G100" s="26">
        <v>1322</v>
      </c>
      <c r="H100" s="26">
        <v>3643</v>
      </c>
      <c r="I100" s="26">
        <v>3539</v>
      </c>
      <c r="J100" s="26">
        <v>8044</v>
      </c>
      <c r="K100" s="26">
        <v>4663</v>
      </c>
      <c r="L100" s="27">
        <v>-83.835098335873795</v>
      </c>
      <c r="M100" s="1">
        <v>0.51160000000000005</v>
      </c>
      <c r="N100" s="1">
        <v>-1108.3000000002501</v>
      </c>
      <c r="O100" s="26">
        <v>2246333.1000005002</v>
      </c>
    </row>
    <row r="101" spans="1:15" x14ac:dyDescent="0.3">
      <c r="A101" s="2" t="s">
        <v>71</v>
      </c>
      <c r="B101" s="2" t="s">
        <v>204</v>
      </c>
      <c r="C101" s="2" t="s">
        <v>110</v>
      </c>
      <c r="D101" s="1" t="s">
        <v>103</v>
      </c>
      <c r="E101" s="1">
        <v>603</v>
      </c>
      <c r="F101" s="1">
        <v>603</v>
      </c>
      <c r="G101" s="26">
        <v>3230</v>
      </c>
      <c r="H101" s="26">
        <v>2821</v>
      </c>
      <c r="I101" s="26">
        <v>3051</v>
      </c>
      <c r="J101" s="26">
        <v>2300</v>
      </c>
      <c r="K101" s="26">
        <v>3043</v>
      </c>
      <c r="L101" s="27">
        <v>2.7708978328176501</v>
      </c>
      <c r="M101" s="1">
        <v>0.1547</v>
      </c>
      <c r="N101" s="1">
        <v>89.500000000010303</v>
      </c>
      <c r="O101" s="26">
        <v>-178169.50000001999</v>
      </c>
    </row>
    <row r="102" spans="1:15" x14ac:dyDescent="0.3">
      <c r="A102" s="2" t="s">
        <v>71</v>
      </c>
      <c r="B102" s="2" t="s">
        <v>204</v>
      </c>
      <c r="C102" s="2" t="s">
        <v>205</v>
      </c>
      <c r="D102" s="1" t="s">
        <v>103</v>
      </c>
      <c r="E102" s="1">
        <v>604</v>
      </c>
      <c r="F102" s="1">
        <v>604</v>
      </c>
      <c r="G102" s="26">
        <v>4325</v>
      </c>
      <c r="H102" s="26">
        <v>4002</v>
      </c>
      <c r="I102" s="26">
        <v>4141</v>
      </c>
      <c r="J102" s="26">
        <v>3582</v>
      </c>
      <c r="K102" s="26">
        <v>4076</v>
      </c>
      <c r="L102" s="27">
        <v>2.1225433526015101</v>
      </c>
      <c r="M102" s="1">
        <v>0.27829999999999999</v>
      </c>
      <c r="N102" s="1">
        <v>91.800000000015302</v>
      </c>
      <c r="O102" s="26">
        <v>-181686.20000002999</v>
      </c>
    </row>
    <row r="103" spans="1:15" x14ac:dyDescent="0.3">
      <c r="A103" s="2" t="s">
        <v>71</v>
      </c>
      <c r="B103" s="2" t="s">
        <v>85</v>
      </c>
      <c r="C103" s="2" t="s">
        <v>86</v>
      </c>
      <c r="D103" s="1" t="s">
        <v>20</v>
      </c>
      <c r="E103" s="1">
        <v>17</v>
      </c>
      <c r="F103" s="1" t="s">
        <v>315</v>
      </c>
      <c r="G103" s="26">
        <v>8014</v>
      </c>
      <c r="H103" s="26">
        <v>7899</v>
      </c>
      <c r="I103" s="26">
        <v>7180</v>
      </c>
      <c r="J103" s="26">
        <v>7402</v>
      </c>
      <c r="K103" s="26">
        <v>7308</v>
      </c>
      <c r="L103" s="27">
        <v>2.3820813576247599</v>
      </c>
      <c r="M103" s="1">
        <v>0.65790000000000004</v>
      </c>
      <c r="N103" s="1">
        <v>190.90000000004801</v>
      </c>
      <c r="O103" s="26">
        <v>-378630.100000098</v>
      </c>
    </row>
    <row r="104" spans="1:15" x14ac:dyDescent="0.3">
      <c r="A104" s="2" t="s">
        <v>71</v>
      </c>
      <c r="B104" s="2" t="s">
        <v>85</v>
      </c>
      <c r="C104" s="2" t="s">
        <v>206</v>
      </c>
      <c r="D104" s="1" t="s">
        <v>103</v>
      </c>
      <c r="E104" s="1">
        <v>17.100000000000001</v>
      </c>
      <c r="F104" s="1">
        <v>17.100000000000001</v>
      </c>
      <c r="G104" s="26">
        <v>6388</v>
      </c>
      <c r="H104" s="26">
        <v>6065</v>
      </c>
      <c r="I104" s="26">
        <v>5912</v>
      </c>
      <c r="J104" s="26">
        <v>5406</v>
      </c>
      <c r="K104" s="26">
        <v>5529</v>
      </c>
      <c r="L104" s="27">
        <v>3.7210394489678</v>
      </c>
      <c r="M104" s="1">
        <v>0.88400000000000001</v>
      </c>
      <c r="N104" s="1">
        <v>237.700000000063</v>
      </c>
      <c r="O104" s="26">
        <v>-475007.10000012798</v>
      </c>
    </row>
    <row r="105" spans="1:15" x14ac:dyDescent="0.3">
      <c r="A105" s="2" t="s">
        <v>71</v>
      </c>
      <c r="B105" s="2" t="s">
        <v>207</v>
      </c>
      <c r="C105" s="2" t="s">
        <v>208</v>
      </c>
      <c r="D105" s="1" t="s">
        <v>103</v>
      </c>
      <c r="E105" s="1">
        <v>512</v>
      </c>
      <c r="F105" s="1">
        <v>512</v>
      </c>
      <c r="G105" s="26">
        <v>5335</v>
      </c>
      <c r="H105" s="26">
        <v>4781</v>
      </c>
      <c r="I105" s="26">
        <v>4752</v>
      </c>
      <c r="J105" s="26">
        <v>3961</v>
      </c>
      <c r="K105" s="26">
        <v>4288</v>
      </c>
      <c r="L105" s="27">
        <v>5.46204311152899</v>
      </c>
      <c r="M105" s="1">
        <v>0.77259999999999995</v>
      </c>
      <c r="N105" s="1">
        <v>291.400000000072</v>
      </c>
      <c r="O105" s="26">
        <v>-584878.80000014498</v>
      </c>
    </row>
    <row r="106" spans="1:15" x14ac:dyDescent="0.3">
      <c r="A106" s="2" t="s">
        <v>71</v>
      </c>
      <c r="B106" s="2" t="s">
        <v>209</v>
      </c>
      <c r="C106" s="2" t="s">
        <v>210</v>
      </c>
      <c r="D106" s="1" t="s">
        <v>103</v>
      </c>
      <c r="E106" s="1">
        <v>674</v>
      </c>
      <c r="F106" s="1">
        <v>674</v>
      </c>
      <c r="G106" s="26">
        <v>9644</v>
      </c>
      <c r="H106" s="26">
        <v>7682</v>
      </c>
      <c r="I106" s="26">
        <v>8335</v>
      </c>
      <c r="J106" s="26">
        <v>4155</v>
      </c>
      <c r="K106" s="26">
        <v>8135</v>
      </c>
      <c r="L106" s="27">
        <v>6.7866030692670796</v>
      </c>
      <c r="M106" s="1">
        <v>0.25380000000000003</v>
      </c>
      <c r="N106" s="1">
        <v>654.50000000011801</v>
      </c>
      <c r="O106" s="26">
        <v>-1316463.3000002301</v>
      </c>
    </row>
    <row r="107" spans="1:15" x14ac:dyDescent="0.3">
      <c r="A107" s="2" t="s">
        <v>71</v>
      </c>
      <c r="B107" s="2" t="s">
        <v>209</v>
      </c>
      <c r="C107" s="2" t="s">
        <v>28</v>
      </c>
      <c r="D107" s="1" t="s">
        <v>103</v>
      </c>
      <c r="E107" s="1">
        <v>510</v>
      </c>
      <c r="F107" s="1">
        <v>510</v>
      </c>
      <c r="G107" s="26">
        <v>5020</v>
      </c>
      <c r="H107" s="26">
        <v>3407</v>
      </c>
      <c r="I107" s="26">
        <v>3391</v>
      </c>
      <c r="J107" s="26">
        <v>480</v>
      </c>
      <c r="K107" s="26">
        <v>2410</v>
      </c>
      <c r="L107" s="27">
        <v>16.229083665342401</v>
      </c>
      <c r="M107" s="1">
        <v>0.59899999999999998</v>
      </c>
      <c r="N107" s="1">
        <v>814.70000000019195</v>
      </c>
      <c r="O107" s="26">
        <v>-1645196.50000038</v>
      </c>
    </row>
    <row r="108" spans="1:15" x14ac:dyDescent="0.3">
      <c r="A108" s="2" t="s">
        <v>71</v>
      </c>
      <c r="B108" s="2" t="s">
        <v>209</v>
      </c>
      <c r="C108" s="2" t="s">
        <v>183</v>
      </c>
      <c r="D108" s="1" t="s">
        <v>103</v>
      </c>
      <c r="E108" s="1">
        <v>511</v>
      </c>
      <c r="F108" s="1">
        <v>511</v>
      </c>
      <c r="G108" s="26">
        <v>7681</v>
      </c>
      <c r="H108" s="26">
        <v>6121</v>
      </c>
      <c r="I108" s="26">
        <v>6150</v>
      </c>
      <c r="J108" s="26">
        <v>3324</v>
      </c>
      <c r="K108" s="26">
        <v>5251</v>
      </c>
      <c r="L108" s="27">
        <v>9.9687540684829994</v>
      </c>
      <c r="M108" s="1">
        <v>0.5776</v>
      </c>
      <c r="N108" s="1">
        <v>765.70000000017899</v>
      </c>
      <c r="O108" s="26">
        <v>-1543305.7000003599</v>
      </c>
    </row>
    <row r="109" spans="1:15" x14ac:dyDescent="0.3">
      <c r="A109" s="2" t="s">
        <v>71</v>
      </c>
      <c r="B109" s="2" t="s">
        <v>209</v>
      </c>
      <c r="C109" s="2" t="s">
        <v>211</v>
      </c>
      <c r="D109" s="1" t="s">
        <v>103</v>
      </c>
      <c r="E109" s="1">
        <v>514</v>
      </c>
      <c r="F109" s="1">
        <v>514</v>
      </c>
      <c r="G109" s="26">
        <v>3304</v>
      </c>
      <c r="H109" s="26">
        <v>3949</v>
      </c>
      <c r="I109" s="26">
        <v>4014</v>
      </c>
      <c r="J109" s="26">
        <v>4999</v>
      </c>
      <c r="K109" s="26">
        <v>4554</v>
      </c>
      <c r="L109" s="27">
        <v>-10.744552058113999</v>
      </c>
      <c r="M109" s="1">
        <v>0.76029999999999998</v>
      </c>
      <c r="N109" s="1">
        <v>-355.00000000008799</v>
      </c>
      <c r="O109" s="26">
        <v>722329.00000017695</v>
      </c>
    </row>
    <row r="110" spans="1:15" x14ac:dyDescent="0.3">
      <c r="A110" s="2" t="s">
        <v>71</v>
      </c>
      <c r="B110" s="2" t="s">
        <v>209</v>
      </c>
      <c r="C110" s="2" t="s">
        <v>212</v>
      </c>
      <c r="D110" s="1" t="s">
        <v>103</v>
      </c>
      <c r="E110" s="1">
        <v>518</v>
      </c>
      <c r="F110" s="1">
        <v>518</v>
      </c>
      <c r="G110" s="26">
        <v>5162</v>
      </c>
      <c r="H110" s="26">
        <v>4078</v>
      </c>
      <c r="I110" s="26">
        <v>4063</v>
      </c>
      <c r="J110" s="26">
        <v>2440</v>
      </c>
      <c r="K110" s="26">
        <v>3233</v>
      </c>
      <c r="L110" s="27">
        <v>10.647036032548099</v>
      </c>
      <c r="M110" s="1">
        <v>0.72389999999999999</v>
      </c>
      <c r="N110" s="1">
        <v>549.60000000013304</v>
      </c>
      <c r="O110" s="26">
        <v>-1108045.6000002599</v>
      </c>
    </row>
    <row r="111" spans="1:15" x14ac:dyDescent="0.3">
      <c r="A111" s="2" t="s">
        <v>71</v>
      </c>
      <c r="B111" s="2" t="s">
        <v>209</v>
      </c>
      <c r="C111" s="2" t="s">
        <v>213</v>
      </c>
      <c r="D111" s="1" t="s">
        <v>103</v>
      </c>
      <c r="E111" s="1">
        <v>582</v>
      </c>
      <c r="F111" s="1">
        <v>582</v>
      </c>
      <c r="G111" s="26">
        <v>2583</v>
      </c>
      <c r="H111" s="26">
        <v>2524</v>
      </c>
      <c r="I111" s="26">
        <v>2506</v>
      </c>
      <c r="J111" s="26">
        <v>2463</v>
      </c>
      <c r="K111" s="26">
        <v>2420</v>
      </c>
      <c r="L111" s="27">
        <v>1.4982578397216599</v>
      </c>
      <c r="M111" s="1">
        <v>0.98099999999999998</v>
      </c>
      <c r="N111" s="1">
        <v>38.700000000010597</v>
      </c>
      <c r="O111" s="26">
        <v>-75790.900000021502</v>
      </c>
    </row>
    <row r="112" spans="1:15" x14ac:dyDescent="0.3">
      <c r="A112" s="2" t="s">
        <v>71</v>
      </c>
      <c r="B112" s="2" t="s">
        <v>214</v>
      </c>
      <c r="C112" s="2" t="s">
        <v>215</v>
      </c>
      <c r="D112" s="1" t="s">
        <v>103</v>
      </c>
      <c r="E112" s="1">
        <v>817</v>
      </c>
      <c r="F112" s="1">
        <v>817</v>
      </c>
      <c r="G112" s="26">
        <v>833</v>
      </c>
      <c r="H112" s="28" t="s">
        <v>355</v>
      </c>
      <c r="I112" s="28" t="s">
        <v>355</v>
      </c>
      <c r="J112" s="28" t="s">
        <v>355</v>
      </c>
      <c r="K112" s="28" t="s">
        <v>355</v>
      </c>
      <c r="L112" s="27" t="s">
        <v>357</v>
      </c>
      <c r="M112" s="1" t="s">
        <v>357</v>
      </c>
      <c r="N112" s="1" t="s">
        <v>357</v>
      </c>
      <c r="O112" s="26" t="s">
        <v>357</v>
      </c>
    </row>
    <row r="113" spans="1:15" x14ac:dyDescent="0.3">
      <c r="A113" s="2" t="s">
        <v>71</v>
      </c>
      <c r="B113" s="2" t="s">
        <v>214</v>
      </c>
      <c r="C113" s="2" t="s">
        <v>216</v>
      </c>
      <c r="D113" s="1" t="s">
        <v>103</v>
      </c>
      <c r="E113" s="1">
        <v>901</v>
      </c>
      <c r="F113" s="1">
        <v>901</v>
      </c>
      <c r="G113" s="26">
        <v>1040</v>
      </c>
      <c r="H113" s="26">
        <v>4041</v>
      </c>
      <c r="I113" s="26">
        <v>3774</v>
      </c>
      <c r="J113" s="26">
        <v>9650</v>
      </c>
      <c r="K113" s="26">
        <v>5070</v>
      </c>
      <c r="L113" s="27">
        <v>-131.432692307721</v>
      </c>
      <c r="M113" s="1">
        <v>0.47510000000000002</v>
      </c>
      <c r="N113" s="1">
        <v>-1366.9000000003</v>
      </c>
      <c r="O113" s="26">
        <v>2769953.7000006102</v>
      </c>
    </row>
    <row r="114" spans="1:15" x14ac:dyDescent="0.3">
      <c r="A114" s="2" t="s">
        <v>71</v>
      </c>
      <c r="B114" s="2" t="s">
        <v>217</v>
      </c>
      <c r="C114" s="2" t="s">
        <v>218</v>
      </c>
      <c r="D114" s="1" t="s">
        <v>103</v>
      </c>
      <c r="E114" s="1">
        <v>672</v>
      </c>
      <c r="F114" s="1">
        <v>672</v>
      </c>
      <c r="G114" s="26">
        <v>5780</v>
      </c>
      <c r="H114" s="26">
        <v>3907</v>
      </c>
      <c r="I114" s="26">
        <v>4074</v>
      </c>
      <c r="J114" s="26">
        <v>505</v>
      </c>
      <c r="K114" s="26">
        <v>3216</v>
      </c>
      <c r="L114" s="27">
        <v>14.757785467131299</v>
      </c>
      <c r="M114" s="1">
        <v>0.49349999999999999</v>
      </c>
      <c r="N114" s="1">
        <v>853.00000000019099</v>
      </c>
      <c r="O114" s="26">
        <v>-1722122.6000003801</v>
      </c>
    </row>
    <row r="115" spans="1:15" x14ac:dyDescent="0.3">
      <c r="A115" s="2" t="s">
        <v>71</v>
      </c>
      <c r="B115" s="2" t="s">
        <v>219</v>
      </c>
      <c r="C115" s="2" t="s">
        <v>220</v>
      </c>
      <c r="D115" s="1" t="s">
        <v>103</v>
      </c>
      <c r="E115" s="1">
        <v>586</v>
      </c>
      <c r="F115" s="1">
        <v>586</v>
      </c>
      <c r="G115" s="26">
        <v>1482</v>
      </c>
      <c r="H115" s="26">
        <v>2481</v>
      </c>
      <c r="I115" s="26">
        <v>2386</v>
      </c>
      <c r="J115" s="26">
        <v>4843</v>
      </c>
      <c r="K115" s="26">
        <v>2561</v>
      </c>
      <c r="L115" s="27">
        <v>-30.499325236173799</v>
      </c>
      <c r="M115" s="1">
        <v>0.32800000000000001</v>
      </c>
      <c r="N115" s="1">
        <v>-452.00000000009499</v>
      </c>
      <c r="O115" s="26">
        <v>917146.60000019299</v>
      </c>
    </row>
    <row r="116" spans="1:15" x14ac:dyDescent="0.3">
      <c r="A116" s="2" t="s">
        <v>36</v>
      </c>
      <c r="B116" s="2" t="s">
        <v>52</v>
      </c>
      <c r="C116" s="2" t="s">
        <v>54</v>
      </c>
      <c r="D116" s="1" t="s">
        <v>20</v>
      </c>
      <c r="E116" s="1">
        <v>11</v>
      </c>
      <c r="F116" s="1" t="s">
        <v>316</v>
      </c>
      <c r="G116" s="26">
        <v>8494</v>
      </c>
      <c r="H116" s="26">
        <v>7765</v>
      </c>
      <c r="I116" s="26">
        <v>6965</v>
      </c>
      <c r="J116" s="26">
        <v>7156</v>
      </c>
      <c r="K116" s="26">
        <v>6845</v>
      </c>
      <c r="L116" s="27">
        <v>4.5997174476111002</v>
      </c>
      <c r="M116" s="1">
        <v>0.81340000000000001</v>
      </c>
      <c r="N116" s="1">
        <v>390.70000000008702</v>
      </c>
      <c r="O116" s="26">
        <v>-782941.10000017495</v>
      </c>
    </row>
    <row r="117" spans="1:15" x14ac:dyDescent="0.3">
      <c r="A117" s="2" t="s">
        <v>36</v>
      </c>
      <c r="B117" s="2" t="s">
        <v>52</v>
      </c>
      <c r="C117" s="2" t="s">
        <v>53</v>
      </c>
      <c r="D117" s="1" t="s">
        <v>20</v>
      </c>
      <c r="E117" s="1">
        <v>14</v>
      </c>
      <c r="F117" s="1" t="s">
        <v>318</v>
      </c>
      <c r="G117" s="26">
        <v>11147</v>
      </c>
      <c r="H117" s="26">
        <v>9375</v>
      </c>
      <c r="I117" s="26">
        <v>8795</v>
      </c>
      <c r="J117" s="26">
        <v>9067</v>
      </c>
      <c r="K117" s="26">
        <v>8950</v>
      </c>
      <c r="L117" s="27">
        <v>4.2181752938016102</v>
      </c>
      <c r="M117" s="1">
        <v>0.59599999999999997</v>
      </c>
      <c r="N117" s="1">
        <v>470.20000000006502</v>
      </c>
      <c r="O117" s="26">
        <v>-941747.80000013195</v>
      </c>
    </row>
    <row r="118" spans="1:15" x14ac:dyDescent="0.3">
      <c r="A118" s="2" t="s">
        <v>36</v>
      </c>
      <c r="B118" s="2" t="s">
        <v>52</v>
      </c>
      <c r="C118" s="2" t="s">
        <v>221</v>
      </c>
      <c r="D118" s="1" t="s">
        <v>103</v>
      </c>
      <c r="E118" s="1">
        <v>542</v>
      </c>
      <c r="F118" s="1">
        <v>542</v>
      </c>
      <c r="G118" s="26">
        <v>11192</v>
      </c>
      <c r="H118" s="26">
        <v>10793</v>
      </c>
      <c r="I118" s="26">
        <v>10499</v>
      </c>
      <c r="J118" s="26">
        <v>10221</v>
      </c>
      <c r="K118" s="26">
        <v>9745</v>
      </c>
      <c r="L118" s="27">
        <v>3.0968548963554201</v>
      </c>
      <c r="M118" s="1">
        <v>0.99109999999999998</v>
      </c>
      <c r="N118" s="1">
        <v>346.60000000009802</v>
      </c>
      <c r="O118" s="26">
        <v>-690681.800000199</v>
      </c>
    </row>
    <row r="119" spans="1:15" x14ac:dyDescent="0.3">
      <c r="A119" s="2" t="s">
        <v>36</v>
      </c>
      <c r="B119" s="2" t="s">
        <v>52</v>
      </c>
      <c r="C119" s="2" t="s">
        <v>222</v>
      </c>
      <c r="D119" s="1" t="s">
        <v>103</v>
      </c>
      <c r="E119" s="1">
        <v>543</v>
      </c>
      <c r="F119" s="1">
        <v>543</v>
      </c>
      <c r="G119" s="26">
        <v>8554</v>
      </c>
      <c r="H119" s="26">
        <v>8112</v>
      </c>
      <c r="I119" s="26">
        <v>7808</v>
      </c>
      <c r="J119" s="26">
        <v>7312</v>
      </c>
      <c r="K119" s="26">
        <v>7089</v>
      </c>
      <c r="L119" s="27">
        <v>4.3605330839385497</v>
      </c>
      <c r="M119" s="1">
        <v>0.98919999999999997</v>
      </c>
      <c r="N119" s="1">
        <v>373.00000000010402</v>
      </c>
      <c r="O119" s="26">
        <v>-746804.00000021094</v>
      </c>
    </row>
    <row r="120" spans="1:15" x14ac:dyDescent="0.3">
      <c r="A120" s="2" t="s">
        <v>36</v>
      </c>
      <c r="B120" s="2" t="s">
        <v>52</v>
      </c>
      <c r="C120" s="2" t="s">
        <v>223</v>
      </c>
      <c r="D120" s="1" t="s">
        <v>103</v>
      </c>
      <c r="E120" s="1">
        <v>544</v>
      </c>
      <c r="F120" s="1">
        <v>544</v>
      </c>
      <c r="G120" s="26">
        <v>7570</v>
      </c>
      <c r="H120" s="26">
        <v>7104</v>
      </c>
      <c r="I120" s="26">
        <v>6926</v>
      </c>
      <c r="J120" s="26">
        <v>6244</v>
      </c>
      <c r="K120" s="26">
        <v>6389</v>
      </c>
      <c r="L120" s="27">
        <v>4.2562747688254303</v>
      </c>
      <c r="M120" s="1">
        <v>0.88849999999999996</v>
      </c>
      <c r="N120" s="1">
        <v>322.20000000008503</v>
      </c>
      <c r="O120" s="26">
        <v>-644964.00000017195</v>
      </c>
    </row>
    <row r="121" spans="1:15" x14ac:dyDescent="0.3">
      <c r="A121" s="2" t="s">
        <v>36</v>
      </c>
      <c r="B121" s="2" t="s">
        <v>52</v>
      </c>
      <c r="C121" s="2" t="s">
        <v>55</v>
      </c>
      <c r="D121" s="1" t="s">
        <v>20</v>
      </c>
      <c r="E121" s="1">
        <v>10</v>
      </c>
      <c r="F121" s="1" t="s">
        <v>319</v>
      </c>
      <c r="G121" s="26">
        <v>11360</v>
      </c>
      <c r="H121" s="26">
        <v>9794</v>
      </c>
      <c r="I121" s="26">
        <v>9550</v>
      </c>
      <c r="J121" s="26">
        <v>9272</v>
      </c>
      <c r="K121" s="26">
        <v>7967</v>
      </c>
      <c r="L121" s="27">
        <v>6.4330985915508903</v>
      </c>
      <c r="M121" s="1">
        <v>0.90349999999999997</v>
      </c>
      <c r="N121" s="1">
        <v>730.80000000018197</v>
      </c>
      <c r="O121" s="26">
        <v>-1468819.80000036</v>
      </c>
    </row>
    <row r="122" spans="1:15" ht="15" customHeight="1" x14ac:dyDescent="0.3">
      <c r="A122" s="2" t="s">
        <v>71</v>
      </c>
      <c r="B122" s="2" t="s">
        <v>87</v>
      </c>
      <c r="C122" s="2" t="s">
        <v>89</v>
      </c>
      <c r="D122" s="1" t="s">
        <v>20</v>
      </c>
      <c r="E122" s="1">
        <v>8115</v>
      </c>
      <c r="F122" s="1" t="s">
        <v>317</v>
      </c>
      <c r="G122" s="26">
        <v>5264</v>
      </c>
      <c r="H122" s="26">
        <v>5215.5</v>
      </c>
      <c r="I122" s="26">
        <v>4881</v>
      </c>
      <c r="J122" s="26">
        <v>4410</v>
      </c>
      <c r="K122" s="26">
        <v>4423</v>
      </c>
      <c r="L122" s="27">
        <v>4.7254939209741398</v>
      </c>
      <c r="M122" s="1">
        <v>0.9083</v>
      </c>
      <c r="N122" s="1">
        <v>248.75000000007799</v>
      </c>
      <c r="O122" s="26">
        <v>-498382.55000015901</v>
      </c>
    </row>
    <row r="123" spans="1:15" x14ac:dyDescent="0.3">
      <c r="A123" s="2" t="s">
        <v>71</v>
      </c>
      <c r="B123" s="2" t="s">
        <v>87</v>
      </c>
      <c r="C123" s="2" t="s">
        <v>88</v>
      </c>
      <c r="D123" s="1" t="s">
        <v>20</v>
      </c>
      <c r="E123" s="1">
        <v>13</v>
      </c>
      <c r="F123" s="1" t="s">
        <v>320</v>
      </c>
      <c r="G123" s="26">
        <v>5412</v>
      </c>
      <c r="H123" s="26">
        <v>5274</v>
      </c>
      <c r="I123" s="26">
        <v>4198</v>
      </c>
      <c r="J123" s="26">
        <v>4240</v>
      </c>
      <c r="K123" s="26">
        <v>4208</v>
      </c>
      <c r="L123" s="27">
        <v>6.35994087213773</v>
      </c>
      <c r="M123" s="1">
        <v>0.77110000000000001</v>
      </c>
      <c r="N123" s="1">
        <v>344.20000000009401</v>
      </c>
      <c r="O123" s="26">
        <v>-691650.20000018901</v>
      </c>
    </row>
    <row r="124" spans="1:15" x14ac:dyDescent="0.3">
      <c r="A124" s="2" t="s">
        <v>71</v>
      </c>
      <c r="B124" s="2" t="s">
        <v>87</v>
      </c>
      <c r="C124" s="2" t="s">
        <v>68</v>
      </c>
      <c r="D124" s="1" t="s">
        <v>20</v>
      </c>
      <c r="E124" s="1">
        <v>326</v>
      </c>
      <c r="F124" s="1" t="s">
        <v>321</v>
      </c>
      <c r="G124" s="26">
        <v>5495</v>
      </c>
      <c r="H124" s="26">
        <v>5468</v>
      </c>
      <c r="I124" s="26">
        <v>5396</v>
      </c>
      <c r="J124" s="26">
        <v>5451</v>
      </c>
      <c r="K124" s="26">
        <v>5192</v>
      </c>
      <c r="L124" s="27">
        <v>1.13375796178382</v>
      </c>
      <c r="M124" s="1">
        <v>0.65200000000000002</v>
      </c>
      <c r="N124" s="1">
        <v>62.300000000020901</v>
      </c>
      <c r="O124" s="26">
        <v>-120632.500000042</v>
      </c>
    </row>
    <row r="125" spans="1:15" x14ac:dyDescent="0.3">
      <c r="A125" s="2" t="s">
        <v>71</v>
      </c>
      <c r="B125" s="2" t="s">
        <v>224</v>
      </c>
      <c r="C125" s="2" t="s">
        <v>225</v>
      </c>
      <c r="D125" s="1" t="s">
        <v>103</v>
      </c>
      <c r="E125" s="1">
        <v>540</v>
      </c>
      <c r="F125" s="1">
        <v>540</v>
      </c>
      <c r="G125" s="26">
        <v>3811</v>
      </c>
      <c r="H125" s="26">
        <v>2736</v>
      </c>
      <c r="I125" s="26">
        <v>2951</v>
      </c>
      <c r="J125" s="26">
        <v>668</v>
      </c>
      <c r="K125" s="26">
        <v>2696</v>
      </c>
      <c r="L125" s="27">
        <v>11.2778798215714</v>
      </c>
      <c r="M125" s="1">
        <v>0.34549999999999997</v>
      </c>
      <c r="N125" s="1">
        <v>429.800000000088</v>
      </c>
      <c r="O125" s="26">
        <v>-866913.00000017695</v>
      </c>
    </row>
    <row r="126" spans="1:15" x14ac:dyDescent="0.3">
      <c r="A126" s="2" t="s">
        <v>71</v>
      </c>
      <c r="B126" s="2" t="s">
        <v>226</v>
      </c>
      <c r="C126" s="2" t="s">
        <v>227</v>
      </c>
      <c r="D126" s="1" t="s">
        <v>103</v>
      </c>
      <c r="E126" s="1">
        <v>613</v>
      </c>
      <c r="F126" s="1">
        <v>613</v>
      </c>
      <c r="G126" s="26">
        <v>3142</v>
      </c>
      <c r="H126" s="26">
        <v>3619</v>
      </c>
      <c r="I126" s="26">
        <v>3549</v>
      </c>
      <c r="J126" s="26">
        <v>4608</v>
      </c>
      <c r="K126" s="26">
        <v>3666</v>
      </c>
      <c r="L126" s="27">
        <v>-6.48313176320951</v>
      </c>
      <c r="M126" s="1">
        <v>0.35620000000000002</v>
      </c>
      <c r="N126" s="1">
        <v>-203.700000000042</v>
      </c>
      <c r="O126" s="26">
        <v>415801.900000086</v>
      </c>
    </row>
    <row r="127" spans="1:15" x14ac:dyDescent="0.3">
      <c r="A127" s="2" t="s">
        <v>71</v>
      </c>
      <c r="B127" s="2" t="s">
        <v>228</v>
      </c>
      <c r="C127" s="2" t="s">
        <v>229</v>
      </c>
      <c r="D127" s="1" t="s">
        <v>103</v>
      </c>
      <c r="E127" s="1">
        <v>976</v>
      </c>
      <c r="F127" s="1">
        <v>976</v>
      </c>
      <c r="G127" s="26">
        <v>1979</v>
      </c>
      <c r="H127" s="26">
        <v>2128</v>
      </c>
      <c r="I127" s="26">
        <v>1921</v>
      </c>
      <c r="J127" s="26">
        <v>2103</v>
      </c>
      <c r="K127" s="26">
        <v>1847</v>
      </c>
      <c r="L127" s="27">
        <v>1.46033350176935</v>
      </c>
      <c r="M127" s="1">
        <v>0.14660000000000001</v>
      </c>
      <c r="N127" s="1">
        <v>28.9000000000154</v>
      </c>
      <c r="O127" s="26">
        <v>-56469.1000000313</v>
      </c>
    </row>
    <row r="128" spans="1:15" x14ac:dyDescent="0.3">
      <c r="A128" s="2" t="s">
        <v>71</v>
      </c>
      <c r="B128" s="2" t="s">
        <v>90</v>
      </c>
      <c r="C128" s="2" t="s">
        <v>92</v>
      </c>
      <c r="D128" s="1" t="s">
        <v>20</v>
      </c>
      <c r="E128" s="1">
        <v>8</v>
      </c>
      <c r="F128" s="1" t="s">
        <v>322</v>
      </c>
      <c r="G128" s="26">
        <v>6993</v>
      </c>
      <c r="H128" s="26">
        <v>6177</v>
      </c>
      <c r="I128" s="26">
        <v>5496</v>
      </c>
      <c r="J128" s="26">
        <v>5552</v>
      </c>
      <c r="K128" s="26">
        <v>5217</v>
      </c>
      <c r="L128" s="27">
        <v>5.9731159731173298</v>
      </c>
      <c r="M128" s="1">
        <v>0.86319999999999997</v>
      </c>
      <c r="N128" s="1">
        <v>417.70000000009401</v>
      </c>
      <c r="O128" s="26">
        <v>-839120.10000019101</v>
      </c>
    </row>
    <row r="129" spans="1:15" x14ac:dyDescent="0.3">
      <c r="A129" s="2" t="s">
        <v>71</v>
      </c>
      <c r="B129" s="2" t="s">
        <v>90</v>
      </c>
      <c r="C129" s="2" t="s">
        <v>91</v>
      </c>
      <c r="D129" s="1" t="s">
        <v>20</v>
      </c>
      <c r="E129" s="1">
        <v>8067</v>
      </c>
      <c r="F129" s="1" t="s">
        <v>323</v>
      </c>
      <c r="G129" s="26">
        <v>4890.5</v>
      </c>
      <c r="H129" s="26">
        <v>4309.5</v>
      </c>
      <c r="I129" s="26">
        <v>3860</v>
      </c>
      <c r="J129" s="26">
        <v>2246</v>
      </c>
      <c r="K129" s="26">
        <v>2258</v>
      </c>
      <c r="L129" s="27">
        <v>14.985175339949301</v>
      </c>
      <c r="M129" s="1">
        <v>0.92079999999999995</v>
      </c>
      <c r="N129" s="1">
        <v>732.85000000022001</v>
      </c>
      <c r="O129" s="26">
        <v>-1479042.75000044</v>
      </c>
    </row>
    <row r="130" spans="1:15" x14ac:dyDescent="0.3">
      <c r="A130" s="2" t="s">
        <v>71</v>
      </c>
      <c r="B130" s="2" t="s">
        <v>90</v>
      </c>
      <c r="C130" s="2" t="s">
        <v>94</v>
      </c>
      <c r="D130" s="1" t="s">
        <v>20</v>
      </c>
      <c r="E130" s="1">
        <v>8178</v>
      </c>
      <c r="F130" s="1" t="s">
        <v>324</v>
      </c>
      <c r="G130" s="26">
        <v>4020</v>
      </c>
      <c r="H130" s="26">
        <v>4209</v>
      </c>
      <c r="I130" s="26">
        <v>4085</v>
      </c>
      <c r="J130" s="26">
        <v>3807</v>
      </c>
      <c r="K130" s="26">
        <v>3714</v>
      </c>
      <c r="L130" s="27">
        <v>2.5223880597025699</v>
      </c>
      <c r="M130" s="1">
        <v>0.62350000000000005</v>
      </c>
      <c r="N130" s="1">
        <v>101.40000000004299</v>
      </c>
      <c r="O130" s="26">
        <v>-201165.20000008799</v>
      </c>
    </row>
    <row r="131" spans="1:15" x14ac:dyDescent="0.3">
      <c r="A131" s="2" t="s">
        <v>71</v>
      </c>
      <c r="B131" s="2" t="s">
        <v>90</v>
      </c>
      <c r="C131" s="2" t="s">
        <v>93</v>
      </c>
      <c r="D131" s="1" t="s">
        <v>20</v>
      </c>
      <c r="E131" s="1">
        <v>6</v>
      </c>
      <c r="F131" s="1" t="s">
        <v>324</v>
      </c>
      <c r="G131" s="26">
        <v>4020</v>
      </c>
      <c r="H131" s="26">
        <v>4209</v>
      </c>
      <c r="I131" s="26">
        <v>4085</v>
      </c>
      <c r="J131" s="26">
        <v>4126</v>
      </c>
      <c r="K131" s="26">
        <v>4390</v>
      </c>
      <c r="L131" s="27">
        <v>-1.6343283582093799</v>
      </c>
      <c r="M131" s="1">
        <v>0.52959999999999996</v>
      </c>
      <c r="N131" s="1">
        <v>-65.700000000017297</v>
      </c>
      <c r="O131" s="26">
        <v>137077.10000003499</v>
      </c>
    </row>
    <row r="132" spans="1:15" x14ac:dyDescent="0.3">
      <c r="A132" s="2" t="s">
        <v>71</v>
      </c>
      <c r="B132" s="2" t="s">
        <v>238</v>
      </c>
      <c r="C132" s="2" t="s">
        <v>239</v>
      </c>
      <c r="D132" s="1" t="s">
        <v>103</v>
      </c>
      <c r="E132" s="1">
        <v>980</v>
      </c>
      <c r="F132" s="1">
        <v>980</v>
      </c>
      <c r="G132" s="26">
        <v>18213</v>
      </c>
      <c r="H132" s="26">
        <v>17809</v>
      </c>
      <c r="I132" s="26">
        <v>17397</v>
      </c>
      <c r="J132" s="26">
        <v>17005</v>
      </c>
      <c r="K132" s="26">
        <v>16575</v>
      </c>
      <c r="L132" s="27">
        <v>2.2401581288097501</v>
      </c>
      <c r="M132" s="1">
        <v>0.99980000000000002</v>
      </c>
      <c r="N132" s="1">
        <v>408.00000000011897</v>
      </c>
      <c r="O132" s="26">
        <v>-807984.20000024198</v>
      </c>
    </row>
    <row r="133" spans="1:15" x14ac:dyDescent="0.3">
      <c r="A133" s="2" t="s">
        <v>71</v>
      </c>
      <c r="B133" s="2" t="s">
        <v>240</v>
      </c>
      <c r="C133" s="2" t="s">
        <v>241</v>
      </c>
      <c r="D133" s="1" t="s">
        <v>103</v>
      </c>
      <c r="E133" s="1">
        <v>3</v>
      </c>
      <c r="F133" s="1">
        <v>3</v>
      </c>
      <c r="G133" s="26">
        <v>19094</v>
      </c>
      <c r="H133" s="28" t="s">
        <v>355</v>
      </c>
      <c r="I133" s="28" t="s">
        <v>355</v>
      </c>
      <c r="J133" s="28" t="s">
        <v>355</v>
      </c>
      <c r="K133" s="28" t="s">
        <v>355</v>
      </c>
      <c r="L133" s="27" t="s">
        <v>357</v>
      </c>
      <c r="M133" s="1" t="s">
        <v>357</v>
      </c>
      <c r="N133" s="1" t="s">
        <v>357</v>
      </c>
      <c r="O133" s="26" t="s">
        <v>357</v>
      </c>
    </row>
    <row r="134" spans="1:15" x14ac:dyDescent="0.3">
      <c r="A134" s="2" t="s">
        <v>12</v>
      </c>
      <c r="B134" s="2" t="s">
        <v>13</v>
      </c>
      <c r="C134" s="2" t="s">
        <v>242</v>
      </c>
      <c r="D134" s="1" t="s">
        <v>103</v>
      </c>
      <c r="E134" s="1">
        <v>608</v>
      </c>
      <c r="F134" s="1">
        <v>608</v>
      </c>
      <c r="G134" s="26">
        <v>41214</v>
      </c>
      <c r="H134" s="26">
        <v>42124</v>
      </c>
      <c r="I134" s="26">
        <v>42950</v>
      </c>
      <c r="J134" s="26">
        <v>43352</v>
      </c>
      <c r="K134" s="26">
        <v>44940</v>
      </c>
      <c r="L134" s="27">
        <v>-2.1060804580973702</v>
      </c>
      <c r="M134" s="1">
        <v>0.96450000000000002</v>
      </c>
      <c r="N134" s="1">
        <v>-868.00000000025295</v>
      </c>
      <c r="O134" s="26">
        <v>1798880.0000005099</v>
      </c>
    </row>
    <row r="135" spans="1:15" x14ac:dyDescent="0.3">
      <c r="A135" s="2" t="s">
        <v>12</v>
      </c>
      <c r="B135" s="2" t="s">
        <v>13</v>
      </c>
      <c r="C135" s="2" t="s">
        <v>14</v>
      </c>
      <c r="D135" s="1" t="s">
        <v>15</v>
      </c>
      <c r="E135" s="1">
        <v>607</v>
      </c>
      <c r="F135" s="1">
        <v>295</v>
      </c>
      <c r="G135" s="26">
        <v>44429</v>
      </c>
      <c r="H135" s="26">
        <v>43766</v>
      </c>
      <c r="I135" s="26">
        <v>44685</v>
      </c>
      <c r="J135" s="26">
        <v>43454</v>
      </c>
      <c r="K135" s="26">
        <v>22500</v>
      </c>
      <c r="L135" s="27">
        <v>9.9417047424017504</v>
      </c>
      <c r="M135" s="1">
        <v>0.52210000000000001</v>
      </c>
      <c r="N135" s="1">
        <v>4417.0000000016698</v>
      </c>
      <c r="O135" s="26">
        <v>-8895824.20000338</v>
      </c>
    </row>
    <row r="136" spans="1:15" x14ac:dyDescent="0.3">
      <c r="A136" s="2" t="s">
        <v>12</v>
      </c>
      <c r="B136" s="2" t="s">
        <v>13</v>
      </c>
      <c r="C136" s="2" t="s">
        <v>18</v>
      </c>
      <c r="D136" s="1" t="s">
        <v>15</v>
      </c>
      <c r="E136" s="1">
        <v>620</v>
      </c>
      <c r="F136" s="1">
        <v>295</v>
      </c>
      <c r="G136" s="26">
        <v>44429</v>
      </c>
      <c r="H136" s="26">
        <v>43766</v>
      </c>
      <c r="I136" s="26">
        <v>44685</v>
      </c>
      <c r="J136" s="26">
        <v>43454</v>
      </c>
      <c r="K136" s="26">
        <v>31500</v>
      </c>
      <c r="L136" s="27">
        <v>5.8902968781673604</v>
      </c>
      <c r="M136" s="1">
        <v>0.53649999999999998</v>
      </c>
      <c r="N136" s="1">
        <v>2617.00000000098</v>
      </c>
      <c r="O136" s="26">
        <v>-5252624.2000019802</v>
      </c>
    </row>
    <row r="137" spans="1:15" x14ac:dyDescent="0.3">
      <c r="A137" s="2" t="s">
        <v>12</v>
      </c>
      <c r="B137" s="2" t="s">
        <v>13</v>
      </c>
      <c r="C137" s="2" t="s">
        <v>19</v>
      </c>
      <c r="D137" s="1" t="s">
        <v>20</v>
      </c>
      <c r="E137" s="1">
        <v>621</v>
      </c>
      <c r="F137" s="1" t="s">
        <v>325</v>
      </c>
      <c r="G137" s="26">
        <v>44429</v>
      </c>
      <c r="H137" s="26">
        <v>43766</v>
      </c>
      <c r="I137" s="26">
        <v>44685</v>
      </c>
      <c r="J137" s="26">
        <v>45136</v>
      </c>
      <c r="K137" s="26">
        <v>42023</v>
      </c>
      <c r="L137" s="27">
        <v>0.77471921492747897</v>
      </c>
      <c r="M137" s="1">
        <v>0.2006</v>
      </c>
      <c r="N137" s="1">
        <v>344.20000000012902</v>
      </c>
      <c r="O137" s="26">
        <v>-652308.80000026105</v>
      </c>
    </row>
    <row r="138" spans="1:15" x14ac:dyDescent="0.3">
      <c r="A138" s="2" t="s">
        <v>12</v>
      </c>
      <c r="B138" s="2" t="s">
        <v>13</v>
      </c>
      <c r="C138" s="2" t="s">
        <v>21</v>
      </c>
      <c r="D138" s="1" t="s">
        <v>20</v>
      </c>
      <c r="E138" s="1">
        <v>622</v>
      </c>
      <c r="F138" s="1" t="s">
        <v>326</v>
      </c>
      <c r="G138" s="26">
        <v>56304</v>
      </c>
      <c r="H138" s="26">
        <v>56057</v>
      </c>
      <c r="I138" s="26">
        <v>59612</v>
      </c>
      <c r="J138" s="26">
        <v>57876</v>
      </c>
      <c r="K138" s="26">
        <v>56419</v>
      </c>
      <c r="L138" s="27">
        <v>-0.36391730605286698</v>
      </c>
      <c r="M138" s="1">
        <v>4.6800000000000001E-2</v>
      </c>
      <c r="N138" s="1">
        <v>-204.900000000006</v>
      </c>
      <c r="O138" s="26">
        <v>471766.30000001303</v>
      </c>
    </row>
    <row r="139" spans="1:15" x14ac:dyDescent="0.3">
      <c r="A139" s="2" t="s">
        <v>71</v>
      </c>
      <c r="B139" s="2" t="s">
        <v>230</v>
      </c>
      <c r="C139" s="2" t="s">
        <v>232</v>
      </c>
      <c r="D139" s="1" t="s">
        <v>103</v>
      </c>
      <c r="E139" s="1">
        <v>601</v>
      </c>
      <c r="F139" s="1">
        <v>601</v>
      </c>
      <c r="G139" s="26">
        <v>5175</v>
      </c>
      <c r="H139" s="26">
        <v>5075</v>
      </c>
      <c r="I139" s="26">
        <v>5278</v>
      </c>
      <c r="J139" s="26">
        <v>4860</v>
      </c>
      <c r="K139" s="26">
        <v>5540</v>
      </c>
      <c r="L139" s="27">
        <v>-0.99516908212606103</v>
      </c>
      <c r="M139" s="1">
        <v>0.105</v>
      </c>
      <c r="N139" s="1">
        <v>-51.500000000023597</v>
      </c>
      <c r="O139" s="26">
        <v>109370.10000004699</v>
      </c>
    </row>
    <row r="140" spans="1:15" x14ac:dyDescent="0.3">
      <c r="A140" s="2" t="s">
        <v>71</v>
      </c>
      <c r="B140" s="2" t="s">
        <v>230</v>
      </c>
      <c r="C140" s="2" t="s">
        <v>231</v>
      </c>
      <c r="D140" s="1" t="s">
        <v>103</v>
      </c>
      <c r="E140" s="1">
        <v>600</v>
      </c>
      <c r="F140" s="1">
        <v>600</v>
      </c>
      <c r="G140" s="26">
        <v>4129</v>
      </c>
      <c r="H140" s="26">
        <v>4027</v>
      </c>
      <c r="I140" s="26">
        <v>4199</v>
      </c>
      <c r="J140" s="26">
        <v>3863</v>
      </c>
      <c r="K140" s="26">
        <v>4386</v>
      </c>
      <c r="L140" s="27">
        <v>-0.84766287236661397</v>
      </c>
      <c r="M140" s="1">
        <v>8.0699999999999994E-2</v>
      </c>
      <c r="N140" s="1">
        <v>-35.000000000017501</v>
      </c>
      <c r="O140" s="26">
        <v>74925.800000035306</v>
      </c>
    </row>
    <row r="141" spans="1:15" x14ac:dyDescent="0.3">
      <c r="A141" s="2" t="s">
        <v>71</v>
      </c>
      <c r="B141" s="2" t="s">
        <v>233</v>
      </c>
      <c r="C141" s="2" t="s">
        <v>234</v>
      </c>
      <c r="D141" s="1" t="s">
        <v>103</v>
      </c>
      <c r="E141" s="1">
        <v>507</v>
      </c>
      <c r="F141" s="1">
        <v>507</v>
      </c>
      <c r="G141" s="26">
        <v>3864</v>
      </c>
      <c r="H141" s="26">
        <v>3736</v>
      </c>
      <c r="I141" s="26">
        <v>3598</v>
      </c>
      <c r="J141" s="26">
        <v>3543</v>
      </c>
      <c r="K141" s="26">
        <v>3296</v>
      </c>
      <c r="L141" s="27">
        <v>3.4394409937898298</v>
      </c>
      <c r="M141" s="1">
        <v>0.96209999999999996</v>
      </c>
      <c r="N141" s="1">
        <v>132.900000000039</v>
      </c>
      <c r="O141" s="26">
        <v>-265249.30000007799</v>
      </c>
    </row>
    <row r="142" spans="1:15" x14ac:dyDescent="0.3">
      <c r="A142" s="2" t="s">
        <v>71</v>
      </c>
      <c r="B142" s="2" t="s">
        <v>235</v>
      </c>
      <c r="C142" s="2" t="s">
        <v>236</v>
      </c>
      <c r="D142" s="1" t="s">
        <v>103</v>
      </c>
      <c r="E142" s="1">
        <v>701</v>
      </c>
      <c r="F142" s="1">
        <v>701</v>
      </c>
      <c r="G142" s="26">
        <v>2015</v>
      </c>
      <c r="H142" s="26">
        <v>1990</v>
      </c>
      <c r="I142" s="26">
        <v>1992</v>
      </c>
      <c r="J142" s="26">
        <v>1963</v>
      </c>
      <c r="K142" s="26">
        <v>1970</v>
      </c>
      <c r="L142" s="27">
        <v>0.58064516129046295</v>
      </c>
      <c r="M142" s="1">
        <v>0.81579999999999997</v>
      </c>
      <c r="N142" s="1">
        <v>11.700000000002801</v>
      </c>
      <c r="O142" s="26">
        <v>-21683.100000005699</v>
      </c>
    </row>
    <row r="143" spans="1:15" x14ac:dyDescent="0.3">
      <c r="A143" s="2" t="s">
        <v>36</v>
      </c>
      <c r="B143" s="2" t="s">
        <v>56</v>
      </c>
      <c r="C143" s="2" t="s">
        <v>49</v>
      </c>
      <c r="D143" s="1" t="s">
        <v>103</v>
      </c>
      <c r="E143" s="1">
        <v>656</v>
      </c>
      <c r="F143" s="1">
        <v>656</v>
      </c>
      <c r="G143" s="26">
        <v>8522</v>
      </c>
      <c r="H143" s="26">
        <v>8432</v>
      </c>
      <c r="I143" s="26">
        <v>8923</v>
      </c>
      <c r="J143" s="26">
        <v>7560</v>
      </c>
      <c r="K143" s="26">
        <v>9960</v>
      </c>
      <c r="L143" s="27">
        <v>-2.3515606665111499</v>
      </c>
      <c r="M143" s="1">
        <v>0.13220000000000001</v>
      </c>
      <c r="N143" s="1">
        <v>-200.40000000008001</v>
      </c>
      <c r="O143" s="26">
        <v>414088.60000016203</v>
      </c>
    </row>
    <row r="144" spans="1:15" x14ac:dyDescent="0.3">
      <c r="A144" s="2" t="s">
        <v>36</v>
      </c>
      <c r="B144" s="2" t="s">
        <v>56</v>
      </c>
      <c r="C144" s="2" t="s">
        <v>57</v>
      </c>
      <c r="D144" s="1" t="s">
        <v>20</v>
      </c>
      <c r="E144" s="1">
        <v>7006</v>
      </c>
      <c r="F144" s="1" t="s">
        <v>327</v>
      </c>
      <c r="G144" s="26">
        <v>10417</v>
      </c>
      <c r="H144" s="26">
        <v>10142</v>
      </c>
      <c r="I144" s="26">
        <v>9957</v>
      </c>
      <c r="J144" s="26">
        <v>9667</v>
      </c>
      <c r="K144" s="26">
        <v>9443</v>
      </c>
      <c r="L144" s="27">
        <v>2.3260055678224898</v>
      </c>
      <c r="M144" s="1">
        <v>0.99670000000000003</v>
      </c>
      <c r="N144" s="1">
        <v>242.30000000006899</v>
      </c>
      <c r="O144" s="26">
        <v>-480247.70000013901</v>
      </c>
    </row>
    <row r="145" spans="1:15" x14ac:dyDescent="0.3">
      <c r="A145" s="2" t="s">
        <v>36</v>
      </c>
      <c r="B145" s="2" t="s">
        <v>56</v>
      </c>
      <c r="C145" s="2" t="s">
        <v>237</v>
      </c>
      <c r="D145" s="1" t="s">
        <v>103</v>
      </c>
      <c r="E145" s="1">
        <v>605</v>
      </c>
      <c r="F145" s="1">
        <v>605</v>
      </c>
      <c r="G145" s="26">
        <v>9915</v>
      </c>
      <c r="H145" s="26">
        <v>9766</v>
      </c>
      <c r="I145" s="26">
        <v>10052</v>
      </c>
      <c r="J145" s="26">
        <v>9609</v>
      </c>
      <c r="K145" s="26">
        <v>10335</v>
      </c>
      <c r="L145" s="27">
        <v>-0.68885526979354295</v>
      </c>
      <c r="M145" s="1">
        <v>0.151</v>
      </c>
      <c r="N145" s="1">
        <v>-68.300000000029797</v>
      </c>
      <c r="O145" s="26">
        <v>148106.30000006</v>
      </c>
    </row>
    <row r="146" spans="1:15" x14ac:dyDescent="0.3">
      <c r="A146" s="2" t="s">
        <v>36</v>
      </c>
      <c r="B146" s="2" t="s">
        <v>56</v>
      </c>
      <c r="C146" s="2" t="s">
        <v>58</v>
      </c>
      <c r="D146" s="1" t="s">
        <v>20</v>
      </c>
      <c r="E146" s="1">
        <v>7007</v>
      </c>
      <c r="F146" s="1" t="s">
        <v>328</v>
      </c>
      <c r="G146" s="26">
        <v>11054</v>
      </c>
      <c r="H146" s="26">
        <v>9637</v>
      </c>
      <c r="I146" s="26">
        <v>9957</v>
      </c>
      <c r="J146" s="26">
        <v>9667</v>
      </c>
      <c r="K146" s="26">
        <v>10025</v>
      </c>
      <c r="L146" s="27">
        <v>1.8346299981907199</v>
      </c>
      <c r="M146" s="1">
        <v>0.30859999999999999</v>
      </c>
      <c r="N146" s="1">
        <v>202.800000000003</v>
      </c>
      <c r="O146" s="26">
        <v>-400196.40000000602</v>
      </c>
    </row>
    <row r="147" spans="1:15" x14ac:dyDescent="0.3">
      <c r="A147" s="2" t="s">
        <v>71</v>
      </c>
      <c r="B147" s="2" t="s">
        <v>243</v>
      </c>
      <c r="C147" s="2" t="s">
        <v>244</v>
      </c>
      <c r="D147" s="1" t="s">
        <v>103</v>
      </c>
      <c r="E147" s="1">
        <v>521</v>
      </c>
      <c r="F147" s="1">
        <v>521</v>
      </c>
      <c r="G147" s="26">
        <v>3600</v>
      </c>
      <c r="H147" s="26">
        <v>3642</v>
      </c>
      <c r="I147" s="26">
        <v>3638</v>
      </c>
      <c r="J147" s="26">
        <v>3701</v>
      </c>
      <c r="K147" s="26">
        <v>3665</v>
      </c>
      <c r="L147" s="27">
        <v>-0.52500000000011904</v>
      </c>
      <c r="M147" s="1">
        <v>0.64590000000000003</v>
      </c>
      <c r="N147" s="1">
        <v>-18.900000000004301</v>
      </c>
      <c r="O147" s="26">
        <v>41883.900000008602</v>
      </c>
    </row>
    <row r="148" spans="1:15" x14ac:dyDescent="0.3">
      <c r="A148" s="2" t="s">
        <v>71</v>
      </c>
      <c r="B148" s="2" t="s">
        <v>245</v>
      </c>
      <c r="C148" s="2" t="s">
        <v>246</v>
      </c>
      <c r="D148" s="1" t="s">
        <v>103</v>
      </c>
      <c r="E148" s="1">
        <v>611</v>
      </c>
      <c r="F148" s="1">
        <v>611</v>
      </c>
      <c r="G148" s="26">
        <v>1044</v>
      </c>
      <c r="H148" s="26">
        <v>1005</v>
      </c>
      <c r="I148" s="26">
        <v>1042</v>
      </c>
      <c r="J148" s="26">
        <v>931</v>
      </c>
      <c r="K148" s="26">
        <v>1076</v>
      </c>
      <c r="L148" s="27">
        <v>9.5785440612841805E-2</v>
      </c>
      <c r="M148" s="1">
        <v>8.0000000000000004E-4</v>
      </c>
      <c r="N148" s="1">
        <v>0.99999999999806899</v>
      </c>
      <c r="O148" s="26">
        <v>-1003.3999999960899</v>
      </c>
    </row>
    <row r="149" spans="1:15" x14ac:dyDescent="0.3">
      <c r="A149" s="2" t="s">
        <v>71</v>
      </c>
      <c r="B149" s="2" t="s">
        <v>95</v>
      </c>
      <c r="C149" s="2" t="s">
        <v>62</v>
      </c>
      <c r="D149" s="1" t="s">
        <v>20</v>
      </c>
      <c r="E149" s="1">
        <v>24</v>
      </c>
      <c r="F149" s="1" t="s">
        <v>329</v>
      </c>
      <c r="G149" s="26">
        <v>11810</v>
      </c>
      <c r="H149" s="26">
        <v>11556</v>
      </c>
      <c r="I149" s="26">
        <v>11716</v>
      </c>
      <c r="J149" s="26">
        <v>11834</v>
      </c>
      <c r="K149" s="26">
        <v>11147</v>
      </c>
      <c r="L149" s="27">
        <v>0.88738357324327899</v>
      </c>
      <c r="M149" s="1">
        <v>0.34470000000000001</v>
      </c>
      <c r="N149" s="1">
        <v>104.80000000003101</v>
      </c>
      <c r="O149" s="26">
        <v>-200397.800000063</v>
      </c>
    </row>
    <row r="150" spans="1:15" x14ac:dyDescent="0.3">
      <c r="A150" s="2" t="s">
        <v>71</v>
      </c>
      <c r="B150" s="2" t="s">
        <v>95</v>
      </c>
      <c r="C150" s="2" t="s">
        <v>60</v>
      </c>
      <c r="D150" s="1" t="s">
        <v>20</v>
      </c>
      <c r="E150" s="1">
        <v>429</v>
      </c>
      <c r="F150" s="1" t="s">
        <v>330</v>
      </c>
      <c r="G150" s="26">
        <v>10254</v>
      </c>
      <c r="H150" s="26">
        <v>10517</v>
      </c>
      <c r="I150" s="26">
        <v>10617</v>
      </c>
      <c r="J150" s="26">
        <v>10308</v>
      </c>
      <c r="K150" s="26">
        <v>10657</v>
      </c>
      <c r="L150" s="27">
        <v>-0.58221181977771697</v>
      </c>
      <c r="M150" s="1">
        <v>0.2707</v>
      </c>
      <c r="N150" s="1">
        <v>-59.700000000007101</v>
      </c>
      <c r="O150" s="26">
        <v>131243.70000001401</v>
      </c>
    </row>
    <row r="151" spans="1:15" x14ac:dyDescent="0.3">
      <c r="A151" s="2" t="s">
        <v>12</v>
      </c>
      <c r="B151" s="2" t="s">
        <v>23</v>
      </c>
      <c r="C151" s="2" t="s">
        <v>212</v>
      </c>
      <c r="D151" s="1" t="s">
        <v>103</v>
      </c>
      <c r="E151" s="1">
        <v>552</v>
      </c>
      <c r="F151" s="1">
        <v>552</v>
      </c>
      <c r="G151" s="26">
        <v>39455</v>
      </c>
      <c r="H151" s="26">
        <v>42664</v>
      </c>
      <c r="I151" s="26">
        <v>42514</v>
      </c>
      <c r="J151" s="26">
        <v>47767</v>
      </c>
      <c r="K151" s="26">
        <v>44551</v>
      </c>
      <c r="L151" s="27">
        <v>-3.87656824230227</v>
      </c>
      <c r="M151" s="1">
        <v>0.62739999999999996</v>
      </c>
      <c r="N151" s="1">
        <v>-1529.5000000003599</v>
      </c>
      <c r="O151" s="26">
        <v>3137568.7000007201</v>
      </c>
    </row>
    <row r="152" spans="1:15" x14ac:dyDescent="0.3">
      <c r="A152" s="2" t="s">
        <v>12</v>
      </c>
      <c r="B152" s="2" t="s">
        <v>23</v>
      </c>
      <c r="C152" s="2" t="s">
        <v>28</v>
      </c>
      <c r="D152" s="1" t="s">
        <v>20</v>
      </c>
      <c r="E152" s="1">
        <v>82.1</v>
      </c>
      <c r="F152" s="1" t="s">
        <v>331</v>
      </c>
      <c r="G152" s="26">
        <v>35479</v>
      </c>
      <c r="H152" s="26">
        <v>34472</v>
      </c>
      <c r="I152" s="26">
        <v>33953</v>
      </c>
      <c r="J152" s="26">
        <v>33617</v>
      </c>
      <c r="K152" s="26">
        <v>31472</v>
      </c>
      <c r="L152" s="27">
        <v>2.4997886073459301</v>
      </c>
      <c r="M152" s="1">
        <v>0.89929999999999999</v>
      </c>
      <c r="N152" s="1">
        <v>886.90000000026203</v>
      </c>
      <c r="O152" s="26">
        <v>-1760400.10000053</v>
      </c>
    </row>
    <row r="153" spans="1:15" x14ac:dyDescent="0.3">
      <c r="A153" s="2" t="s">
        <v>12</v>
      </c>
      <c r="B153" s="2" t="s">
        <v>23</v>
      </c>
      <c r="C153" s="2" t="s">
        <v>247</v>
      </c>
      <c r="D153" s="1" t="s">
        <v>103</v>
      </c>
      <c r="E153" s="1">
        <v>661</v>
      </c>
      <c r="F153" s="1">
        <v>661</v>
      </c>
      <c r="G153" s="26">
        <v>24396</v>
      </c>
      <c r="H153" s="26">
        <v>23401</v>
      </c>
      <c r="I153" s="26">
        <v>24014</v>
      </c>
      <c r="J153" s="26">
        <v>22150</v>
      </c>
      <c r="K153" s="26">
        <v>24066</v>
      </c>
      <c r="L153" s="27">
        <v>0.78332513526814496</v>
      </c>
      <c r="M153" s="1">
        <v>0.1154</v>
      </c>
      <c r="N153" s="1">
        <v>191.100000000016</v>
      </c>
      <c r="O153" s="26">
        <v>-362989.90000003303</v>
      </c>
    </row>
    <row r="154" spans="1:15" x14ac:dyDescent="0.3">
      <c r="A154" s="2" t="s">
        <v>12</v>
      </c>
      <c r="B154" s="2" t="s">
        <v>23</v>
      </c>
      <c r="C154" s="2" t="s">
        <v>248</v>
      </c>
      <c r="D154" s="1" t="s">
        <v>103</v>
      </c>
      <c r="E154" s="1">
        <v>530</v>
      </c>
      <c r="F154" s="1">
        <v>530</v>
      </c>
      <c r="G154" s="26">
        <v>42264</v>
      </c>
      <c r="H154" s="26">
        <v>38928</v>
      </c>
      <c r="I154" s="26">
        <v>37998</v>
      </c>
      <c r="J154" s="26">
        <v>33531</v>
      </c>
      <c r="K154" s="26">
        <v>34298</v>
      </c>
      <c r="L154" s="27">
        <v>5.0466117736148002</v>
      </c>
      <c r="M154" s="1">
        <v>0.89300000000000002</v>
      </c>
      <c r="N154" s="1">
        <v>2132.9000000005599</v>
      </c>
      <c r="O154" s="26">
        <v>-4277452.9000011301</v>
      </c>
    </row>
    <row r="155" spans="1:15" x14ac:dyDescent="0.3">
      <c r="A155" s="2" t="s">
        <v>12</v>
      </c>
      <c r="B155" s="2" t="s">
        <v>23</v>
      </c>
      <c r="C155" s="2" t="s">
        <v>250</v>
      </c>
      <c r="D155" s="1" t="s">
        <v>103</v>
      </c>
      <c r="E155" s="1">
        <v>609</v>
      </c>
      <c r="F155" s="1">
        <v>609</v>
      </c>
      <c r="G155" s="26">
        <v>49066</v>
      </c>
      <c r="H155" s="26">
        <v>41984</v>
      </c>
      <c r="I155" s="26">
        <v>41886</v>
      </c>
      <c r="J155" s="26">
        <v>29182</v>
      </c>
      <c r="K155" s="26">
        <v>37517</v>
      </c>
      <c r="L155" s="27">
        <v>7.3166754983101301</v>
      </c>
      <c r="M155" s="1">
        <v>0.60550000000000004</v>
      </c>
      <c r="N155" s="1">
        <v>3590.0000000008499</v>
      </c>
      <c r="O155" s="26">
        <v>-7222643.0000017099</v>
      </c>
    </row>
    <row r="156" spans="1:15" x14ac:dyDescent="0.3">
      <c r="A156" s="2" t="s">
        <v>12</v>
      </c>
      <c r="B156" s="2" t="s">
        <v>23</v>
      </c>
      <c r="C156" s="2" t="s">
        <v>24</v>
      </c>
      <c r="D156" s="1" t="s">
        <v>20</v>
      </c>
      <c r="E156" s="1">
        <v>2.1</v>
      </c>
      <c r="F156" s="1" t="s">
        <v>332</v>
      </c>
      <c r="G156" s="26">
        <v>39309</v>
      </c>
      <c r="H156" s="26">
        <v>36259</v>
      </c>
      <c r="I156" s="26">
        <v>35621</v>
      </c>
      <c r="J156" s="26">
        <v>35268</v>
      </c>
      <c r="K156" s="26">
        <v>34750</v>
      </c>
      <c r="L156" s="27">
        <v>2.5716756976778599</v>
      </c>
      <c r="M156" s="1">
        <v>0.78810000000000002</v>
      </c>
      <c r="N156" s="1">
        <v>1010.9000000001899</v>
      </c>
      <c r="O156" s="26">
        <v>-2008809.30000038</v>
      </c>
    </row>
    <row r="157" spans="1:15" ht="15" customHeight="1" x14ac:dyDescent="0.3">
      <c r="A157" s="2" t="s">
        <v>12</v>
      </c>
      <c r="B157" s="2" t="s">
        <v>23</v>
      </c>
      <c r="C157" s="2" t="s">
        <v>26</v>
      </c>
      <c r="D157" s="1" t="s">
        <v>15</v>
      </c>
      <c r="E157" s="1">
        <v>940</v>
      </c>
      <c r="F157" s="1" t="s">
        <v>27</v>
      </c>
      <c r="G157" s="26">
        <v>40942.5</v>
      </c>
      <c r="H157" s="26">
        <v>38197</v>
      </c>
      <c r="I157" s="26">
        <v>35621</v>
      </c>
      <c r="J157" s="26">
        <v>34959</v>
      </c>
      <c r="K157" s="26">
        <v>25362</v>
      </c>
      <c r="L157" s="27">
        <v>8.4017829883399493</v>
      </c>
      <c r="M157" s="1">
        <v>0.85240000000000005</v>
      </c>
      <c r="N157" s="1">
        <v>3439.9000000010801</v>
      </c>
      <c r="O157" s="26">
        <v>-6923901.4000021899</v>
      </c>
    </row>
    <row r="158" spans="1:15" x14ac:dyDescent="0.3">
      <c r="A158" s="2" t="s">
        <v>12</v>
      </c>
      <c r="B158" s="2" t="s">
        <v>23</v>
      </c>
      <c r="C158" s="2" t="s">
        <v>199</v>
      </c>
      <c r="D158" s="1" t="s">
        <v>103</v>
      </c>
      <c r="E158" s="1">
        <v>531</v>
      </c>
      <c r="F158" s="1">
        <v>531</v>
      </c>
      <c r="G158" s="26">
        <v>40918</v>
      </c>
      <c r="H158" s="26">
        <v>42957</v>
      </c>
      <c r="I158" s="26">
        <v>42255</v>
      </c>
      <c r="J158" s="26">
        <v>46907</v>
      </c>
      <c r="K158" s="26">
        <v>42284</v>
      </c>
      <c r="L158" s="27">
        <v>-1.63302214184493</v>
      </c>
      <c r="M158" s="1">
        <v>0.2162</v>
      </c>
      <c r="N158" s="1">
        <v>-668.20000000011203</v>
      </c>
      <c r="O158" s="26">
        <v>1394832.8000002201</v>
      </c>
    </row>
    <row r="159" spans="1:15" x14ac:dyDescent="0.3">
      <c r="A159" s="2" t="s">
        <v>12</v>
      </c>
      <c r="B159" s="2" t="s">
        <v>23</v>
      </c>
      <c r="C159" s="2" t="s">
        <v>29</v>
      </c>
      <c r="D159" s="1" t="s">
        <v>15</v>
      </c>
      <c r="E159" s="1">
        <v>551</v>
      </c>
      <c r="F159" s="1" t="s">
        <v>331</v>
      </c>
      <c r="G159" s="26">
        <v>35479</v>
      </c>
      <c r="H159" s="26">
        <v>34472</v>
      </c>
      <c r="I159" s="26">
        <v>33953</v>
      </c>
      <c r="J159" s="26">
        <v>28488</v>
      </c>
      <c r="K159" s="26">
        <v>32500</v>
      </c>
      <c r="L159" s="27">
        <v>3.3659347783205198</v>
      </c>
      <c r="M159" s="1">
        <v>0.47810000000000002</v>
      </c>
      <c r="N159" s="1">
        <v>1194.20000000033</v>
      </c>
      <c r="O159" s="26">
        <v>-2382888.2000006801</v>
      </c>
    </row>
    <row r="160" spans="1:15" x14ac:dyDescent="0.3">
      <c r="A160" s="2" t="s">
        <v>12</v>
      </c>
      <c r="B160" s="2" t="s">
        <v>23</v>
      </c>
      <c r="C160" s="2" t="s">
        <v>32</v>
      </c>
      <c r="D160" s="1" t="s">
        <v>15</v>
      </c>
      <c r="E160" s="1">
        <v>5099</v>
      </c>
      <c r="F160" s="1" t="s">
        <v>333</v>
      </c>
      <c r="G160" s="26">
        <v>38855</v>
      </c>
      <c r="H160" s="26">
        <v>37823</v>
      </c>
      <c r="I160" s="26" t="s">
        <v>357</v>
      </c>
      <c r="J160" s="26">
        <v>38119</v>
      </c>
      <c r="K160" s="26">
        <v>31500</v>
      </c>
      <c r="L160" s="27">
        <v>3.7096898726032501</v>
      </c>
      <c r="M160" s="1">
        <v>0.59540000000000004</v>
      </c>
      <c r="N160" s="1">
        <v>1441.3999999999901</v>
      </c>
      <c r="O160" s="26">
        <v>-2879377.9499999802</v>
      </c>
    </row>
    <row r="161" spans="1:15" x14ac:dyDescent="0.3">
      <c r="A161" s="2" t="s">
        <v>12</v>
      </c>
      <c r="B161" s="2" t="s">
        <v>23</v>
      </c>
      <c r="C161" s="2" t="s">
        <v>30</v>
      </c>
      <c r="D161" s="1" t="s">
        <v>15</v>
      </c>
      <c r="E161" s="1">
        <v>287</v>
      </c>
      <c r="F161" s="1" t="s">
        <v>333</v>
      </c>
      <c r="G161" s="26">
        <v>38855</v>
      </c>
      <c r="H161" s="26">
        <v>37823</v>
      </c>
      <c r="I161" s="26" t="s">
        <v>357</v>
      </c>
      <c r="J161" s="26">
        <v>38119</v>
      </c>
      <c r="K161" s="26">
        <v>27500</v>
      </c>
      <c r="L161" s="27">
        <v>5.7686269463389097</v>
      </c>
      <c r="M161" s="1">
        <v>0.57420000000000004</v>
      </c>
      <c r="N161" s="1">
        <v>2241.3999999999801</v>
      </c>
      <c r="O161" s="26">
        <v>-4498777.9499999704</v>
      </c>
    </row>
    <row r="162" spans="1:15" x14ac:dyDescent="0.3">
      <c r="A162" s="2" t="s">
        <v>12</v>
      </c>
      <c r="B162" s="2" t="s">
        <v>23</v>
      </c>
      <c r="C162" s="2" t="s">
        <v>21</v>
      </c>
      <c r="D162" s="1" t="s">
        <v>20</v>
      </c>
      <c r="E162" s="1">
        <v>33</v>
      </c>
      <c r="F162" s="1" t="s">
        <v>296</v>
      </c>
      <c r="G162" s="26">
        <v>35631</v>
      </c>
      <c r="H162" s="26">
        <v>27967</v>
      </c>
      <c r="I162" s="26">
        <v>31899</v>
      </c>
      <c r="J162" s="26">
        <v>31274</v>
      </c>
      <c r="K162" s="26">
        <v>32514</v>
      </c>
      <c r="L162" s="27">
        <v>0.82147568128814896</v>
      </c>
      <c r="M162" s="1">
        <v>2.8400000000000002E-2</v>
      </c>
      <c r="N162" s="1">
        <v>292.69999999978</v>
      </c>
      <c r="O162" s="26">
        <v>-560275.09999955504</v>
      </c>
    </row>
    <row r="163" spans="1:15" x14ac:dyDescent="0.3">
      <c r="A163" s="2" t="s">
        <v>12</v>
      </c>
      <c r="B163" s="2" t="s">
        <v>23</v>
      </c>
      <c r="C163" s="2" t="s">
        <v>19</v>
      </c>
      <c r="D163" s="1" t="s">
        <v>20</v>
      </c>
      <c r="E163" s="1">
        <v>660</v>
      </c>
      <c r="F163" s="1" t="s">
        <v>334</v>
      </c>
      <c r="G163" s="26">
        <v>30210</v>
      </c>
      <c r="H163" s="26">
        <v>27729</v>
      </c>
      <c r="I163" s="26">
        <v>30641</v>
      </c>
      <c r="J163" s="26">
        <v>29182</v>
      </c>
      <c r="K163" s="26">
        <v>28397</v>
      </c>
      <c r="L163" s="27">
        <v>0.71929824561406897</v>
      </c>
      <c r="M163" s="1">
        <v>0.08</v>
      </c>
      <c r="N163" s="1">
        <v>217.30000000000999</v>
      </c>
      <c r="O163" s="26">
        <v>-410366.10000002</v>
      </c>
    </row>
    <row r="164" spans="1:15" x14ac:dyDescent="0.3">
      <c r="A164" s="2" t="s">
        <v>12</v>
      </c>
      <c r="B164" s="2" t="s">
        <v>23</v>
      </c>
      <c r="C164" s="2" t="s">
        <v>249</v>
      </c>
      <c r="D164" s="1" t="s">
        <v>103</v>
      </c>
      <c r="E164" s="1">
        <v>550</v>
      </c>
      <c r="F164" s="1">
        <v>550</v>
      </c>
      <c r="G164" s="26">
        <v>28844</v>
      </c>
      <c r="H164" s="26">
        <v>28749</v>
      </c>
      <c r="I164" s="26">
        <v>28181</v>
      </c>
      <c r="J164" s="26">
        <v>28817</v>
      </c>
      <c r="K164" s="26">
        <v>27152</v>
      </c>
      <c r="L164" s="27">
        <v>1.1496325058941601</v>
      </c>
      <c r="M164" s="1">
        <v>0.52739999999999998</v>
      </c>
      <c r="N164" s="1">
        <v>331.600000000112</v>
      </c>
      <c r="O164" s="26">
        <v>-642478.20000022696</v>
      </c>
    </row>
    <row r="165" spans="1:15" x14ac:dyDescent="0.3">
      <c r="A165" s="2" t="s">
        <v>12</v>
      </c>
      <c r="B165" s="2" t="s">
        <v>23</v>
      </c>
      <c r="C165" s="2" t="s">
        <v>34</v>
      </c>
      <c r="D165" s="1" t="s">
        <v>15</v>
      </c>
      <c r="E165" s="1">
        <v>5096</v>
      </c>
      <c r="F165" s="1" t="s">
        <v>335</v>
      </c>
      <c r="G165" s="26">
        <v>47947</v>
      </c>
      <c r="H165" s="26">
        <v>44982</v>
      </c>
      <c r="I165" s="26">
        <v>45873</v>
      </c>
      <c r="J165" s="26">
        <v>43207</v>
      </c>
      <c r="K165" s="26">
        <v>42992</v>
      </c>
      <c r="L165" s="27">
        <v>2.4370659269616</v>
      </c>
      <c r="M165" s="1">
        <v>0.81789999999999996</v>
      </c>
      <c r="N165" s="1">
        <v>1168.5000000002699</v>
      </c>
      <c r="O165" s="26">
        <v>-2318875.30000056</v>
      </c>
    </row>
    <row r="166" spans="1:15" x14ac:dyDescent="0.3">
      <c r="A166" s="2" t="s">
        <v>12</v>
      </c>
      <c r="B166" s="2" t="s">
        <v>23</v>
      </c>
      <c r="C166" s="2" t="s">
        <v>33</v>
      </c>
      <c r="D166" s="1" t="s">
        <v>20</v>
      </c>
      <c r="E166" s="1">
        <v>5098</v>
      </c>
      <c r="F166" s="1" t="s">
        <v>335</v>
      </c>
      <c r="G166" s="26">
        <v>47947</v>
      </c>
      <c r="H166" s="26">
        <v>44982</v>
      </c>
      <c r="I166" s="26">
        <v>45873</v>
      </c>
      <c r="J166" s="26">
        <v>44537</v>
      </c>
      <c r="K166" s="26">
        <v>50579</v>
      </c>
      <c r="L166" s="27">
        <v>-1.0050680960234</v>
      </c>
      <c r="M166" s="1">
        <v>9.3299999999999994E-2</v>
      </c>
      <c r="N166" s="1">
        <v>-481.90000000034001</v>
      </c>
      <c r="O166" s="26">
        <v>1021667.30000068</v>
      </c>
    </row>
    <row r="167" spans="1:15" x14ac:dyDescent="0.3">
      <c r="A167" s="2" t="s">
        <v>12</v>
      </c>
      <c r="B167" s="2" t="s">
        <v>23</v>
      </c>
      <c r="C167" s="2" t="s">
        <v>35</v>
      </c>
      <c r="D167" s="1" t="s">
        <v>20</v>
      </c>
      <c r="E167" s="1">
        <v>7075</v>
      </c>
      <c r="F167" s="1" t="s">
        <v>336</v>
      </c>
      <c r="G167" s="26">
        <v>29446</v>
      </c>
      <c r="H167" s="26">
        <v>26558</v>
      </c>
      <c r="I167" s="26">
        <v>27169</v>
      </c>
      <c r="J167" s="26">
        <v>26636</v>
      </c>
      <c r="K167" s="26">
        <v>25075</v>
      </c>
      <c r="L167" s="27">
        <v>2.9423351219186999</v>
      </c>
      <c r="M167" s="1">
        <v>0.74750000000000005</v>
      </c>
      <c r="N167" s="1">
        <v>866.40000000018097</v>
      </c>
      <c r="O167" s="26">
        <v>-1725750.4000003601</v>
      </c>
    </row>
    <row r="168" spans="1:15" x14ac:dyDescent="0.3">
      <c r="A168" s="2" t="s">
        <v>71</v>
      </c>
      <c r="B168" s="2" t="s">
        <v>251</v>
      </c>
      <c r="C168" s="2" t="s">
        <v>46</v>
      </c>
      <c r="D168" s="1" t="s">
        <v>103</v>
      </c>
      <c r="E168" s="1">
        <v>610</v>
      </c>
      <c r="F168" s="1">
        <v>610</v>
      </c>
      <c r="G168" s="26">
        <v>1072</v>
      </c>
      <c r="H168" s="26">
        <v>947</v>
      </c>
      <c r="I168" s="26">
        <v>899</v>
      </c>
      <c r="J168" s="26">
        <v>728</v>
      </c>
      <c r="K168" s="26">
        <v>748</v>
      </c>
      <c r="L168" s="27">
        <v>8.0876865671663403</v>
      </c>
      <c r="M168" s="1">
        <v>0.91410000000000002</v>
      </c>
      <c r="N168" s="1">
        <v>86.700000000023095</v>
      </c>
      <c r="O168" s="26">
        <v>-174515.300000046</v>
      </c>
    </row>
    <row r="169" spans="1:15" x14ac:dyDescent="0.3">
      <c r="A169" s="2" t="s">
        <v>71</v>
      </c>
      <c r="B169" s="2" t="s">
        <v>251</v>
      </c>
      <c r="C169" s="2" t="s">
        <v>252</v>
      </c>
      <c r="D169" s="1" t="s">
        <v>103</v>
      </c>
      <c r="E169" s="1">
        <v>612</v>
      </c>
      <c r="F169" s="1">
        <v>612</v>
      </c>
      <c r="G169" s="26">
        <v>669</v>
      </c>
      <c r="H169" s="26">
        <v>798</v>
      </c>
      <c r="I169" s="26">
        <v>893</v>
      </c>
      <c r="J169" s="26">
        <v>1068</v>
      </c>
      <c r="K169" s="26">
        <v>1094</v>
      </c>
      <c r="L169" s="27">
        <v>-16.7414050822169</v>
      </c>
      <c r="M169" s="1">
        <v>0.96809999999999996</v>
      </c>
      <c r="N169" s="1">
        <v>-112.00000000003099</v>
      </c>
      <c r="O169" s="26">
        <v>227480.400000063</v>
      </c>
    </row>
    <row r="170" spans="1:15" x14ac:dyDescent="0.3">
      <c r="A170" s="2" t="s">
        <v>71</v>
      </c>
      <c r="B170" s="2" t="s">
        <v>96</v>
      </c>
      <c r="C170" s="2" t="s">
        <v>253</v>
      </c>
      <c r="D170" s="1" t="s">
        <v>103</v>
      </c>
      <c r="E170" s="1">
        <v>502</v>
      </c>
      <c r="F170" s="1">
        <v>502</v>
      </c>
      <c r="G170" s="26">
        <v>13133</v>
      </c>
      <c r="H170" s="26">
        <v>13074</v>
      </c>
      <c r="I170" s="26">
        <v>12957</v>
      </c>
      <c r="J170" s="26">
        <v>12962</v>
      </c>
      <c r="K170" s="26">
        <v>12749</v>
      </c>
      <c r="L170" s="27">
        <v>0.670067768217674</v>
      </c>
      <c r="M170" s="1">
        <v>0.89700000000000002</v>
      </c>
      <c r="N170" s="1">
        <v>88.0000000000272</v>
      </c>
      <c r="O170" s="26">
        <v>-165049.00000005501</v>
      </c>
    </row>
    <row r="171" spans="1:15" x14ac:dyDescent="0.3">
      <c r="A171" s="2" t="s">
        <v>71</v>
      </c>
      <c r="B171" s="2" t="s">
        <v>96</v>
      </c>
      <c r="C171" s="2" t="s">
        <v>97</v>
      </c>
      <c r="D171" s="1" t="s">
        <v>20</v>
      </c>
      <c r="E171" s="1">
        <v>8150</v>
      </c>
      <c r="F171" s="1" t="s">
        <v>337</v>
      </c>
      <c r="G171" s="26">
        <v>17324</v>
      </c>
      <c r="H171" s="26">
        <v>16715</v>
      </c>
      <c r="I171" s="26">
        <v>16394</v>
      </c>
      <c r="J171" s="26">
        <v>16560</v>
      </c>
      <c r="K171" s="26">
        <v>15534</v>
      </c>
      <c r="L171" s="27">
        <v>2.1559685984766901</v>
      </c>
      <c r="M171" s="1">
        <v>0.83379999999999999</v>
      </c>
      <c r="N171" s="1">
        <v>373.50000000010198</v>
      </c>
      <c r="O171" s="26">
        <v>-739085.10000020603</v>
      </c>
    </row>
    <row r="172" spans="1:15" x14ac:dyDescent="0.3">
      <c r="A172" s="2" t="s">
        <v>71</v>
      </c>
      <c r="B172" s="2" t="s">
        <v>96</v>
      </c>
      <c r="C172" s="2" t="s">
        <v>98</v>
      </c>
      <c r="D172" s="1" t="s">
        <v>20</v>
      </c>
      <c r="E172" s="1">
        <v>8151</v>
      </c>
      <c r="F172" s="1" t="s">
        <v>338</v>
      </c>
      <c r="G172" s="26">
        <v>5577</v>
      </c>
      <c r="H172" s="26">
        <v>5793</v>
      </c>
      <c r="I172" s="26">
        <v>4868</v>
      </c>
      <c r="J172" s="26">
        <v>4917</v>
      </c>
      <c r="K172" s="26">
        <v>4946</v>
      </c>
      <c r="L172" s="27">
        <v>3.8336022951419801</v>
      </c>
      <c r="M172" s="1">
        <v>0.61229999999999996</v>
      </c>
      <c r="N172" s="1">
        <v>213.800000000068</v>
      </c>
      <c r="O172" s="26">
        <v>-427297.20000013802</v>
      </c>
    </row>
    <row r="173" spans="1:15" x14ac:dyDescent="0.3">
      <c r="A173" s="2" t="s">
        <v>71</v>
      </c>
      <c r="B173" s="2" t="s">
        <v>96</v>
      </c>
      <c r="C173" s="2" t="s">
        <v>255</v>
      </c>
      <c r="D173" s="1" t="s">
        <v>103</v>
      </c>
      <c r="E173" s="1">
        <v>503</v>
      </c>
      <c r="F173" s="1">
        <v>503</v>
      </c>
      <c r="G173" s="26">
        <v>12213</v>
      </c>
      <c r="H173" s="26">
        <v>11907</v>
      </c>
      <c r="I173" s="26">
        <v>11592</v>
      </c>
      <c r="J173" s="26">
        <v>11782</v>
      </c>
      <c r="K173" s="26">
        <v>10722</v>
      </c>
      <c r="L173" s="27">
        <v>2.5440104806361599</v>
      </c>
      <c r="M173" s="1">
        <v>0.76329999999999998</v>
      </c>
      <c r="N173" s="1">
        <v>310.70000000009497</v>
      </c>
      <c r="O173" s="26">
        <v>-616902.90000019199</v>
      </c>
    </row>
    <row r="174" spans="1:15" x14ac:dyDescent="0.3">
      <c r="A174" s="2" t="s">
        <v>71</v>
      </c>
      <c r="B174" s="2" t="s">
        <v>96</v>
      </c>
      <c r="C174" s="2" t="s">
        <v>256</v>
      </c>
      <c r="D174" s="1" t="s">
        <v>103</v>
      </c>
      <c r="E174" s="1">
        <v>532</v>
      </c>
      <c r="F174" s="1">
        <v>532</v>
      </c>
      <c r="G174" s="26">
        <v>14883</v>
      </c>
      <c r="H174" s="26">
        <v>14680</v>
      </c>
      <c r="I174" s="26">
        <v>14673</v>
      </c>
      <c r="J174" s="26">
        <v>14656</v>
      </c>
      <c r="K174" s="26">
        <v>14369</v>
      </c>
      <c r="L174" s="27">
        <v>0.70684673788906405</v>
      </c>
      <c r="M174" s="1">
        <v>0.82169999999999999</v>
      </c>
      <c r="N174" s="1">
        <v>105.20000000002899</v>
      </c>
      <c r="O174" s="26">
        <v>-198167.40000005899</v>
      </c>
    </row>
    <row r="175" spans="1:15" x14ac:dyDescent="0.3">
      <c r="A175" s="2" t="s">
        <v>71</v>
      </c>
      <c r="B175" s="2" t="s">
        <v>96</v>
      </c>
      <c r="C175" s="2" t="s">
        <v>257</v>
      </c>
      <c r="D175" s="1" t="s">
        <v>103</v>
      </c>
      <c r="E175" s="1">
        <v>533</v>
      </c>
      <c r="F175" s="1">
        <v>533</v>
      </c>
      <c r="G175" s="26">
        <v>8294</v>
      </c>
      <c r="H175" s="26">
        <v>8329</v>
      </c>
      <c r="I175" s="26">
        <v>8241</v>
      </c>
      <c r="J175" s="26">
        <v>8694</v>
      </c>
      <c r="K175" s="26">
        <v>7979</v>
      </c>
      <c r="L175" s="27">
        <v>0.319508078128939</v>
      </c>
      <c r="M175" s="1">
        <v>2.6800000000000001E-2</v>
      </c>
      <c r="N175" s="1">
        <v>26.5000000000142</v>
      </c>
      <c r="O175" s="26">
        <v>-45302.100000028797</v>
      </c>
    </row>
    <row r="176" spans="1:15" x14ac:dyDescent="0.3">
      <c r="A176" s="2" t="s">
        <v>71</v>
      </c>
      <c r="B176" s="2" t="s">
        <v>96</v>
      </c>
      <c r="C176" s="2" t="s">
        <v>258</v>
      </c>
      <c r="D176" s="1" t="s">
        <v>103</v>
      </c>
      <c r="E176" s="1">
        <v>525</v>
      </c>
      <c r="F176" s="1">
        <v>525</v>
      </c>
      <c r="G176" s="26">
        <v>16163</v>
      </c>
      <c r="H176" s="26">
        <v>14992</v>
      </c>
      <c r="I176" s="26">
        <v>15376</v>
      </c>
      <c r="J176" s="26">
        <v>13756</v>
      </c>
      <c r="K176" s="26">
        <v>14813</v>
      </c>
      <c r="L176" s="27">
        <v>2.43519148672944</v>
      </c>
      <c r="M176" s="1">
        <v>0.50390000000000001</v>
      </c>
      <c r="N176" s="1">
        <v>393.60000000007898</v>
      </c>
      <c r="O176" s="26">
        <v>-781232.80000016</v>
      </c>
    </row>
    <row r="177" spans="1:15" x14ac:dyDescent="0.3">
      <c r="A177" s="2" t="s">
        <v>71</v>
      </c>
      <c r="B177" s="2" t="s">
        <v>259</v>
      </c>
      <c r="C177" s="2" t="s">
        <v>260</v>
      </c>
      <c r="D177" s="1" t="s">
        <v>103</v>
      </c>
      <c r="E177" s="1">
        <v>534</v>
      </c>
      <c r="F177" s="1">
        <v>534</v>
      </c>
      <c r="G177" s="26">
        <v>6498</v>
      </c>
      <c r="H177" s="28" t="s">
        <v>355</v>
      </c>
      <c r="I177" s="28" t="s">
        <v>355</v>
      </c>
      <c r="J177" s="28" t="s">
        <v>355</v>
      </c>
      <c r="K177" s="28" t="s">
        <v>355</v>
      </c>
      <c r="L177" s="27" t="s">
        <v>357</v>
      </c>
      <c r="M177" s="1" t="s">
        <v>357</v>
      </c>
      <c r="N177" s="1" t="s">
        <v>357</v>
      </c>
      <c r="O177" s="26" t="s">
        <v>357</v>
      </c>
    </row>
    <row r="178" spans="1:15" x14ac:dyDescent="0.3">
      <c r="A178" s="2" t="s">
        <v>71</v>
      </c>
      <c r="B178" s="2" t="s">
        <v>261</v>
      </c>
      <c r="C178" s="2" t="s">
        <v>70</v>
      </c>
      <c r="D178" s="1" t="s">
        <v>103</v>
      </c>
      <c r="E178" s="1">
        <v>627</v>
      </c>
      <c r="F178" s="1">
        <v>627</v>
      </c>
      <c r="G178" s="26">
        <v>8699</v>
      </c>
      <c r="H178" s="26">
        <v>8733</v>
      </c>
      <c r="I178" s="26">
        <v>8893</v>
      </c>
      <c r="J178" s="26">
        <v>9149</v>
      </c>
      <c r="K178" s="26">
        <v>8977</v>
      </c>
      <c r="L178" s="27">
        <v>-1.11736981262247</v>
      </c>
      <c r="M178" s="1">
        <v>0.69579999999999997</v>
      </c>
      <c r="N178" s="1">
        <v>-97.200000000028695</v>
      </c>
      <c r="O178" s="26">
        <v>205525.80000005799</v>
      </c>
    </row>
    <row r="179" spans="1:15" x14ac:dyDescent="0.3">
      <c r="A179" s="2" t="s">
        <v>71</v>
      </c>
      <c r="B179" s="2" t="s">
        <v>261</v>
      </c>
      <c r="C179" s="2" t="s">
        <v>263</v>
      </c>
      <c r="D179" s="1" t="s">
        <v>103</v>
      </c>
      <c r="E179" s="1">
        <v>626</v>
      </c>
      <c r="F179" s="1">
        <v>626</v>
      </c>
      <c r="G179" s="26">
        <v>7770</v>
      </c>
      <c r="H179" s="26">
        <v>7694</v>
      </c>
      <c r="I179" s="26">
        <v>7793</v>
      </c>
      <c r="J179" s="26">
        <v>7643</v>
      </c>
      <c r="K179" s="26">
        <v>7854</v>
      </c>
      <c r="L179" s="27">
        <v>-0.15057915057924301</v>
      </c>
      <c r="M179" s="1">
        <v>4.9500000000000002E-2</v>
      </c>
      <c r="N179" s="1">
        <v>-11.700000000007201</v>
      </c>
      <c r="O179" s="26">
        <v>31419.900000014499</v>
      </c>
    </row>
    <row r="180" spans="1:15" x14ac:dyDescent="0.3">
      <c r="A180" s="2" t="s">
        <v>71</v>
      </c>
      <c r="B180" s="2" t="s">
        <v>261</v>
      </c>
      <c r="C180" s="2" t="s">
        <v>262</v>
      </c>
      <c r="D180" s="1" t="s">
        <v>103</v>
      </c>
      <c r="E180" s="1">
        <v>625</v>
      </c>
      <c r="F180" s="1">
        <v>625</v>
      </c>
      <c r="G180" s="26">
        <v>7721</v>
      </c>
      <c r="H180" s="26">
        <v>7690</v>
      </c>
      <c r="I180" s="26">
        <v>7742</v>
      </c>
      <c r="J180" s="26">
        <v>7933</v>
      </c>
      <c r="K180" s="26">
        <v>7653</v>
      </c>
      <c r="L180" s="27">
        <v>-0.13858308509263401</v>
      </c>
      <c r="M180" s="1">
        <v>2.4199999999999999E-2</v>
      </c>
      <c r="N180" s="1">
        <v>-10.7000000000023</v>
      </c>
      <c r="O180" s="26">
        <v>29393.9000000046</v>
      </c>
    </row>
    <row r="181" spans="1:15" x14ac:dyDescent="0.3">
      <c r="A181" s="2" t="s">
        <v>36</v>
      </c>
      <c r="B181" s="2" t="s">
        <v>59</v>
      </c>
      <c r="C181" s="2" t="s">
        <v>265</v>
      </c>
      <c r="D181" s="1" t="s">
        <v>103</v>
      </c>
      <c r="E181" s="1">
        <v>606</v>
      </c>
      <c r="F181" s="1">
        <v>606</v>
      </c>
      <c r="G181" s="26">
        <v>32915</v>
      </c>
      <c r="H181" s="26">
        <v>30659</v>
      </c>
      <c r="I181" s="26">
        <v>30260</v>
      </c>
      <c r="J181" s="26">
        <v>27116</v>
      </c>
      <c r="K181" s="26">
        <v>28050</v>
      </c>
      <c r="L181" s="27">
        <v>4.0325079750883699</v>
      </c>
      <c r="M181" s="1">
        <v>0.84219999999999995</v>
      </c>
      <c r="N181" s="1">
        <v>1327.3000000003301</v>
      </c>
      <c r="O181" s="26">
        <v>-2655327.9000006798</v>
      </c>
    </row>
    <row r="182" spans="1:15" x14ac:dyDescent="0.3">
      <c r="A182" s="2" t="s">
        <v>36</v>
      </c>
      <c r="B182" s="2" t="s">
        <v>59</v>
      </c>
      <c r="C182" s="2" t="s">
        <v>60</v>
      </c>
      <c r="D182" s="1" t="s">
        <v>20</v>
      </c>
      <c r="E182" s="1">
        <v>799</v>
      </c>
      <c r="F182" s="1" t="s">
        <v>339</v>
      </c>
      <c r="G182" s="26">
        <v>12883.5</v>
      </c>
      <c r="H182" s="26">
        <v>12721.5</v>
      </c>
      <c r="I182" s="26">
        <v>12995</v>
      </c>
      <c r="J182" s="26">
        <v>10883</v>
      </c>
      <c r="K182" s="26">
        <v>11579</v>
      </c>
      <c r="L182" s="27">
        <v>3.4520898824088802</v>
      </c>
      <c r="M182" s="1">
        <v>0.56669999999999998</v>
      </c>
      <c r="N182" s="1">
        <v>444.75000000014899</v>
      </c>
      <c r="O182" s="26">
        <v>-887516.85000030103</v>
      </c>
    </row>
    <row r="183" spans="1:15" x14ac:dyDescent="0.3">
      <c r="A183" s="2" t="s">
        <v>36</v>
      </c>
      <c r="B183" s="2" t="s">
        <v>59</v>
      </c>
      <c r="C183" s="2" t="s">
        <v>62</v>
      </c>
      <c r="D183" s="1" t="s">
        <v>20</v>
      </c>
      <c r="E183" s="1">
        <v>25</v>
      </c>
      <c r="F183" s="1" t="s">
        <v>340</v>
      </c>
      <c r="G183" s="26">
        <v>25310</v>
      </c>
      <c r="H183" s="26">
        <v>22033</v>
      </c>
      <c r="I183" s="26">
        <v>21929</v>
      </c>
      <c r="J183" s="26">
        <v>22151</v>
      </c>
      <c r="K183" s="26">
        <v>21573</v>
      </c>
      <c r="L183" s="27">
        <v>2.9063611220865</v>
      </c>
      <c r="M183" s="1">
        <v>0.57740000000000002</v>
      </c>
      <c r="N183" s="1">
        <v>735.60000000009302</v>
      </c>
      <c r="O183" s="26">
        <v>-1465519.6000001801</v>
      </c>
    </row>
    <row r="184" spans="1:15" x14ac:dyDescent="0.3">
      <c r="A184" s="2" t="s">
        <v>36</v>
      </c>
      <c r="B184" s="2" t="s">
        <v>59</v>
      </c>
      <c r="C184" s="2" t="s">
        <v>63</v>
      </c>
      <c r="D184" s="1" t="s">
        <v>20</v>
      </c>
      <c r="E184" s="1">
        <v>330</v>
      </c>
      <c r="F184" s="1" t="s">
        <v>341</v>
      </c>
      <c r="G184" s="26">
        <v>31493</v>
      </c>
      <c r="H184" s="26">
        <v>28256</v>
      </c>
      <c r="I184" s="26">
        <v>29785</v>
      </c>
      <c r="J184" s="26">
        <v>29201</v>
      </c>
      <c r="K184" s="26">
        <v>30340</v>
      </c>
      <c r="L184" s="27">
        <v>0.43215952751374798</v>
      </c>
      <c r="M184" s="1">
        <v>3.1399999999999997E-2</v>
      </c>
      <c r="N184" s="1">
        <v>136.09999999990401</v>
      </c>
      <c r="O184" s="26">
        <v>-245515.299999807</v>
      </c>
    </row>
    <row r="185" spans="1:15" x14ac:dyDescent="0.3">
      <c r="A185" s="2" t="s">
        <v>36</v>
      </c>
      <c r="B185" s="2" t="s">
        <v>59</v>
      </c>
      <c r="C185" s="2" t="s">
        <v>64</v>
      </c>
      <c r="D185" s="1" t="s">
        <v>20</v>
      </c>
      <c r="E185" s="1">
        <v>331</v>
      </c>
      <c r="F185" s="1" t="s">
        <v>342</v>
      </c>
      <c r="G185" s="26">
        <v>25735</v>
      </c>
      <c r="H185" s="26">
        <v>26107</v>
      </c>
      <c r="I185" s="26">
        <v>23088</v>
      </c>
      <c r="J185" s="26">
        <v>22416</v>
      </c>
      <c r="K185" s="26">
        <v>23566</v>
      </c>
      <c r="L185" s="27">
        <v>3.1198756557227001</v>
      </c>
      <c r="M185" s="1">
        <v>0.59619999999999995</v>
      </c>
      <c r="N185" s="1">
        <v>802.90000000023804</v>
      </c>
      <c r="O185" s="26">
        <v>-1600084.3000004799</v>
      </c>
    </row>
    <row r="186" spans="1:15" x14ac:dyDescent="0.3">
      <c r="A186" s="2" t="s">
        <v>36</v>
      </c>
      <c r="B186" s="2" t="s">
        <v>59</v>
      </c>
      <c r="C186" s="2" t="s">
        <v>65</v>
      </c>
      <c r="D186" s="1" t="s">
        <v>20</v>
      </c>
      <c r="E186" s="1">
        <v>222</v>
      </c>
      <c r="F186" s="1" t="s">
        <v>343</v>
      </c>
      <c r="G186" s="26">
        <v>23156</v>
      </c>
      <c r="H186" s="26">
        <v>22295</v>
      </c>
      <c r="I186" s="26">
        <v>22550</v>
      </c>
      <c r="J186" s="26">
        <v>21893</v>
      </c>
      <c r="K186" s="26">
        <v>20831</v>
      </c>
      <c r="L186" s="27">
        <v>2.1817239592336501</v>
      </c>
      <c r="M186" s="1">
        <v>0.85109999999999997</v>
      </c>
      <c r="N186" s="1">
        <v>505.200000000145</v>
      </c>
      <c r="O186" s="26">
        <v>-999874.60000029404</v>
      </c>
    </row>
    <row r="187" spans="1:15" x14ac:dyDescent="0.3">
      <c r="A187" s="2" t="s">
        <v>36</v>
      </c>
      <c r="B187" s="2" t="s">
        <v>59</v>
      </c>
      <c r="C187" s="2" t="s">
        <v>66</v>
      </c>
      <c r="D187" s="1" t="s">
        <v>20</v>
      </c>
      <c r="E187" s="1">
        <v>65</v>
      </c>
      <c r="F187" s="1" t="s">
        <v>344</v>
      </c>
      <c r="G187" s="26">
        <v>24930</v>
      </c>
      <c r="H187" s="26">
        <v>26790</v>
      </c>
      <c r="I187" s="26">
        <v>24020</v>
      </c>
      <c r="J187" s="26">
        <v>23320</v>
      </c>
      <c r="K187" s="26">
        <v>23400</v>
      </c>
      <c r="L187" s="27">
        <v>2.61933413558071</v>
      </c>
      <c r="M187" s="1">
        <v>0.5161</v>
      </c>
      <c r="N187" s="1">
        <v>653.00000000027205</v>
      </c>
      <c r="O187" s="26">
        <v>-1296527.0000005499</v>
      </c>
    </row>
    <row r="188" spans="1:15" x14ac:dyDescent="0.3">
      <c r="A188" s="2" t="s">
        <v>36</v>
      </c>
      <c r="B188" s="2" t="s">
        <v>59</v>
      </c>
      <c r="C188" s="2" t="s">
        <v>264</v>
      </c>
      <c r="D188" s="1" t="s">
        <v>103</v>
      </c>
      <c r="E188" s="1">
        <v>223</v>
      </c>
      <c r="F188" s="1">
        <v>223</v>
      </c>
      <c r="G188" s="26">
        <v>25932</v>
      </c>
      <c r="H188" s="26">
        <v>25724</v>
      </c>
      <c r="I188" s="26">
        <v>25664</v>
      </c>
      <c r="J188" s="26">
        <v>24350</v>
      </c>
      <c r="K188" s="26">
        <v>25949</v>
      </c>
      <c r="L188" s="27">
        <v>0.51673607897588503</v>
      </c>
      <c r="M188" s="1">
        <v>0.10059999999999999</v>
      </c>
      <c r="N188" s="1">
        <v>134.00000000002601</v>
      </c>
      <c r="O188" s="26">
        <v>-245558.20000005301</v>
      </c>
    </row>
    <row r="189" spans="1:15" x14ac:dyDescent="0.3">
      <c r="A189" s="2" t="s">
        <v>36</v>
      </c>
      <c r="B189" s="2" t="s">
        <v>67</v>
      </c>
      <c r="C189" s="2" t="s">
        <v>69</v>
      </c>
      <c r="D189" s="1" t="s">
        <v>20</v>
      </c>
      <c r="E189" s="1">
        <v>7049</v>
      </c>
      <c r="F189" s="1" t="s">
        <v>345</v>
      </c>
      <c r="G189" s="26">
        <v>18967</v>
      </c>
      <c r="H189" s="26">
        <v>18366</v>
      </c>
      <c r="I189" s="26">
        <v>17935</v>
      </c>
      <c r="J189" s="26">
        <v>18116</v>
      </c>
      <c r="K189" s="26">
        <v>17433</v>
      </c>
      <c r="L189" s="27">
        <v>1.74935414140391</v>
      </c>
      <c r="M189" s="1">
        <v>0.86370000000000002</v>
      </c>
      <c r="N189" s="1">
        <v>331.80000000008101</v>
      </c>
      <c r="O189" s="26">
        <v>-653068.00000016298</v>
      </c>
    </row>
    <row r="190" spans="1:15" x14ac:dyDescent="0.3">
      <c r="A190" s="2" t="s">
        <v>36</v>
      </c>
      <c r="B190" s="2" t="s">
        <v>67</v>
      </c>
      <c r="C190" s="2" t="s">
        <v>68</v>
      </c>
      <c r="D190" s="1" t="s">
        <v>20</v>
      </c>
      <c r="E190" s="1">
        <v>501</v>
      </c>
      <c r="F190" s="1" t="s">
        <v>346</v>
      </c>
      <c r="G190" s="26">
        <v>11922</v>
      </c>
      <c r="H190" s="26">
        <v>11259</v>
      </c>
      <c r="I190" s="26">
        <v>11729</v>
      </c>
      <c r="J190" s="26">
        <v>11170</v>
      </c>
      <c r="K190" s="26">
        <v>10532</v>
      </c>
      <c r="L190" s="27">
        <v>2.4064754235873198</v>
      </c>
      <c r="M190" s="1">
        <v>0.69940000000000002</v>
      </c>
      <c r="N190" s="1">
        <v>286.90000000008001</v>
      </c>
      <c r="O190" s="26">
        <v>-569076.30000016198</v>
      </c>
    </row>
    <row r="191" spans="1:15" x14ac:dyDescent="0.3">
      <c r="A191" s="2" t="s">
        <v>36</v>
      </c>
      <c r="B191" s="2" t="s">
        <v>67</v>
      </c>
      <c r="C191" s="2" t="s">
        <v>70</v>
      </c>
      <c r="D191" s="1" t="s">
        <v>20</v>
      </c>
      <c r="E191" s="1">
        <v>22</v>
      </c>
      <c r="F191" s="1" t="s">
        <v>345</v>
      </c>
      <c r="G191" s="26">
        <v>18967</v>
      </c>
      <c r="H191" s="26">
        <v>18366</v>
      </c>
      <c r="I191" s="26">
        <v>17935</v>
      </c>
      <c r="J191" s="26">
        <v>16195</v>
      </c>
      <c r="K191" s="26">
        <v>15679</v>
      </c>
      <c r="L191" s="27">
        <v>4.6116939948345603</v>
      </c>
      <c r="M191" s="1">
        <v>0.94640000000000002</v>
      </c>
      <c r="N191" s="1">
        <v>874.70000000027198</v>
      </c>
      <c r="O191" s="26">
        <v>-1752089.7000005399</v>
      </c>
    </row>
    <row r="192" spans="1:15" x14ac:dyDescent="0.3">
      <c r="A192" s="2" t="s">
        <v>36</v>
      </c>
      <c r="B192" s="2" t="s">
        <v>67</v>
      </c>
      <c r="C192" s="2" t="s">
        <v>266</v>
      </c>
      <c r="D192" s="1" t="s">
        <v>103</v>
      </c>
      <c r="E192" s="1">
        <v>624</v>
      </c>
      <c r="F192" s="1">
        <v>624</v>
      </c>
      <c r="G192" s="26">
        <v>18612</v>
      </c>
      <c r="H192" s="26">
        <v>18487</v>
      </c>
      <c r="I192" s="26">
        <v>18699</v>
      </c>
      <c r="J192" s="26">
        <v>18304</v>
      </c>
      <c r="K192" s="26">
        <v>18920</v>
      </c>
      <c r="L192" s="27">
        <v>-0.23264560498613801</v>
      </c>
      <c r="M192" s="1">
        <v>8.8200000000000001E-2</v>
      </c>
      <c r="N192" s="1">
        <v>-43.300000000020098</v>
      </c>
      <c r="O192" s="26">
        <v>106200.30000004001</v>
      </c>
    </row>
    <row r="193" spans="1:15" x14ac:dyDescent="0.3">
      <c r="A193" s="2" t="s">
        <v>71</v>
      </c>
      <c r="B193" s="2" t="s">
        <v>267</v>
      </c>
      <c r="C193" s="2" t="s">
        <v>268</v>
      </c>
      <c r="D193" s="1" t="s">
        <v>103</v>
      </c>
      <c r="E193" s="1">
        <v>700</v>
      </c>
      <c r="F193" s="1">
        <v>700</v>
      </c>
      <c r="G193" s="26">
        <v>702</v>
      </c>
      <c r="H193" s="26">
        <v>679</v>
      </c>
      <c r="I193" s="26">
        <v>692</v>
      </c>
      <c r="J193" s="26">
        <v>593</v>
      </c>
      <c r="K193" s="26">
        <v>721</v>
      </c>
      <c r="L193" s="27">
        <v>0.683760683760674</v>
      </c>
      <c r="M193" s="1">
        <v>2.3400000000000001E-2</v>
      </c>
      <c r="N193" s="1">
        <v>4.7999999999999297</v>
      </c>
      <c r="O193" s="26">
        <v>-9032.9999999998599</v>
      </c>
    </row>
    <row r="194" spans="1:15" x14ac:dyDescent="0.3">
      <c r="A194" s="2" t="s">
        <v>71</v>
      </c>
      <c r="B194" s="2" t="s">
        <v>99</v>
      </c>
      <c r="C194" s="2" t="s">
        <v>100</v>
      </c>
      <c r="D194" s="1" t="s">
        <v>20</v>
      </c>
      <c r="E194" s="1">
        <v>8152</v>
      </c>
      <c r="F194" s="1" t="s">
        <v>347</v>
      </c>
      <c r="G194" s="26">
        <v>3917</v>
      </c>
      <c r="H194" s="26">
        <v>3592</v>
      </c>
      <c r="I194" s="26">
        <v>3374</v>
      </c>
      <c r="J194" s="26">
        <v>3408</v>
      </c>
      <c r="K194" s="26">
        <v>3451</v>
      </c>
      <c r="L194" s="27">
        <v>2.8491192238963001</v>
      </c>
      <c r="M194" s="1">
        <v>0.63100000000000001</v>
      </c>
      <c r="N194" s="1">
        <v>111.600000000018</v>
      </c>
      <c r="O194" s="26">
        <v>-222218.40000003701</v>
      </c>
    </row>
    <row r="195" spans="1:15" x14ac:dyDescent="0.3">
      <c r="A195" s="2" t="s">
        <v>71</v>
      </c>
      <c r="B195" s="2" t="s">
        <v>99</v>
      </c>
      <c r="C195" s="2" t="s">
        <v>269</v>
      </c>
      <c r="D195" s="1" t="s">
        <v>103</v>
      </c>
      <c r="E195" s="1">
        <v>800</v>
      </c>
      <c r="F195" s="1">
        <v>800</v>
      </c>
      <c r="G195" s="26">
        <v>2374</v>
      </c>
      <c r="H195" s="26">
        <v>2222</v>
      </c>
      <c r="I195" s="26">
        <v>2129</v>
      </c>
      <c r="J195" s="26">
        <v>2031</v>
      </c>
      <c r="K195" s="26">
        <v>1856</v>
      </c>
      <c r="L195" s="27">
        <v>5.1684919966316301</v>
      </c>
      <c r="M195" s="1">
        <v>0.98670000000000002</v>
      </c>
      <c r="N195" s="1">
        <v>122.700000000034</v>
      </c>
      <c r="O195" s="26">
        <v>-246099.70000007001</v>
      </c>
    </row>
    <row r="196" spans="1:15" x14ac:dyDescent="0.3">
      <c r="A196" s="9" t="s">
        <v>348</v>
      </c>
      <c r="B196" s="7"/>
      <c r="C196" s="7"/>
      <c r="D196" s="8"/>
      <c r="E196" s="8"/>
      <c r="F196" s="8"/>
      <c r="G196" s="8"/>
      <c r="H196" s="8"/>
      <c r="I196" s="8"/>
      <c r="J196" s="8"/>
      <c r="K196" s="8"/>
      <c r="L196" s="25"/>
      <c r="M196" s="8"/>
      <c r="N196" s="8"/>
      <c r="O196" s="8"/>
    </row>
    <row r="197" spans="1:15" x14ac:dyDescent="0.3">
      <c r="A197" s="9" t="s">
        <v>349</v>
      </c>
      <c r="B197" s="7"/>
      <c r="C197" s="7"/>
      <c r="D197" s="8"/>
      <c r="E197" s="8"/>
      <c r="F197" s="8"/>
      <c r="G197" s="8"/>
      <c r="H197" s="8"/>
      <c r="I197" s="8"/>
      <c r="J197" s="8"/>
      <c r="K197" s="8"/>
      <c r="L197" s="25"/>
      <c r="M197" s="8"/>
      <c r="N197" s="8"/>
      <c r="O197" s="8"/>
    </row>
    <row r="198" spans="1:15" x14ac:dyDescent="0.3">
      <c r="A198" s="7"/>
      <c r="B198" s="7"/>
      <c r="C198" s="7"/>
      <c r="D198" s="8"/>
      <c r="E198" s="8"/>
      <c r="F198" s="8"/>
      <c r="G198" s="8"/>
      <c r="H198" s="8"/>
      <c r="I198" s="8"/>
      <c r="J198" s="8"/>
      <c r="K198" s="8"/>
      <c r="L198" s="25"/>
      <c r="M198" s="8"/>
      <c r="N198" s="8"/>
      <c r="O198" s="8"/>
    </row>
  </sheetData>
  <sheetProtection algorithmName="SHA-512" hashValue="jwFUQQhaB5LYsH61nXdH8LoW5guPkiMnevMnKpfoBXjPnpa0SA45sXk/ScEyfdvftcquyPLJpivNoCirLI6aEQ==" saltValue="b+otAJvmVbqLvdWjQHpMpQ==" spinCount="100000" sheet="1" objects="1" scenarios="1"/>
  <mergeCells count="8">
    <mergeCell ref="M1:O1"/>
    <mergeCell ref="G1:K1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scale="48" fitToHeight="0" orientation="landscape" horizontalDpi="1200" verticalDpi="1200" r:id="rId1"/>
  <headerFooter>
    <oddHeader>&amp;C&amp;"Arial,Bold"&amp;12City of Apopka
2025 CMS Tables
FDOT Trend Analysis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2025MasterFile-Stat</vt:lpstr>
      <vt:lpstr>Input</vt:lpstr>
      <vt:lpstr>Cap</vt:lpstr>
      <vt:lpstr>LOS</vt:lpstr>
      <vt:lpstr>Historical ADT</vt:lpstr>
      <vt:lpstr>Trend</vt:lpstr>
      <vt:lpstr>'2025MasterFile-Stat'!Print_Area</vt:lpstr>
      <vt:lpstr>Cap!Print_Area</vt:lpstr>
      <vt:lpstr>'Historical ADT'!Print_Area</vt:lpstr>
      <vt:lpstr>LOS!Print_Area</vt:lpstr>
      <vt:lpstr>Trend!Print_Area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Wofford</cp:lastModifiedBy>
  <cp:lastPrinted>2025-09-09T20:51:08Z</cp:lastPrinted>
  <dcterms:created xsi:type="dcterms:W3CDTF">2025-09-05T12:55:56Z</dcterms:created>
  <dcterms:modified xsi:type="dcterms:W3CDTF">2025-10-20T20:06:56Z</dcterms:modified>
</cp:coreProperties>
</file>